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omments2.xml" ContentType="application/vnd.openxmlformats-officedocument.spreadsheetml.comments+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queryTables/queryTable1.xml" ContentType="application/vnd.openxmlformats-officedocument.spreadsheetml.queryTable+xml"/>
  <Override PartName="/xl/tables/table2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HEC\Downloads\"/>
    </mc:Choice>
  </mc:AlternateContent>
  <xr:revisionPtr revIDLastSave="0" documentId="13_ncr:101_{69EB3880-802F-4BD2-99CD-B4EEEFC2A0BF}" xr6:coauthVersionLast="47" xr6:coauthVersionMax="47" xr10:uidLastSave="{00000000-0000-0000-0000-000000000000}"/>
  <bookViews>
    <workbookView xWindow="28680" yWindow="-1950" windowWidth="29040" windowHeight="17640" firstSheet="8" activeTab="2" xr2:uid="{00000000-000D-0000-FFFF-FFFF00000000}"/>
  </bookViews>
  <sheets>
    <sheet name="Sheet1" sheetId="1" state="hidden" r:id="rId1"/>
    <sheet name="HVAC_MCC" sheetId="20" r:id="rId2"/>
    <sheet name="LoadList" sheetId="17" r:id="rId3"/>
    <sheet name="BV Load List" sheetId="15" state="hidden" r:id="rId4"/>
    <sheet name="EEL" sheetId="13" r:id="rId5"/>
    <sheet name="Sheet2" sheetId="2" r:id="rId6"/>
    <sheet name="Sheet3" sheetId="21" r:id="rId7"/>
    <sheet name="NOTES" sheetId="9" r:id="rId8"/>
    <sheet name="ECS_IO_LIST" sheetId="18" r:id="rId9"/>
    <sheet name="70-IJ-61-0001" sheetId="19" r:id="rId10"/>
    <sheet name="70-IK-61-0001" sheetId="4" r:id="rId11"/>
    <sheet name="70-IK-61-0002" sheetId="6" r:id="rId12"/>
    <sheet name="70-IK-61-0003 " sheetId="5" r:id="rId13"/>
    <sheet name="81-1K-61-0001" sheetId="11" r:id="rId14"/>
    <sheet name="BOQ" sheetId="12" r:id="rId15"/>
    <sheet name="Insulation_Mat" sheetId="16" r:id="rId16"/>
    <sheet name="MEL" sheetId="14" r:id="rId17"/>
    <sheet name="Sheet4" sheetId="22" r:id="rId18"/>
    <sheet name="Sheet5" sheetId="23" r:id="rId19"/>
    <sheet name="Sheet6" sheetId="24" r:id="rId20"/>
  </sheets>
  <externalReferences>
    <externalReference r:id="rId21"/>
    <externalReference r:id="rId22"/>
    <externalReference r:id="rId23"/>
    <externalReference r:id="rId24"/>
    <externalReference r:id="rId25"/>
    <externalReference r:id="rId26"/>
    <externalReference r:id="rId27"/>
  </externalReferences>
  <definedNames>
    <definedName name="\p">#REF!</definedName>
    <definedName name="_70IJ610001">Table18[#All]</definedName>
    <definedName name="_xlnm._FilterDatabase" localSheetId="8" hidden="1">ECS_IO_LIST!$A$1:$U$27</definedName>
    <definedName name="_xlnm._FilterDatabase" localSheetId="4" hidden="1">EEL!$A$1:$Q$135</definedName>
    <definedName name="_xlnm._FilterDatabase" localSheetId="17" hidden="1">Sheet4!$A$6:$M$21</definedName>
    <definedName name="_Key1" hidden="1">#REF!</definedName>
    <definedName name="_Key2" hidden="1">#REF!</definedName>
    <definedName name="_Order1">255</definedName>
    <definedName name="_Order2">255</definedName>
    <definedName name="_Regression_Int">1</definedName>
    <definedName name="a">#REF!</definedName>
    <definedName name="a_dash">#REF!</definedName>
    <definedName name="AA">#REF!</definedName>
    <definedName name="aaa">"기술자료"</definedName>
    <definedName name="agdump">#REF!</definedName>
    <definedName name="agedump">#REF!</definedName>
    <definedName name="agencydump">#REF!</definedName>
    <definedName name="AGENCYLY">#REF!</definedName>
    <definedName name="AGENCYPLAN">#REF!</definedName>
    <definedName name="anchor">#REF!</definedName>
    <definedName name="anscount" hidden="1">1</definedName>
    <definedName name="api_version">'[1]Page 1'!$B$6</definedName>
    <definedName name="b">#REF!</definedName>
    <definedName name="b_dash">#REF!</definedName>
    <definedName name="bmsum">#REF!</definedName>
    <definedName name="c_margin">#REF!</definedName>
    <definedName name="CalcAgencyPrice">#REF!</definedName>
    <definedName name="CapacityAtMaximumViscosity">'[2]API 676'!#REF!</definedName>
    <definedName name="Clearsheet2" localSheetId="2">LoadList!Clearsheet2</definedName>
    <definedName name="Clearsheet2">[0]!Clearsheet2</definedName>
    <definedName name="coat">#REF!</definedName>
    <definedName name="Commission">#REF!</definedName>
    <definedName name="crush_s">#REF!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_xlnm.Database">#REF!</definedName>
    <definedName name="DATE">'[3]P. 1, Scope'!$M$5</definedName>
    <definedName name="DaWk7">#REF!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df" localSheetId="2">LoadList!ddf</definedName>
    <definedName name="ddf">[0]!ddf</definedName>
    <definedName name="DelDC">#REF!</definedName>
    <definedName name="DelDm">#REF!</definedName>
    <definedName name="Delivery">#REF!</definedName>
    <definedName name="DelType">#REF!</definedName>
    <definedName name="deptLookup">#REF!</definedName>
    <definedName name="Displacement">'[2]API 676'!#REF!</definedName>
    <definedName name="Displacement_UOM">'[2]API 676'!#REF!</definedName>
    <definedName name="DriverConstantSpeed">#REF!</definedName>
    <definedName name="DriverConstantSpeed_UOM">#REF!</definedName>
    <definedName name="DriverEnclosure">'[2]API 676'!#REF!</definedName>
    <definedName name="DriverHertz">#REF!</definedName>
    <definedName name="DriverManufacturer">#REF!</definedName>
    <definedName name="DriverPhase">'[2]API 676'!#REF!</definedName>
    <definedName name="DriverPower">#REF!</definedName>
    <definedName name="DriverPower_UOM">#REF!</definedName>
    <definedName name="DriverServiceFactor">'[2]API 676'!#REF!</definedName>
    <definedName name="DriversFrameNumber">'[2]API 676'!#REF!</definedName>
    <definedName name="DriverSpeed">#REF!</definedName>
    <definedName name="DriverSpeed_UOM">#REF!</definedName>
    <definedName name="DriverType">#REF!</definedName>
    <definedName name="DriverVariableSpeed">#REF!</definedName>
    <definedName name="DriverVariableSpeed_UOM">#REF!</definedName>
    <definedName name="DriverVolts">#REF!</definedName>
    <definedName name="dumppr">#REF!</definedName>
    <definedName name="dx_shape">#REF!</definedName>
    <definedName name="e_margin">#REF!</definedName>
    <definedName name="ENGINEER">'[3]P. 1, Scope'!$Y$4</definedName>
    <definedName name="eq">[4]eq_data!$C$5:$C$54</definedName>
    <definedName name="eq_index">#REF!</definedName>
    <definedName name="eq_name">[5]eq_data!$C$5:$C$54</definedName>
    <definedName name="ExternalData_1" localSheetId="16" hidden="1">MEL!$A$1:$AO$335</definedName>
    <definedName name="F">#REF!</definedName>
    <definedName name="f_shape">#REF!</definedName>
    <definedName name="fdn_no">#REF!</definedName>
    <definedName name="grout_type">#REF!</definedName>
    <definedName name="GrphActSales">#REF!</definedName>
    <definedName name="GrphActStk">#REF!</definedName>
    <definedName name="GrphPlanSales">#REF!</definedName>
    <definedName name="GrphTgtStk">#REF!</definedName>
    <definedName name="h_af">#REF!</definedName>
    <definedName name="h_bf">#REF!</definedName>
    <definedName name="hf">#REF!</definedName>
    <definedName name="HydraulicPower">'[2]API 676'!#REF!</definedName>
    <definedName name="HydraulicPower_UOM">'[2]API 676'!#REF!</definedName>
    <definedName name="IELWSALES">#REF!</definedName>
    <definedName name="IELYSALES">#REF!</definedName>
    <definedName name="IEPLANSALES">#REF!</definedName>
    <definedName name="IESP">#REF!</definedName>
    <definedName name="IntFreeCred">#REF!</definedName>
    <definedName name="ITEM_No">#REF!</definedName>
    <definedName name="ITEMNUMBER">'[3]P. 1, Scope'!$Y$3</definedName>
    <definedName name="j_filler">#REF!</definedName>
    <definedName name="JOBNUMBER">'[3]P. 1, Scope'!$M$3</definedName>
    <definedName name="lean">#REF!</definedName>
    <definedName name="LookUp_Range">#REF!</definedName>
    <definedName name="LWSALES">#REF!</definedName>
    <definedName name="l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ARGINPLAN">#REF!</definedName>
    <definedName name="MARGINPROJ">#REF!</definedName>
    <definedName name="MaximumPumpingTemperature">'[2]API 676'!#REF!</definedName>
    <definedName name="name">#REF!</definedName>
    <definedName name="NormalPumpingTemperature">'[2]API 676'!#REF!</definedName>
    <definedName name="NPSHRequired">'[2]API 676'!#REF!</definedName>
    <definedName name="num">#REF!</definedName>
    <definedName name="p_shape">#REF!</definedName>
    <definedName name="ped_no">#REF!</definedName>
    <definedName name="pile_no">#REF!</definedName>
    <definedName name="PRDump">#REF!</definedName>
    <definedName name="_xlnm.Print_Area">#REF!</definedName>
    <definedName name="Print_Area_MI">#REF!</definedName>
    <definedName name="range">#REF!</definedName>
    <definedName name="RatedSpeed">'[2]API 676'!#REF!</definedName>
    <definedName name="RawAgencyPrice">#REF!</definedName>
    <definedName name="RBData">#REF!</definedName>
    <definedName name="re_bar">#REF!</definedName>
    <definedName name="Remarks">'[2]API 676'!#REF!</definedName>
    <definedName name="Reselects">#REF!</definedName>
    <definedName name="Revision">'[3]P. 1, Scope'!$Y$5</definedName>
    <definedName name="Risk_Class">[6]Cover!$N$6:$O$14</definedName>
    <definedName name="rout_t">#REF!</definedName>
    <definedName name="SALESPLAN">#REF!</definedName>
    <definedName name="scale">#REF!</definedName>
    <definedName name="Service">#REF!</definedName>
    <definedName name="shpe">#REF!</definedName>
    <definedName name="slope">#REF!</definedName>
    <definedName name="Table">#REF!</definedName>
    <definedName name="Table1">#REF!</definedName>
    <definedName name="TEST">[7]Instructions!$AN$7</definedName>
    <definedName name="TO">#REF!</definedName>
    <definedName name="TOTAL">#REF!</definedName>
    <definedName name="units">#REF!</definedName>
    <definedName name="Units_Selector_Range">#REF!</definedName>
    <definedName name="Units_Value">#REF!</definedName>
    <definedName name="고유황">650</definedName>
    <definedName name="손료">5015</definedName>
    <definedName name="전">#REF!</definedName>
    <definedName name="전체sum">#REF!</definedName>
    <definedName name="조수">43082</definedName>
    <definedName name="조정원">55245</definedName>
    <definedName name="주택사업본부">#REF!</definedName>
    <definedName name="철구사업본부">#REF!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9" i="19" l="1"/>
  <c r="O97" i="18"/>
  <c r="P97" i="18"/>
  <c r="Q97" i="18"/>
  <c r="R97" i="18"/>
  <c r="S97" i="18"/>
  <c r="T97" i="18"/>
  <c r="U97" i="18"/>
  <c r="N97" i="18"/>
  <c r="O96" i="18"/>
  <c r="P96" i="18"/>
  <c r="Q96" i="18"/>
  <c r="R96" i="18"/>
  <c r="S96" i="18"/>
  <c r="T96" i="18"/>
  <c r="U96" i="18"/>
  <c r="N96" i="18"/>
  <c r="O95" i="18"/>
  <c r="P95" i="18"/>
  <c r="Q95" i="18"/>
  <c r="R95" i="18"/>
  <c r="S95" i="18"/>
  <c r="T95" i="18"/>
  <c r="U95" i="18"/>
  <c r="N95" i="18"/>
  <c r="O94" i="18"/>
  <c r="P94" i="18"/>
  <c r="Q94" i="18"/>
  <c r="R94" i="18"/>
  <c r="S94" i="18"/>
  <c r="T94" i="18"/>
  <c r="U94" i="18"/>
  <c r="N94" i="18"/>
  <c r="O38" i="18"/>
  <c r="O39" i="18" s="1"/>
  <c r="P38" i="18"/>
  <c r="P39" i="18" s="1"/>
  <c r="Q38" i="18"/>
  <c r="Q39" i="18" s="1"/>
  <c r="R38" i="18"/>
  <c r="R39" i="18" s="1"/>
  <c r="S38" i="18"/>
  <c r="S39" i="18" s="1"/>
  <c r="T38" i="18"/>
  <c r="T39" i="18" s="1"/>
  <c r="U38" i="18"/>
  <c r="U39" i="18" s="1"/>
  <c r="N38" i="18"/>
  <c r="N39" i="18" s="1"/>
  <c r="U61" i="18"/>
  <c r="T61" i="18"/>
  <c r="S61" i="18"/>
  <c r="R61" i="18"/>
  <c r="Q61" i="18"/>
  <c r="P61" i="18"/>
  <c r="O61" i="18"/>
  <c r="N61" i="18"/>
  <c r="U87" i="18"/>
  <c r="U86" i="18"/>
  <c r="T86" i="18"/>
  <c r="S86" i="18"/>
  <c r="R86" i="18"/>
  <c r="Q86" i="18"/>
  <c r="P86" i="18"/>
  <c r="O86" i="18"/>
  <c r="N86" i="18"/>
  <c r="U85" i="18"/>
  <c r="T85" i="18"/>
  <c r="S85" i="18"/>
  <c r="R85" i="18"/>
  <c r="Q85" i="18"/>
  <c r="P85" i="18"/>
  <c r="O85" i="18"/>
  <c r="N85" i="18"/>
  <c r="U84" i="18"/>
  <c r="T84" i="18"/>
  <c r="S84" i="18"/>
  <c r="R84" i="18"/>
  <c r="Q84" i="18"/>
  <c r="P84" i="18"/>
  <c r="O84" i="18"/>
  <c r="N84" i="18"/>
  <c r="U83" i="18"/>
  <c r="T83" i="18"/>
  <c r="S83" i="18"/>
  <c r="R83" i="18"/>
  <c r="Q83" i="18"/>
  <c r="P83" i="18"/>
  <c r="O83" i="18"/>
  <c r="N83" i="18"/>
  <c r="U82" i="18"/>
  <c r="T82" i="18"/>
  <c r="S82" i="18"/>
  <c r="R82" i="18"/>
  <c r="Q82" i="18"/>
  <c r="P82" i="18"/>
  <c r="O82" i="18"/>
  <c r="N82" i="18"/>
  <c r="U81" i="18"/>
  <c r="T81" i="18"/>
  <c r="S81" i="18"/>
  <c r="R81" i="18"/>
  <c r="Q81" i="18"/>
  <c r="P81" i="18"/>
  <c r="O81" i="18"/>
  <c r="N81" i="18"/>
  <c r="U80" i="18"/>
  <c r="T80" i="18"/>
  <c r="S80" i="18"/>
  <c r="R80" i="18"/>
  <c r="Q80" i="18"/>
  <c r="P80" i="18"/>
  <c r="O80" i="18"/>
  <c r="N80" i="18"/>
  <c r="U79" i="18"/>
  <c r="T79" i="18"/>
  <c r="S79" i="18"/>
  <c r="R79" i="18"/>
  <c r="Q79" i="18"/>
  <c r="P79" i="18"/>
  <c r="O79" i="18"/>
  <c r="N79" i="18"/>
  <c r="U78" i="18"/>
  <c r="T78" i="18"/>
  <c r="S78" i="18"/>
  <c r="R78" i="18"/>
  <c r="Q78" i="18"/>
  <c r="P78" i="18"/>
  <c r="O78" i="18"/>
  <c r="N78" i="18"/>
  <c r="U77" i="18"/>
  <c r="T77" i="18"/>
  <c r="S77" i="18"/>
  <c r="R77" i="18"/>
  <c r="Q77" i="18"/>
  <c r="P77" i="18"/>
  <c r="O77" i="18"/>
  <c r="N77" i="18"/>
  <c r="U76" i="18"/>
  <c r="T76" i="18"/>
  <c r="S76" i="18"/>
  <c r="R76" i="18"/>
  <c r="Q76" i="18"/>
  <c r="P76" i="18"/>
  <c r="O76" i="18"/>
  <c r="N76" i="18"/>
  <c r="U75" i="18"/>
  <c r="U74" i="18"/>
  <c r="T74" i="18"/>
  <c r="S74" i="18"/>
  <c r="R74" i="18"/>
  <c r="Q74" i="18"/>
  <c r="P74" i="18"/>
  <c r="O74" i="18"/>
  <c r="N74" i="18"/>
  <c r="U73" i="18"/>
  <c r="T73" i="18"/>
  <c r="S73" i="18"/>
  <c r="R73" i="18"/>
  <c r="Q73" i="18"/>
  <c r="P73" i="18"/>
  <c r="O73" i="18"/>
  <c r="N73" i="18"/>
  <c r="U72" i="18"/>
  <c r="T72" i="18"/>
  <c r="S72" i="18"/>
  <c r="R72" i="18"/>
  <c r="Q72" i="18"/>
  <c r="P72" i="18"/>
  <c r="O72" i="18"/>
  <c r="N72" i="18"/>
  <c r="U71" i="18"/>
  <c r="T71" i="18"/>
  <c r="S71" i="18"/>
  <c r="R71" i="18"/>
  <c r="Q71" i="18"/>
  <c r="P71" i="18"/>
  <c r="O71" i="18"/>
  <c r="N71" i="18"/>
  <c r="U70" i="18"/>
  <c r="T70" i="18"/>
  <c r="S70" i="18"/>
  <c r="R70" i="18"/>
  <c r="Q70" i="18"/>
  <c r="P70" i="18"/>
  <c r="O70" i="18"/>
  <c r="N70" i="18"/>
  <c r="U69" i="18"/>
  <c r="T69" i="18"/>
  <c r="S69" i="18"/>
  <c r="R69" i="18"/>
  <c r="Q69" i="18"/>
  <c r="P69" i="18"/>
  <c r="O69" i="18"/>
  <c r="N69" i="18"/>
  <c r="U68" i="18"/>
  <c r="T68" i="18"/>
  <c r="S68" i="18"/>
  <c r="R68" i="18"/>
  <c r="Q68" i="18"/>
  <c r="P68" i="18"/>
  <c r="O68" i="18"/>
  <c r="N68" i="18"/>
  <c r="U67" i="18"/>
  <c r="T67" i="18"/>
  <c r="S67" i="18"/>
  <c r="R67" i="18"/>
  <c r="Q67" i="18"/>
  <c r="P67" i="18"/>
  <c r="O67" i="18"/>
  <c r="N67" i="18"/>
  <c r="U66" i="18"/>
  <c r="T66" i="18"/>
  <c r="S66" i="18"/>
  <c r="R66" i="18"/>
  <c r="Q66" i="18"/>
  <c r="P66" i="18"/>
  <c r="O66" i="18"/>
  <c r="N66" i="18"/>
  <c r="U60" i="18"/>
  <c r="T60" i="18"/>
  <c r="S60" i="18"/>
  <c r="R60" i="18"/>
  <c r="Q60" i="18"/>
  <c r="P60" i="18"/>
  <c r="O60" i="18"/>
  <c r="N60" i="18"/>
  <c r="U59" i="18"/>
  <c r="T59" i="18"/>
  <c r="S59" i="18"/>
  <c r="R59" i="18"/>
  <c r="Q59" i="18"/>
  <c r="P59" i="18"/>
  <c r="O59" i="18"/>
  <c r="N59" i="18"/>
  <c r="U58" i="18"/>
  <c r="T58" i="18"/>
  <c r="S58" i="18"/>
  <c r="R58" i="18"/>
  <c r="Q58" i="18"/>
  <c r="P58" i="18"/>
  <c r="O58" i="18"/>
  <c r="N58" i="18"/>
  <c r="U53" i="18"/>
  <c r="T53" i="18"/>
  <c r="S53" i="18"/>
  <c r="R53" i="18"/>
  <c r="Q53" i="18"/>
  <c r="P53" i="18"/>
  <c r="O53" i="18"/>
  <c r="N53" i="18"/>
  <c r="U46" i="18"/>
  <c r="T46" i="18"/>
  <c r="S46" i="18"/>
  <c r="R46" i="18"/>
  <c r="Q46" i="18"/>
  <c r="P46" i="18"/>
  <c r="O46" i="18"/>
  <c r="N46" i="18"/>
  <c r="N62" i="18" l="1"/>
  <c r="Q62" i="18"/>
  <c r="P62" i="18"/>
  <c r="R62" i="18"/>
  <c r="S62" i="18"/>
  <c r="U62" i="18"/>
  <c r="T62" i="18"/>
  <c r="O62" i="18"/>
  <c r="U88" i="18"/>
  <c r="P75" i="18"/>
  <c r="O87" i="18"/>
  <c r="N75" i="18"/>
  <c r="O75" i="18"/>
  <c r="N87" i="18"/>
  <c r="Q75" i="18"/>
  <c r="Q88" i="18" s="1"/>
  <c r="P87" i="18"/>
  <c r="R75" i="18"/>
  <c r="Q87" i="18"/>
  <c r="S75" i="18"/>
  <c r="R87" i="18"/>
  <c r="T75" i="18"/>
  <c r="S87" i="18"/>
  <c r="T87" i="18"/>
  <c r="U52" i="18"/>
  <c r="T52" i="18"/>
  <c r="S52" i="18"/>
  <c r="R52" i="18"/>
  <c r="Q52" i="18"/>
  <c r="P52" i="18"/>
  <c r="O52" i="18"/>
  <c r="N52" i="18"/>
  <c r="U45" i="18"/>
  <c r="T45" i="18"/>
  <c r="S45" i="18"/>
  <c r="R45" i="18"/>
  <c r="Q45" i="18"/>
  <c r="P45" i="18"/>
  <c r="O45" i="18"/>
  <c r="N45" i="18"/>
  <c r="U51" i="18"/>
  <c r="T51" i="18"/>
  <c r="S51" i="18"/>
  <c r="R51" i="18"/>
  <c r="Q51" i="18"/>
  <c r="P51" i="18"/>
  <c r="P54" i="18" s="1"/>
  <c r="O51" i="18"/>
  <c r="O54" i="18" s="1"/>
  <c r="N51" i="18"/>
  <c r="N54" i="18" s="1"/>
  <c r="T44" i="18"/>
  <c r="T47" i="18" s="1"/>
  <c r="R44" i="18"/>
  <c r="S44" i="18"/>
  <c r="S47" i="18" l="1"/>
  <c r="R47" i="18"/>
  <c r="O88" i="18"/>
  <c r="T88" i="18"/>
  <c r="P88" i="18"/>
  <c r="Q54" i="18"/>
  <c r="S88" i="18"/>
  <c r="R88" i="18"/>
  <c r="S54" i="18"/>
  <c r="R54" i="18"/>
  <c r="R29" i="18" s="1"/>
  <c r="S29" i="18"/>
  <c r="N88" i="18"/>
  <c r="T54" i="18"/>
  <c r="T29" i="18" s="1"/>
  <c r="U54" i="18"/>
  <c r="N44" i="18"/>
  <c r="N47" i="18" s="1"/>
  <c r="U44" i="18"/>
  <c r="U47" i="18" s="1"/>
  <c r="O44" i="18"/>
  <c r="P44" i="18"/>
  <c r="Q44" i="18"/>
  <c r="U29" i="18" l="1"/>
  <c r="N29" i="18"/>
  <c r="P47" i="18"/>
  <c r="P29" i="18" s="1"/>
  <c r="Q47" i="18"/>
  <c r="Q29" i="18" s="1"/>
  <c r="O47" i="18"/>
  <c r="O29" i="18" s="1"/>
  <c r="J213" i="6" a="1"/>
  <c r="J213" i="6" s="1"/>
  <c r="L23" i="18" l="1"/>
  <c r="L11" i="18" l="1"/>
  <c r="H79" i="5" a="1"/>
  <c r="H79" i="5" s="1"/>
  <c r="M137" i="4"/>
  <c r="M136" i="4"/>
  <c r="M135" i="4"/>
  <c r="M132" i="4"/>
  <c r="M133" i="4"/>
  <c r="M131" i="4"/>
  <c r="K137" i="4"/>
  <c r="K136" i="4"/>
  <c r="K135" i="4"/>
  <c r="J131" i="4" a="1"/>
  <c r="J131" i="4" s="1"/>
  <c r="O128" i="4"/>
  <c r="O129" i="4"/>
  <c r="O127" i="4"/>
  <c r="K129" i="4" a="1"/>
  <c r="K129" i="4" s="1"/>
  <c r="K128" i="4" a="1"/>
  <c r="K128" i="4" s="1"/>
  <c r="K127" i="4" a="1"/>
  <c r="K127" i="4" s="1"/>
  <c r="G59" i="4" a="1"/>
  <c r="G59" i="4" s="1"/>
  <c r="G42" i="4" a="1"/>
  <c r="G42" i="4" s="1"/>
  <c r="G41" i="4" a="1"/>
  <c r="G41" i="4" s="1"/>
  <c r="G40" i="4" a="1"/>
  <c r="G40" i="4" s="1"/>
  <c r="G39" i="4" a="1"/>
  <c r="G39" i="4" s="1"/>
  <c r="G38" i="4" a="1"/>
  <c r="G38" i="4" s="1"/>
  <c r="G37" i="4" a="1"/>
  <c r="G37" i="4" s="1"/>
  <c r="G36" i="4" a="1"/>
  <c r="G36" i="4" s="1"/>
  <c r="G35" i="4" a="1"/>
  <c r="G35" i="4" s="1"/>
  <c r="J207" i="6" a="1"/>
  <c r="J207" i="6" s="1"/>
  <c r="J124" i="4" a="1"/>
  <c r="J124" i="4" s="1"/>
  <c r="J123" i="4" l="1" a="1"/>
  <c r="J123" i="4" s="1"/>
  <c r="G4" i="5" a="1"/>
  <c r="G4" i="5" s="1"/>
  <c r="G5" i="5" a="1"/>
  <c r="G5" i="5" s="1"/>
  <c r="G6" i="5" a="1"/>
  <c r="G6" i="5" s="1"/>
  <c r="G7" i="5" a="1"/>
  <c r="G7" i="5" s="1"/>
  <c r="G8" i="5" a="1"/>
  <c r="G8" i="5" s="1"/>
  <c r="G9" i="5" a="1"/>
  <c r="G9" i="5" s="1"/>
  <c r="G10" i="5" a="1"/>
  <c r="G10" i="5" s="1"/>
  <c r="G11" i="5" a="1"/>
  <c r="G11" i="5" s="1"/>
  <c r="G12" i="5" a="1"/>
  <c r="G12" i="5" s="1"/>
  <c r="G13" i="5" a="1"/>
  <c r="G13" i="5" s="1"/>
  <c r="G14" i="5" a="1"/>
  <c r="G14" i="5" s="1"/>
  <c r="G15" i="5" a="1"/>
  <c r="G15" i="5" s="1"/>
  <c r="G16" i="5" a="1"/>
  <c r="G16" i="5" s="1"/>
  <c r="G17" i="5" a="1"/>
  <c r="G17" i="5" s="1"/>
  <c r="G18" i="5" a="1"/>
  <c r="G18" i="5" s="1"/>
  <c r="G19" i="5" a="1"/>
  <c r="G19" i="5" s="1"/>
  <c r="G20" i="5" a="1"/>
  <c r="G20" i="5" s="1"/>
  <c r="G21" i="5" a="1"/>
  <c r="G21" i="5" s="1"/>
  <c r="G22" i="5" a="1"/>
  <c r="G22" i="5" s="1"/>
  <c r="G23" i="5" a="1"/>
  <c r="G23" i="5" s="1"/>
  <c r="G24" i="5" a="1"/>
  <c r="G24" i="5" s="1"/>
  <c r="G25" i="5" a="1"/>
  <c r="G25" i="5" s="1"/>
  <c r="G26" i="5" a="1"/>
  <c r="G26" i="5" s="1"/>
  <c r="G27" i="5" a="1"/>
  <c r="G27" i="5" s="1"/>
  <c r="G28" i="5" a="1"/>
  <c r="G28" i="5" s="1"/>
  <c r="G29" i="5" a="1"/>
  <c r="G29" i="5" s="1"/>
  <c r="G30" i="5" a="1"/>
  <c r="G30" i="5" s="1"/>
  <c r="G31" i="5" a="1"/>
  <c r="G31" i="5" s="1"/>
  <c r="G32" i="5" a="1"/>
  <c r="G32" i="5" s="1"/>
  <c r="G33" i="5" a="1"/>
  <c r="G33" i="5" s="1"/>
  <c r="G34" i="5" a="1"/>
  <c r="G34" i="5" s="1"/>
  <c r="G35" i="5" a="1"/>
  <c r="G35" i="5" s="1"/>
  <c r="G36" i="5" a="1"/>
  <c r="G36" i="5" s="1"/>
  <c r="G37" i="5" a="1"/>
  <c r="G37" i="5" s="1"/>
  <c r="G38" i="5" a="1"/>
  <c r="G38" i="5" s="1"/>
  <c r="G39" i="5" a="1"/>
  <c r="G39" i="5" s="1"/>
  <c r="G40" i="5" a="1"/>
  <c r="G40" i="5" s="1"/>
  <c r="G41" i="5" a="1"/>
  <c r="G41" i="5" s="1"/>
  <c r="G42" i="5" a="1"/>
  <c r="G42" i="5" s="1"/>
  <c r="G43" i="5" a="1"/>
  <c r="G43" i="5" s="1"/>
  <c r="G44" i="5" a="1"/>
  <c r="G44" i="5" s="1"/>
  <c r="G45" i="5" a="1"/>
  <c r="G45" i="5" s="1"/>
  <c r="G2" i="5" a="1"/>
  <c r="G2" i="5" s="1"/>
  <c r="G3" i="6" a="1"/>
  <c r="G3" i="6" s="1"/>
  <c r="G4" i="6" a="1"/>
  <c r="G4" i="6" s="1"/>
  <c r="G5" i="6" a="1"/>
  <c r="G5" i="6" s="1"/>
  <c r="G6" i="6" a="1"/>
  <c r="G6" i="6" s="1"/>
  <c r="G7" i="6" a="1"/>
  <c r="G7" i="6" s="1"/>
  <c r="G8" i="6" a="1"/>
  <c r="G8" i="6" s="1"/>
  <c r="G9" i="6" a="1"/>
  <c r="G9" i="6" s="1"/>
  <c r="G10" i="6" a="1"/>
  <c r="G10" i="6" s="1"/>
  <c r="G11" i="6" a="1"/>
  <c r="G11" i="6" s="1"/>
  <c r="G12" i="6" a="1"/>
  <c r="G12" i="6" s="1"/>
  <c r="G13" i="6" a="1"/>
  <c r="G13" i="6" s="1"/>
  <c r="G14" i="6" a="1"/>
  <c r="G14" i="6" s="1"/>
  <c r="G15" i="6" a="1"/>
  <c r="G15" i="6" s="1"/>
  <c r="G16" i="6" a="1"/>
  <c r="G16" i="6" s="1"/>
  <c r="G17" i="6" a="1"/>
  <c r="G17" i="6" s="1"/>
  <c r="G18" i="6" a="1"/>
  <c r="G18" i="6" s="1"/>
  <c r="G19" i="6" a="1"/>
  <c r="G19" i="6" s="1"/>
  <c r="G20" i="6" a="1"/>
  <c r="G20" i="6" s="1"/>
  <c r="G21" i="6" a="1"/>
  <c r="G21" i="6" s="1"/>
  <c r="G22" i="6" a="1"/>
  <c r="G22" i="6" s="1"/>
  <c r="G23" i="6" a="1"/>
  <c r="G23" i="6" s="1"/>
  <c r="G24" i="6" a="1"/>
  <c r="G24" i="6" s="1"/>
  <c r="G25" i="6" a="1"/>
  <c r="G25" i="6" s="1"/>
  <c r="G26" i="6" a="1"/>
  <c r="G26" i="6" s="1"/>
  <c r="G27" i="6" a="1"/>
  <c r="G27" i="6" s="1"/>
  <c r="G28" i="6" a="1"/>
  <c r="G28" i="6" s="1"/>
  <c r="G29" i="6" a="1"/>
  <c r="G29" i="6" s="1"/>
  <c r="G30" i="6" a="1"/>
  <c r="G30" i="6" s="1"/>
  <c r="G31" i="6" a="1"/>
  <c r="G31" i="6" s="1"/>
  <c r="G32" i="6" a="1"/>
  <c r="G32" i="6" s="1"/>
  <c r="G33" i="6" a="1"/>
  <c r="G33" i="6" s="1"/>
  <c r="G34" i="6" a="1"/>
  <c r="G34" i="6" s="1"/>
  <c r="G35" i="6" a="1"/>
  <c r="G35" i="6" s="1"/>
  <c r="G36" i="6" a="1"/>
  <c r="G36" i="6" s="1"/>
  <c r="G37" i="6" a="1"/>
  <c r="G37" i="6" s="1"/>
  <c r="G38" i="6" a="1"/>
  <c r="G38" i="6" s="1"/>
  <c r="G39" i="6" a="1"/>
  <c r="G39" i="6" s="1"/>
  <c r="G40" i="6" a="1"/>
  <c r="G40" i="6" s="1"/>
  <c r="G41" i="6" a="1"/>
  <c r="G41" i="6" s="1"/>
  <c r="G42" i="6" a="1"/>
  <c r="G42" i="6" s="1"/>
  <c r="G43" i="6" a="1"/>
  <c r="G43" i="6" s="1"/>
  <c r="G44" i="6" a="1"/>
  <c r="G44" i="6" s="1"/>
  <c r="G45" i="6" a="1"/>
  <c r="G45" i="6" s="1"/>
  <c r="G46" i="6" a="1"/>
  <c r="G46" i="6" s="1"/>
  <c r="G47" i="6" a="1"/>
  <c r="G47" i="6" s="1"/>
  <c r="G48" i="6" a="1"/>
  <c r="G48" i="6" s="1"/>
  <c r="G49" i="6" a="1"/>
  <c r="G49" i="6" s="1"/>
  <c r="G50" i="6" a="1"/>
  <c r="G50" i="6" s="1"/>
  <c r="G51" i="6" a="1"/>
  <c r="G51" i="6" s="1"/>
  <c r="G52" i="6" a="1"/>
  <c r="G52" i="6" s="1"/>
  <c r="G53" i="6" a="1"/>
  <c r="G53" i="6" s="1"/>
  <c r="G54" i="6" a="1"/>
  <c r="G54" i="6" s="1"/>
  <c r="G55" i="6" a="1"/>
  <c r="G55" i="6" s="1"/>
  <c r="G56" i="6" a="1"/>
  <c r="G56" i="6" s="1"/>
  <c r="G57" i="6" a="1"/>
  <c r="G57" i="6" s="1"/>
  <c r="G58" i="6" a="1"/>
  <c r="G58" i="6" s="1"/>
  <c r="G59" i="6" a="1"/>
  <c r="G59" i="6" s="1"/>
  <c r="G60" i="6" a="1"/>
  <c r="G60" i="6" s="1"/>
  <c r="G61" i="6" a="1"/>
  <c r="G61" i="6" s="1"/>
  <c r="G62" i="6" a="1"/>
  <c r="G62" i="6" s="1"/>
  <c r="G63" i="6" a="1"/>
  <c r="G63" i="6" s="1"/>
  <c r="G64" i="6" a="1"/>
  <c r="G64" i="6" s="1"/>
  <c r="G65" i="6" a="1"/>
  <c r="G65" i="6" s="1"/>
  <c r="G66" i="6" a="1"/>
  <c r="G66" i="6" s="1"/>
  <c r="G67" i="6" a="1"/>
  <c r="G67" i="6" s="1"/>
  <c r="G68" i="6" a="1"/>
  <c r="G68" i="6"/>
  <c r="G69" i="6" a="1"/>
  <c r="G69" i="6" s="1"/>
  <c r="G70" i="6" a="1"/>
  <c r="G70" i="6" s="1"/>
  <c r="G71" i="6" a="1"/>
  <c r="G71" i="6" s="1"/>
  <c r="G72" i="6" a="1"/>
  <c r="G72" i="6" s="1"/>
  <c r="G73" i="6" a="1"/>
  <c r="G73" i="6" s="1"/>
  <c r="G74" i="6" a="1"/>
  <c r="G74" i="6"/>
  <c r="G75" i="6" a="1"/>
  <c r="G75" i="6" s="1"/>
  <c r="G76" i="6" a="1"/>
  <c r="G76" i="6" s="1"/>
  <c r="G77" i="6" a="1"/>
  <c r="G77" i="6" s="1"/>
  <c r="G78" i="6" a="1"/>
  <c r="G78" i="6" s="1"/>
  <c r="G79" i="6" a="1"/>
  <c r="G79" i="6" s="1"/>
  <c r="G80" i="6" a="1"/>
  <c r="G80" i="6"/>
  <c r="G81" i="6" a="1"/>
  <c r="G81" i="6" s="1"/>
  <c r="G82" i="6" a="1"/>
  <c r="G82" i="6" s="1"/>
  <c r="G83" i="6" a="1"/>
  <c r="G83" i="6" s="1"/>
  <c r="G84" i="6" a="1"/>
  <c r="G84" i="6" s="1"/>
  <c r="G85" i="6" a="1"/>
  <c r="G85" i="6" s="1"/>
  <c r="G86" i="6" a="1"/>
  <c r="G86" i="6" s="1"/>
  <c r="G87" i="6" a="1"/>
  <c r="G87" i="6" s="1"/>
  <c r="G88" i="6" a="1"/>
  <c r="G88" i="6" s="1"/>
  <c r="G89" i="6" a="1"/>
  <c r="G89" i="6" s="1"/>
  <c r="G90" i="6" a="1"/>
  <c r="G90" i="6" s="1"/>
  <c r="G91" i="6" a="1"/>
  <c r="G91" i="6" s="1"/>
  <c r="G92" i="6" a="1"/>
  <c r="G92" i="6" s="1"/>
  <c r="G93" i="6" a="1"/>
  <c r="G93" i="6" s="1"/>
  <c r="G94" i="6" a="1"/>
  <c r="G94" i="6" s="1"/>
  <c r="G95" i="6" a="1"/>
  <c r="G95" i="6" s="1"/>
  <c r="G96" i="6" a="1"/>
  <c r="G96" i="6" s="1"/>
  <c r="G97" i="6" a="1"/>
  <c r="G97" i="6" s="1"/>
  <c r="G98" i="6" a="1"/>
  <c r="G98" i="6" s="1"/>
  <c r="G99" i="6" a="1"/>
  <c r="G99" i="6" s="1"/>
  <c r="G100" i="6" a="1"/>
  <c r="G100" i="6" s="1"/>
  <c r="G101" i="6" a="1"/>
  <c r="G101" i="6" s="1"/>
  <c r="G102" i="6" a="1"/>
  <c r="G102" i="6" s="1"/>
  <c r="G103" i="6" a="1"/>
  <c r="G103" i="6" s="1"/>
  <c r="G104" i="6" a="1"/>
  <c r="G104" i="6" s="1"/>
  <c r="G105" i="6" a="1"/>
  <c r="G105" i="6" s="1"/>
  <c r="G106" i="6" a="1"/>
  <c r="G106" i="6" s="1"/>
  <c r="G107" i="6" a="1"/>
  <c r="G107" i="6" s="1"/>
  <c r="G108" i="6" a="1"/>
  <c r="G108" i="6" s="1"/>
  <c r="G109" i="6" a="1"/>
  <c r="G109" i="6" s="1"/>
  <c r="G110" i="6" a="1"/>
  <c r="G110" i="6" s="1"/>
  <c r="G111" i="6" a="1"/>
  <c r="G111" i="6" s="1"/>
  <c r="G112" i="6" a="1"/>
  <c r="G112" i="6" s="1"/>
  <c r="G113" i="6" a="1"/>
  <c r="G113" i="6" s="1"/>
  <c r="G114" i="6" a="1"/>
  <c r="G114" i="6" s="1"/>
  <c r="G115" i="6" a="1"/>
  <c r="G115" i="6" s="1"/>
  <c r="G116" i="6" a="1"/>
  <c r="G116" i="6" s="1"/>
  <c r="G117" i="6" a="1"/>
  <c r="G117" i="6" s="1"/>
  <c r="G118" i="6" a="1"/>
  <c r="G118" i="6" s="1"/>
  <c r="G119" i="6" a="1"/>
  <c r="G119" i="6" s="1"/>
  <c r="G120" i="6" a="1"/>
  <c r="G120" i="6" s="1"/>
  <c r="G121" i="6" a="1"/>
  <c r="G121" i="6" s="1"/>
  <c r="G122" i="6" a="1"/>
  <c r="G122" i="6"/>
  <c r="G123" i="6" a="1"/>
  <c r="G123" i="6" s="1"/>
  <c r="G124" i="6" a="1"/>
  <c r="G124" i="6" s="1"/>
  <c r="G125" i="6" a="1"/>
  <c r="G125" i="6" s="1"/>
  <c r="G126" i="6" a="1"/>
  <c r="G126" i="6" s="1"/>
  <c r="G127" i="6" a="1"/>
  <c r="G127" i="6" s="1"/>
  <c r="G128" i="6" a="1"/>
  <c r="G128" i="6" s="1"/>
  <c r="G129" i="6" a="1"/>
  <c r="G129" i="6" s="1"/>
  <c r="G130" i="6" a="1"/>
  <c r="G130" i="6" s="1"/>
  <c r="G131" i="6" a="1"/>
  <c r="G131" i="6" s="1"/>
  <c r="G132" i="6" a="1"/>
  <c r="G132" i="6" s="1"/>
  <c r="G133" i="6" a="1"/>
  <c r="G133" i="6" s="1"/>
  <c r="G134" i="6" a="1"/>
  <c r="G134" i="6" s="1"/>
  <c r="G135" i="6" a="1"/>
  <c r="G135" i="6" s="1"/>
  <c r="G136" i="6" a="1"/>
  <c r="G136" i="6" s="1"/>
  <c r="G137" i="6" a="1"/>
  <c r="G137" i="6" s="1"/>
  <c r="G138" i="6" a="1"/>
  <c r="G138" i="6" s="1"/>
  <c r="G139" i="6" a="1"/>
  <c r="G139" i="6" s="1"/>
  <c r="G140" i="6" a="1"/>
  <c r="G140" i="6" s="1"/>
  <c r="G141" i="6" a="1"/>
  <c r="G141" i="6" s="1"/>
  <c r="G142" i="6" a="1"/>
  <c r="G142" i="6" s="1"/>
  <c r="G2" i="6" a="1"/>
  <c r="G2" i="6" s="1"/>
  <c r="J206" i="6" l="1" a="1"/>
  <c r="J206" i="6" s="1"/>
  <c r="G65" i="4" a="1"/>
  <c r="G65" i="4" s="1"/>
  <c r="G66" i="4" a="1"/>
  <c r="G66" i="4" s="1"/>
  <c r="G67" i="4" a="1"/>
  <c r="G67" i="4" s="1"/>
  <c r="G68" i="4" a="1"/>
  <c r="G68" i="4" s="1"/>
  <c r="G69" i="4" a="1"/>
  <c r="G69" i="4" s="1"/>
  <c r="G70" i="4" a="1"/>
  <c r="G70" i="4" s="1"/>
  <c r="G71" i="4" a="1"/>
  <c r="G71" i="4" s="1"/>
  <c r="G72" i="4" a="1"/>
  <c r="G72" i="4" s="1"/>
  <c r="G73" i="4" a="1"/>
  <c r="G73" i="4" s="1"/>
  <c r="G74" i="4" a="1"/>
  <c r="G74" i="4" s="1"/>
  <c r="G75" i="4" a="1"/>
  <c r="G75" i="4" s="1"/>
  <c r="G76" i="4" a="1"/>
  <c r="G76" i="4" s="1"/>
  <c r="G77" i="4" a="1"/>
  <c r="G77" i="4" s="1"/>
  <c r="G78" i="4" a="1"/>
  <c r="G78" i="4" s="1"/>
  <c r="G79" i="4" a="1"/>
  <c r="G79" i="4" s="1"/>
  <c r="G80" i="4" a="1"/>
  <c r="G80" i="4" s="1"/>
  <c r="G44" i="4" a="1"/>
  <c r="G44" i="4" s="1"/>
  <c r="G45" i="4" a="1"/>
  <c r="G45" i="4" s="1"/>
  <c r="G46" i="4" a="1"/>
  <c r="G46" i="4" s="1"/>
  <c r="G47" i="4" a="1"/>
  <c r="G47" i="4" s="1"/>
  <c r="G48" i="4" a="1"/>
  <c r="G48" i="4" s="1"/>
  <c r="G49" i="4" a="1"/>
  <c r="G49" i="4" s="1"/>
  <c r="G50" i="4" a="1"/>
  <c r="G50" i="4" s="1"/>
  <c r="G51" i="4" a="1"/>
  <c r="G51" i="4" s="1"/>
  <c r="G52" i="4" a="1"/>
  <c r="G52" i="4" s="1"/>
  <c r="G53" i="4" a="1"/>
  <c r="G53" i="4" s="1"/>
  <c r="G54" i="4" a="1"/>
  <c r="G54" i="4" s="1"/>
  <c r="G55" i="4" a="1"/>
  <c r="G55" i="4" s="1"/>
  <c r="G56" i="4" a="1"/>
  <c r="G56" i="4" s="1"/>
  <c r="G57" i="4" a="1"/>
  <c r="G57" i="4" s="1"/>
  <c r="G58" i="4" a="1"/>
  <c r="G58" i="4" s="1"/>
  <c r="G60" i="4" a="1"/>
  <c r="G60" i="4" s="1"/>
  <c r="G61" i="4" a="1"/>
  <c r="G61" i="4" s="1"/>
  <c r="G62" i="4" a="1"/>
  <c r="G62" i="4" s="1"/>
  <c r="G63" i="4" a="1"/>
  <c r="G63" i="4" s="1"/>
  <c r="G64" i="4" a="1"/>
  <c r="G64" i="4" s="1"/>
  <c r="G3" i="4" a="1"/>
  <c r="G3" i="4" s="1"/>
  <c r="G4" i="4" a="1"/>
  <c r="G4" i="4" s="1"/>
  <c r="G5" i="4" a="1"/>
  <c r="G5" i="4" s="1"/>
  <c r="G6" i="4" a="1"/>
  <c r="G6" i="4" s="1"/>
  <c r="G7" i="4" a="1"/>
  <c r="G7" i="4" s="1"/>
  <c r="G8" i="4" a="1"/>
  <c r="G8" i="4" s="1"/>
  <c r="G9" i="4" a="1"/>
  <c r="G9" i="4" s="1"/>
  <c r="G10" i="4" a="1"/>
  <c r="G10" i="4" s="1"/>
  <c r="G11" i="4" a="1"/>
  <c r="G11" i="4" s="1"/>
  <c r="G12" i="4" a="1"/>
  <c r="G12" i="4" s="1"/>
  <c r="G13" i="4" a="1"/>
  <c r="G13" i="4" s="1"/>
  <c r="G14" i="4" a="1"/>
  <c r="G14" i="4" s="1"/>
  <c r="G15" i="4" a="1"/>
  <c r="G15" i="4" s="1"/>
  <c r="G16" i="4" a="1"/>
  <c r="G16" i="4" s="1"/>
  <c r="G17" i="4" a="1"/>
  <c r="G17" i="4" s="1"/>
  <c r="G18" i="4" a="1"/>
  <c r="G18" i="4" s="1"/>
  <c r="G19" i="4" a="1"/>
  <c r="G19" i="4" s="1"/>
  <c r="G20" i="4" a="1"/>
  <c r="G20" i="4" s="1"/>
  <c r="G21" i="4" a="1"/>
  <c r="G21" i="4" s="1"/>
  <c r="G22" i="4" a="1"/>
  <c r="G22" i="4" s="1"/>
  <c r="G23" i="4" a="1"/>
  <c r="G23" i="4" s="1"/>
  <c r="G24" i="4" a="1"/>
  <c r="G24" i="4" s="1"/>
  <c r="G25" i="4" a="1"/>
  <c r="G25" i="4" s="1"/>
  <c r="G26" i="4" a="1"/>
  <c r="G26" i="4" s="1"/>
  <c r="G27" i="4" a="1"/>
  <c r="G27" i="4" s="1"/>
  <c r="G28" i="4" a="1"/>
  <c r="G28" i="4" s="1"/>
  <c r="G29" i="4" a="1"/>
  <c r="G29" i="4" s="1"/>
  <c r="G30" i="4" a="1"/>
  <c r="G30" i="4" s="1"/>
  <c r="G31" i="4" a="1"/>
  <c r="G31" i="4" s="1"/>
  <c r="G32" i="4" a="1"/>
  <c r="G32" i="4" s="1"/>
  <c r="G33" i="4" a="1"/>
  <c r="G33" i="4" s="1"/>
  <c r="G34" i="4" a="1"/>
  <c r="G34" i="4" s="1"/>
  <c r="G43" i="4" a="1"/>
  <c r="G43" i="4" s="1"/>
  <c r="G2" i="4" a="1"/>
  <c r="G2" i="4" s="1"/>
  <c r="R28" i="19" l="1"/>
  <c r="I75" i="5" l="1" a="1"/>
  <c r="I75" i="5" s="1"/>
  <c r="F42" i="5"/>
  <c r="F43" i="5"/>
  <c r="F44" i="5"/>
  <c r="F45" i="5"/>
  <c r="F142" i="6"/>
  <c r="F141" i="6"/>
  <c r="F140" i="6"/>
  <c r="F139" i="6"/>
  <c r="F138" i="6"/>
  <c r="F137" i="6"/>
  <c r="F136" i="6"/>
  <c r="E29" i="19" l="1"/>
  <c r="E28" i="19"/>
  <c r="F41" i="20" l="1" a="1"/>
  <c r="F41" i="20" s="1"/>
  <c r="F67" i="20"/>
  <c r="F68" i="20"/>
  <c r="F69" i="20"/>
  <c r="F70" i="20"/>
  <c r="F71" i="20"/>
  <c r="F72" i="20"/>
  <c r="F73" i="20"/>
  <c r="F74" i="20"/>
  <c r="F75" i="20"/>
  <c r="F76" i="20"/>
  <c r="F77" i="20"/>
  <c r="F78" i="20"/>
  <c r="F79" i="20"/>
  <c r="F80" i="20"/>
  <c r="F81" i="20"/>
  <c r="F82" i="20"/>
  <c r="F83" i="20"/>
  <c r="F84" i="20"/>
  <c r="F85" i="20"/>
  <c r="G67" i="20" a="1"/>
  <c r="G67" i="20" s="1"/>
  <c r="G68" i="20" a="1"/>
  <c r="G68" i="20" s="1"/>
  <c r="G69" i="20" a="1"/>
  <c r="G69" i="20" s="1"/>
  <c r="G70" i="20" a="1"/>
  <c r="G70" i="20" s="1"/>
  <c r="G71" i="20" a="1"/>
  <c r="G71" i="20" s="1"/>
  <c r="G72" i="20" a="1"/>
  <c r="G72" i="20" s="1"/>
  <c r="G73" i="20" a="1"/>
  <c r="G73" i="20" s="1"/>
  <c r="G74" i="20" a="1"/>
  <c r="G74" i="20" s="1"/>
  <c r="G75" i="20" a="1"/>
  <c r="G75" i="20" s="1"/>
  <c r="G76" i="20" a="1"/>
  <c r="G76" i="20" s="1"/>
  <c r="G77" i="20" a="1"/>
  <c r="G77" i="20" s="1"/>
  <c r="G78" i="20" a="1"/>
  <c r="G78" i="20" s="1"/>
  <c r="G79" i="20" a="1"/>
  <c r="G79" i="20" s="1"/>
  <c r="G80" i="20" a="1"/>
  <c r="G80" i="20" s="1"/>
  <c r="G81" i="20" a="1"/>
  <c r="G81" i="20" s="1"/>
  <c r="G82" i="20" a="1"/>
  <c r="G82" i="20" s="1"/>
  <c r="G83" i="20" a="1"/>
  <c r="G83" i="20" s="1"/>
  <c r="G84" i="20" a="1"/>
  <c r="G84" i="20" s="1"/>
  <c r="G85" i="20" a="1"/>
  <c r="G85" i="20" s="1"/>
  <c r="V342" i="20" l="1"/>
  <c r="V343" i="20" s="1"/>
  <c r="V336" i="20"/>
  <c r="F21" i="5" l="1"/>
  <c r="F22" i="5"/>
  <c r="F23" i="5"/>
  <c r="F24" i="5"/>
  <c r="F25" i="5"/>
  <c r="F26" i="5"/>
  <c r="F27" i="5"/>
  <c r="F28" i="5"/>
  <c r="F29" i="5"/>
  <c r="F30" i="5"/>
  <c r="F31" i="5"/>
  <c r="F32" i="5"/>
  <c r="F33" i="5"/>
  <c r="F34" i="5"/>
  <c r="F35" i="5"/>
  <c r="F36" i="5"/>
  <c r="F37" i="5"/>
  <c r="F38" i="5"/>
  <c r="F39" i="5"/>
  <c r="F40" i="5"/>
  <c r="F41" i="5"/>
  <c r="Q11" i="5" l="1"/>
  <c r="R11" i="5" s="1"/>
  <c r="M41" i="4"/>
  <c r="Q43" i="19" l="1"/>
  <c r="Q40" i="19"/>
  <c r="E384" i="20" l="1" a="1"/>
  <c r="E384" i="20" s="1"/>
  <c r="E385" i="20" a="1"/>
  <c r="E385" i="20" s="1"/>
  <c r="G385" i="20" s="1" a="1"/>
  <c r="G385" i="20" s="1"/>
  <c r="E386" i="20" a="1"/>
  <c r="E386" i="20" s="1"/>
  <c r="G386" i="20" s="1" a="1"/>
  <c r="G386" i="20" s="1"/>
  <c r="E387" i="20" a="1"/>
  <c r="E387" i="20" s="1"/>
  <c r="G387" i="20" s="1" a="1"/>
  <c r="G387" i="20" s="1"/>
  <c r="E388" i="20" a="1"/>
  <c r="E388" i="20" s="1"/>
  <c r="G388" i="20" s="1" a="1"/>
  <c r="G388" i="20" s="1"/>
  <c r="E389" i="20" a="1"/>
  <c r="E389" i="20" s="1"/>
  <c r="G389" i="20" s="1" a="1"/>
  <c r="G389" i="20" s="1"/>
  <c r="E390" i="20" a="1"/>
  <c r="E390" i="20" s="1"/>
  <c r="G390" i="20" s="1" a="1"/>
  <c r="G390" i="20" s="1"/>
  <c r="E391" i="20" a="1"/>
  <c r="E391" i="20" s="1"/>
  <c r="G391" i="20" s="1" a="1"/>
  <c r="G391" i="20" s="1"/>
  <c r="E392" i="20" a="1"/>
  <c r="E392" i="20" s="1"/>
  <c r="G392" i="20" s="1" a="1"/>
  <c r="G392" i="20" s="1"/>
  <c r="E393" i="20" a="1"/>
  <c r="E393" i="20" s="1"/>
  <c r="G393" i="20" s="1" a="1"/>
  <c r="G393" i="20" s="1"/>
  <c r="E394" i="20" a="1"/>
  <c r="E394" i="20" s="1"/>
  <c r="G394" i="20" s="1" a="1"/>
  <c r="G394" i="20" s="1"/>
  <c r="E395" i="20" a="1"/>
  <c r="E395" i="20" s="1"/>
  <c r="G395" i="20" s="1" a="1"/>
  <c r="G395" i="20" s="1"/>
  <c r="E396" i="20" a="1"/>
  <c r="E396" i="20" s="1"/>
  <c r="G396" i="20" s="1" a="1"/>
  <c r="G396" i="20" s="1"/>
  <c r="E397" i="20" a="1"/>
  <c r="E397" i="20" s="1"/>
  <c r="G397" i="20" s="1" a="1"/>
  <c r="G397" i="20" s="1"/>
  <c r="E398" i="20" a="1"/>
  <c r="E398" i="20" s="1"/>
  <c r="G398" i="20" s="1" a="1"/>
  <c r="G398" i="20" s="1"/>
  <c r="E399" i="20" a="1"/>
  <c r="E399" i="20"/>
  <c r="G399" i="20" s="1" a="1"/>
  <c r="G399" i="20" s="1"/>
  <c r="E400" i="20" a="1"/>
  <c r="E400" i="20"/>
  <c r="G400" i="20" s="1" a="1"/>
  <c r="G400" i="20" s="1"/>
  <c r="E401" i="20" a="1"/>
  <c r="E401" i="20" s="1"/>
  <c r="G401" i="20" s="1" a="1"/>
  <c r="G401" i="20" s="1"/>
  <c r="E402" i="20" a="1"/>
  <c r="E402" i="20" s="1"/>
  <c r="G402" i="20" s="1" a="1"/>
  <c r="G402" i="20" s="1"/>
  <c r="E403" i="20" a="1"/>
  <c r="E403" i="20" s="1"/>
  <c r="G403" i="20" s="1" a="1"/>
  <c r="G403" i="20" s="1"/>
  <c r="E404" i="20" a="1"/>
  <c r="E404" i="20" s="1"/>
  <c r="G404" i="20" s="1" a="1"/>
  <c r="G404" i="20" s="1"/>
  <c r="E405" i="20" a="1"/>
  <c r="E405" i="20"/>
  <c r="G405" i="20" s="1" a="1"/>
  <c r="G405" i="20" s="1"/>
  <c r="E406" i="20" a="1"/>
  <c r="E406" i="20"/>
  <c r="G406" i="20" s="1" a="1"/>
  <c r="G406" i="20" s="1"/>
  <c r="E407" i="20" a="1"/>
  <c r="E407" i="20" s="1"/>
  <c r="G407" i="20" s="1" a="1"/>
  <c r="G407" i="20" s="1"/>
  <c r="E408" i="20" a="1"/>
  <c r="E408" i="20" s="1"/>
  <c r="G408" i="20" s="1" a="1"/>
  <c r="G408" i="20" s="1"/>
  <c r="E409" i="20" a="1"/>
  <c r="E409" i="20" s="1"/>
  <c r="G409" i="20" s="1" a="1"/>
  <c r="G409" i="20" s="1"/>
  <c r="E410" i="20" a="1"/>
  <c r="E410" i="20" s="1"/>
  <c r="G410" i="20" s="1" a="1"/>
  <c r="G410" i="20" s="1"/>
  <c r="E411" i="20" a="1"/>
  <c r="E411" i="20" s="1"/>
  <c r="G411" i="20" s="1" a="1"/>
  <c r="G411" i="20" s="1"/>
  <c r="E412" i="20" a="1"/>
  <c r="E412" i="20" s="1"/>
  <c r="G412" i="20" s="1" a="1"/>
  <c r="G412" i="20" s="1"/>
  <c r="E413" i="20" a="1"/>
  <c r="E413" i="20" s="1"/>
  <c r="G413" i="20" s="1" a="1"/>
  <c r="G413" i="20" s="1"/>
  <c r="E414" i="20" a="1"/>
  <c r="E414" i="20" s="1"/>
  <c r="G414" i="20" s="1" a="1"/>
  <c r="G414" i="20" s="1"/>
  <c r="E415" i="20" a="1"/>
  <c r="E415" i="20" s="1"/>
  <c r="G415" i="20" s="1" a="1"/>
  <c r="G415" i="20" s="1"/>
  <c r="E416" i="20" a="1"/>
  <c r="E416" i="20" s="1"/>
  <c r="G416" i="20" s="1" a="1"/>
  <c r="G416" i="20" s="1"/>
  <c r="E417" i="20" a="1"/>
  <c r="E417" i="20"/>
  <c r="G417" i="20" s="1" a="1"/>
  <c r="G417" i="20" s="1"/>
  <c r="E418" i="20" a="1"/>
  <c r="E418" i="20"/>
  <c r="G418" i="20" s="1" a="1"/>
  <c r="G418" i="20" s="1"/>
  <c r="E419" i="20" a="1"/>
  <c r="E419" i="20" s="1"/>
  <c r="G419" i="20" s="1" a="1"/>
  <c r="G419" i="20" s="1"/>
  <c r="E420" i="20" a="1"/>
  <c r="E420" i="20" s="1"/>
  <c r="G420" i="20" s="1" a="1"/>
  <c r="G420" i="20" s="1"/>
  <c r="E421" i="20" a="1"/>
  <c r="E421" i="20" s="1"/>
  <c r="G421" i="20" s="1" a="1"/>
  <c r="G421" i="20" s="1"/>
  <c r="E422" i="20" a="1"/>
  <c r="E422" i="20" s="1"/>
  <c r="G422" i="20" s="1" a="1"/>
  <c r="G422" i="20" s="1"/>
  <c r="E423" i="20" a="1"/>
  <c r="E423" i="20"/>
  <c r="G423" i="20" s="1" a="1"/>
  <c r="G423" i="20" s="1"/>
  <c r="E424" i="20" a="1"/>
  <c r="E424" i="20"/>
  <c r="G424" i="20" s="1" a="1"/>
  <c r="G424" i="20" s="1"/>
  <c r="E425" i="20" a="1"/>
  <c r="E425" i="20" s="1"/>
  <c r="G425" i="20" s="1" a="1"/>
  <c r="G425" i="20" s="1"/>
  <c r="E426" i="20" a="1"/>
  <c r="E426" i="20" s="1"/>
  <c r="G426" i="20" s="1" a="1"/>
  <c r="G426" i="20" s="1"/>
  <c r="E427" i="20" a="1"/>
  <c r="E427" i="20" s="1"/>
  <c r="G427" i="20" s="1" a="1"/>
  <c r="G427" i="20" s="1"/>
  <c r="E428" i="20" a="1"/>
  <c r="E428" i="20" s="1"/>
  <c r="G428" i="20" s="1" a="1"/>
  <c r="G428" i="20" s="1"/>
  <c r="E429" i="20" a="1"/>
  <c r="E429" i="20" s="1"/>
  <c r="G429" i="20" s="1" a="1"/>
  <c r="G429" i="20" s="1"/>
  <c r="E430" i="20" a="1"/>
  <c r="E430" i="20" s="1"/>
  <c r="G430" i="20" s="1" a="1"/>
  <c r="G430" i="20" s="1"/>
  <c r="E431" i="20" a="1"/>
  <c r="E431" i="20" s="1"/>
  <c r="G431" i="20" s="1" a="1"/>
  <c r="G431" i="20" s="1"/>
  <c r="E432" i="20" a="1"/>
  <c r="E432" i="20" s="1"/>
  <c r="G432" i="20" s="1" a="1"/>
  <c r="G432" i="20" s="1"/>
  <c r="E433" i="20" a="1"/>
  <c r="E433" i="20" s="1"/>
  <c r="G433" i="20" s="1" a="1"/>
  <c r="G433" i="20" s="1"/>
  <c r="E434" i="20" a="1"/>
  <c r="E434" i="20" s="1"/>
  <c r="G434" i="20" s="1" a="1"/>
  <c r="G434" i="20" s="1"/>
  <c r="E435" i="20" a="1"/>
  <c r="E435" i="20"/>
  <c r="G435" i="20" s="1" a="1"/>
  <c r="G435" i="20" s="1"/>
  <c r="E436" i="20" a="1"/>
  <c r="E436" i="20"/>
  <c r="G436" i="20" s="1" a="1"/>
  <c r="G436" i="20" s="1"/>
  <c r="E437" i="20" a="1"/>
  <c r="E437" i="20" s="1"/>
  <c r="G437" i="20" s="1" a="1"/>
  <c r="G437" i="20" s="1"/>
  <c r="E438" i="20" a="1"/>
  <c r="E438" i="20" s="1"/>
  <c r="G438" i="20" s="1" a="1"/>
  <c r="G438" i="20" s="1"/>
  <c r="E439" i="20" a="1"/>
  <c r="E439" i="20" s="1"/>
  <c r="G439" i="20" s="1" a="1"/>
  <c r="G439" i="20" s="1"/>
  <c r="E440" i="20" a="1"/>
  <c r="E440" i="20" s="1"/>
  <c r="G440" i="20" s="1" a="1"/>
  <c r="G440" i="20" s="1"/>
  <c r="E441" i="20" a="1"/>
  <c r="E441" i="20"/>
  <c r="G441" i="20" s="1" a="1"/>
  <c r="G441" i="20" s="1"/>
  <c r="E442" i="20" a="1"/>
  <c r="E442" i="20"/>
  <c r="G442" i="20" s="1" a="1"/>
  <c r="G442" i="20" s="1"/>
  <c r="E443" i="20" a="1"/>
  <c r="E443" i="20" s="1"/>
  <c r="G443" i="20" s="1" a="1"/>
  <c r="G443" i="20" s="1"/>
  <c r="E444" i="20" a="1"/>
  <c r="E444" i="20" s="1"/>
  <c r="G444" i="20" s="1" a="1"/>
  <c r="G444" i="20" s="1"/>
  <c r="E445" i="20" a="1"/>
  <c r="E445" i="20" s="1"/>
  <c r="G445" i="20" s="1" a="1"/>
  <c r="G445" i="20" s="1"/>
  <c r="E446" i="20" a="1"/>
  <c r="E446" i="20" s="1"/>
  <c r="G446" i="20" s="1" a="1"/>
  <c r="G446" i="20" s="1"/>
  <c r="E447" i="20" a="1"/>
  <c r="E447" i="20" s="1"/>
  <c r="G447" i="20" s="1" a="1"/>
  <c r="G447" i="20" s="1"/>
  <c r="E448" i="20" a="1"/>
  <c r="E448" i="20" s="1"/>
  <c r="G448" i="20" s="1" a="1"/>
  <c r="G448" i="20" s="1"/>
  <c r="E449" i="20" a="1"/>
  <c r="E449" i="20" s="1"/>
  <c r="G449" i="20" s="1" a="1"/>
  <c r="G449" i="20" s="1"/>
  <c r="E450" i="20" a="1"/>
  <c r="E450" i="20" s="1"/>
  <c r="G450" i="20" s="1" a="1"/>
  <c r="G450" i="20" s="1"/>
  <c r="E451" i="20" a="1"/>
  <c r="E451" i="20" s="1"/>
  <c r="G451" i="20" s="1" a="1"/>
  <c r="G451" i="20" s="1"/>
  <c r="E452" i="20" a="1"/>
  <c r="E452" i="20" s="1"/>
  <c r="G452" i="20" s="1" a="1"/>
  <c r="G452" i="20" s="1"/>
  <c r="E453" i="20" a="1"/>
  <c r="E453" i="20"/>
  <c r="G453" i="20" s="1" a="1"/>
  <c r="G453" i="20" s="1"/>
  <c r="E454" i="20" a="1"/>
  <c r="E454" i="20"/>
  <c r="G454" i="20" s="1" a="1"/>
  <c r="G454" i="20" s="1"/>
  <c r="E455" i="20" a="1"/>
  <c r="E455" i="20" s="1"/>
  <c r="G455" i="20" s="1" a="1"/>
  <c r="G455" i="20" s="1"/>
  <c r="E456" i="20" a="1"/>
  <c r="E456" i="20" s="1"/>
  <c r="G456" i="20" s="1" a="1"/>
  <c r="G456" i="20" s="1"/>
  <c r="E457" i="20" a="1"/>
  <c r="E457" i="20" s="1"/>
  <c r="G457" i="20" s="1" a="1"/>
  <c r="G457" i="20" s="1"/>
  <c r="E458" i="20" a="1"/>
  <c r="E458" i="20" s="1"/>
  <c r="G458" i="20" s="1" a="1"/>
  <c r="G458" i="20" s="1"/>
  <c r="E459" i="20" a="1"/>
  <c r="E459" i="20"/>
  <c r="G459" i="20" s="1" a="1"/>
  <c r="G459" i="20" s="1"/>
  <c r="E460" i="20" a="1"/>
  <c r="E460" i="20"/>
  <c r="G460" i="20" s="1" a="1"/>
  <c r="G460" i="20" s="1"/>
  <c r="E461" i="20" a="1"/>
  <c r="E461" i="20" s="1"/>
  <c r="G461" i="20" s="1" a="1"/>
  <c r="G461" i="20" s="1"/>
  <c r="E462" i="20" a="1"/>
  <c r="E462" i="20" s="1"/>
  <c r="G462" i="20" s="1" a="1"/>
  <c r="G462" i="20" s="1"/>
  <c r="E463" i="20" a="1"/>
  <c r="E463" i="20" s="1"/>
  <c r="G463" i="20" s="1" a="1"/>
  <c r="G463" i="20" s="1"/>
  <c r="E464" i="20" a="1"/>
  <c r="E464" i="20" s="1"/>
  <c r="G464" i="20" s="1" a="1"/>
  <c r="G464" i="20" s="1"/>
  <c r="E465" i="20" a="1"/>
  <c r="E465" i="20" s="1"/>
  <c r="G465" i="20" s="1" a="1"/>
  <c r="G465" i="20" s="1"/>
  <c r="E466" i="20" a="1"/>
  <c r="E466" i="20" s="1"/>
  <c r="G466" i="20" s="1" a="1"/>
  <c r="G466" i="20" s="1"/>
  <c r="E467" i="20" a="1"/>
  <c r="E467" i="20" s="1"/>
  <c r="G467" i="20" s="1" a="1"/>
  <c r="G467" i="20" s="1"/>
  <c r="E468" i="20" a="1"/>
  <c r="E468" i="20" s="1"/>
  <c r="G468" i="20" s="1" a="1"/>
  <c r="G468" i="20" s="1"/>
  <c r="E469" i="20" a="1"/>
  <c r="E469" i="20" s="1"/>
  <c r="G469" i="20" s="1" a="1"/>
  <c r="G469" i="20" s="1"/>
  <c r="E470" i="20" a="1"/>
  <c r="E470" i="20" s="1"/>
  <c r="G470" i="20" s="1" a="1"/>
  <c r="G470" i="20" s="1"/>
  <c r="E471" i="20" a="1"/>
  <c r="E471" i="20"/>
  <c r="G471" i="20" s="1" a="1"/>
  <c r="G471" i="20" s="1"/>
  <c r="E472" i="20" a="1"/>
  <c r="E472" i="20"/>
  <c r="G472" i="20" s="1" a="1"/>
  <c r="G472" i="20" s="1"/>
  <c r="E473" i="20" a="1"/>
  <c r="E473" i="20" s="1"/>
  <c r="G473" i="20" s="1" a="1"/>
  <c r="G473" i="20" s="1"/>
  <c r="E474" i="20" a="1"/>
  <c r="E474" i="20" s="1"/>
  <c r="G474" i="20" s="1" a="1"/>
  <c r="G474" i="20" s="1"/>
  <c r="E475" i="20" a="1"/>
  <c r="E475" i="20" s="1"/>
  <c r="G475" i="20" s="1" a="1"/>
  <c r="G475" i="20" s="1"/>
  <c r="E476" i="20" a="1"/>
  <c r="E476" i="20" s="1"/>
  <c r="G476" i="20" s="1" a="1"/>
  <c r="G476" i="20" s="1"/>
  <c r="E477" i="20" a="1"/>
  <c r="E477" i="20"/>
  <c r="G477" i="20" s="1" a="1"/>
  <c r="G477" i="20" s="1"/>
  <c r="E478" i="20" a="1"/>
  <c r="E478" i="20"/>
  <c r="G478" i="20" s="1" a="1"/>
  <c r="G478" i="20" s="1"/>
  <c r="E479" i="20" a="1"/>
  <c r="E479" i="20" s="1"/>
  <c r="G479" i="20" s="1" a="1"/>
  <c r="G479" i="20" s="1"/>
  <c r="E480" i="20" a="1"/>
  <c r="E480" i="20" s="1"/>
  <c r="G480" i="20" s="1" a="1"/>
  <c r="G480" i="20" s="1"/>
  <c r="E481" i="20" a="1"/>
  <c r="E481" i="20" s="1"/>
  <c r="G481" i="20" s="1" a="1"/>
  <c r="G481" i="20" s="1"/>
  <c r="F384" i="20" a="1"/>
  <c r="F384" i="20" s="1"/>
  <c r="F385" i="20" a="1"/>
  <c r="F385" i="20" s="1"/>
  <c r="F386" i="20" a="1"/>
  <c r="F386" i="20" s="1"/>
  <c r="F387" i="20" a="1"/>
  <c r="F387" i="20" s="1"/>
  <c r="F388" i="20" a="1"/>
  <c r="F388" i="20" s="1"/>
  <c r="F389" i="20" a="1"/>
  <c r="F389" i="20" s="1"/>
  <c r="F390" i="20" a="1"/>
  <c r="F390" i="20" s="1"/>
  <c r="F391" i="20" a="1"/>
  <c r="F391" i="20"/>
  <c r="F392" i="20" a="1"/>
  <c r="F392" i="20"/>
  <c r="F393" i="20" a="1"/>
  <c r="F393" i="20" s="1"/>
  <c r="F394" i="20" a="1"/>
  <c r="F394" i="20" s="1"/>
  <c r="F395" i="20" a="1"/>
  <c r="F395" i="20" s="1"/>
  <c r="F396" i="20" a="1"/>
  <c r="F396" i="20" s="1"/>
  <c r="F397" i="20" a="1"/>
  <c r="F397" i="20"/>
  <c r="F398" i="20" a="1"/>
  <c r="F398" i="20"/>
  <c r="F399" i="20" a="1"/>
  <c r="F399" i="20" s="1"/>
  <c r="F400" i="20" a="1"/>
  <c r="F400" i="20" s="1"/>
  <c r="F401" i="20" a="1"/>
  <c r="F401" i="20" s="1"/>
  <c r="F402" i="20" a="1"/>
  <c r="F402" i="20" s="1"/>
  <c r="F403" i="20" a="1"/>
  <c r="F403" i="20" s="1"/>
  <c r="F404" i="20" a="1"/>
  <c r="F404" i="20" s="1"/>
  <c r="F405" i="20" a="1"/>
  <c r="F405" i="20" s="1"/>
  <c r="F406" i="20" a="1"/>
  <c r="F406" i="20" s="1"/>
  <c r="F407" i="20" a="1"/>
  <c r="F407" i="20" s="1"/>
  <c r="F408" i="20" a="1"/>
  <c r="F408" i="20" s="1"/>
  <c r="F409" i="20" a="1"/>
  <c r="F409" i="20"/>
  <c r="F410" i="20" a="1"/>
  <c r="F410" i="20" s="1"/>
  <c r="F411" i="20" a="1"/>
  <c r="F411" i="20" s="1"/>
  <c r="F412" i="20" a="1"/>
  <c r="F412" i="20" s="1"/>
  <c r="F413" i="20" a="1"/>
  <c r="F413" i="20" s="1"/>
  <c r="F414" i="20" a="1"/>
  <c r="F414" i="20" s="1"/>
  <c r="F415" i="20" a="1"/>
  <c r="F415" i="20"/>
  <c r="F416" i="20" a="1"/>
  <c r="F416" i="20"/>
  <c r="F417" i="20" a="1"/>
  <c r="F417" i="20" s="1"/>
  <c r="F418" i="20" a="1"/>
  <c r="F418" i="20" s="1"/>
  <c r="F419" i="20" a="1"/>
  <c r="F419" i="20" s="1"/>
  <c r="F420" i="20" a="1"/>
  <c r="F420" i="20" s="1"/>
  <c r="F421" i="20" a="1"/>
  <c r="F421" i="20" s="1"/>
  <c r="F422" i="20" a="1"/>
  <c r="F422" i="20" s="1"/>
  <c r="F423" i="20" a="1"/>
  <c r="F423" i="20" s="1"/>
  <c r="F424" i="20" a="1"/>
  <c r="F424" i="20" s="1"/>
  <c r="F425" i="20" a="1"/>
  <c r="F425" i="20" s="1"/>
  <c r="F426" i="20" a="1"/>
  <c r="F426" i="20" s="1"/>
  <c r="F427" i="20" a="1"/>
  <c r="F427" i="20"/>
  <c r="F428" i="20" a="1"/>
  <c r="F428" i="20" s="1"/>
  <c r="F429" i="20" a="1"/>
  <c r="F429" i="20" s="1"/>
  <c r="F430" i="20" a="1"/>
  <c r="F430" i="20" s="1"/>
  <c r="F431" i="20" a="1"/>
  <c r="F431" i="20" s="1"/>
  <c r="F432" i="20" a="1"/>
  <c r="F432" i="20" s="1"/>
  <c r="F433" i="20" a="1"/>
  <c r="F433" i="20"/>
  <c r="F434" i="20" a="1"/>
  <c r="F434" i="20"/>
  <c r="F435" i="20" a="1"/>
  <c r="F435" i="20" s="1"/>
  <c r="F436" i="20" a="1"/>
  <c r="F436" i="20" s="1"/>
  <c r="F437" i="20" a="1"/>
  <c r="F437" i="20" s="1"/>
  <c r="F438" i="20" a="1"/>
  <c r="F438" i="20" s="1"/>
  <c r="F439" i="20" a="1"/>
  <c r="F439" i="20" s="1"/>
  <c r="F440" i="20" a="1"/>
  <c r="F440" i="20" s="1"/>
  <c r="F441" i="20" a="1"/>
  <c r="F441" i="20" s="1"/>
  <c r="F442" i="20" a="1"/>
  <c r="F442" i="20" s="1"/>
  <c r="F443" i="20" a="1"/>
  <c r="F443" i="20" s="1"/>
  <c r="F444" i="20" a="1"/>
  <c r="F444" i="20" s="1"/>
  <c r="F445" i="20" a="1"/>
  <c r="F445" i="20"/>
  <c r="F446" i="20" a="1"/>
  <c r="F446" i="20" s="1"/>
  <c r="F447" i="20" a="1"/>
  <c r="F447" i="20" s="1"/>
  <c r="F448" i="20" a="1"/>
  <c r="F448" i="20" s="1"/>
  <c r="F449" i="20" a="1"/>
  <c r="F449" i="20" s="1"/>
  <c r="F450" i="20" a="1"/>
  <c r="F450" i="20" s="1"/>
  <c r="F451" i="20" a="1"/>
  <c r="F451" i="20"/>
  <c r="F452" i="20" a="1"/>
  <c r="F452" i="20"/>
  <c r="F453" i="20" a="1"/>
  <c r="F453" i="20" s="1"/>
  <c r="F454" i="20" a="1"/>
  <c r="F454" i="20" s="1"/>
  <c r="F455" i="20" a="1"/>
  <c r="F455" i="20" s="1"/>
  <c r="F456" i="20" a="1"/>
  <c r="F456" i="20" s="1"/>
  <c r="F457" i="20" a="1"/>
  <c r="F457" i="20" s="1"/>
  <c r="F458" i="20" a="1"/>
  <c r="F458" i="20" s="1"/>
  <c r="F459" i="20" a="1"/>
  <c r="F459" i="20" s="1"/>
  <c r="F460" i="20" a="1"/>
  <c r="F460" i="20" s="1"/>
  <c r="F461" i="20" a="1"/>
  <c r="F461" i="20" s="1"/>
  <c r="F462" i="20" a="1"/>
  <c r="F462" i="20" s="1"/>
  <c r="F463" i="20" a="1"/>
  <c r="F463" i="20"/>
  <c r="F464" i="20" a="1"/>
  <c r="F464" i="20" s="1"/>
  <c r="F465" i="20" a="1"/>
  <c r="F465" i="20" s="1"/>
  <c r="F466" i="20" a="1"/>
  <c r="F466" i="20" s="1"/>
  <c r="F467" i="20" a="1"/>
  <c r="F467" i="20" s="1"/>
  <c r="F468" i="20" a="1"/>
  <c r="F468" i="20" s="1"/>
  <c r="F469" i="20" a="1"/>
  <c r="F469" i="20"/>
  <c r="F470" i="20" a="1"/>
  <c r="F470" i="20" s="1"/>
  <c r="F471" i="20" a="1"/>
  <c r="F471" i="20" s="1"/>
  <c r="F472" i="20" a="1"/>
  <c r="F472" i="20" s="1"/>
  <c r="F473" i="20" a="1"/>
  <c r="F473" i="20" s="1"/>
  <c r="F474" i="20" a="1"/>
  <c r="F474" i="20" s="1"/>
  <c r="F475" i="20" a="1"/>
  <c r="F475" i="20" s="1"/>
  <c r="F476" i="20" a="1"/>
  <c r="F476" i="20" s="1"/>
  <c r="F477" i="20" a="1"/>
  <c r="F477" i="20" s="1"/>
  <c r="F478" i="20" a="1"/>
  <c r="F478" i="20" s="1"/>
  <c r="F479" i="20" a="1"/>
  <c r="F479" i="20" s="1"/>
  <c r="F480" i="20" a="1"/>
  <c r="F480" i="20" s="1"/>
  <c r="F481" i="20" a="1"/>
  <c r="F481" i="20"/>
  <c r="K484" i="20"/>
  <c r="J484" i="20"/>
  <c r="E356" i="20" a="1"/>
  <c r="E356" i="20" s="1"/>
  <c r="E355" i="20" a="1"/>
  <c r="E355" i="20" s="1"/>
  <c r="E354" i="20" a="1"/>
  <c r="E354" i="20" s="1"/>
  <c r="E352" i="20" a="1"/>
  <c r="E352" i="20" s="1"/>
  <c r="E233" i="20" a="1"/>
  <c r="E233" i="20" s="1"/>
  <c r="G233" i="20" s="1" a="1"/>
  <c r="G233" i="20" s="1"/>
  <c r="E234" i="20" a="1"/>
  <c r="E234" i="20" s="1"/>
  <c r="G234" i="20" s="1" a="1"/>
  <c r="G234" i="20" s="1"/>
  <c r="E235" i="20" a="1"/>
  <c r="E235" i="20" s="1"/>
  <c r="G235" i="20" s="1" a="1"/>
  <c r="G235" i="20" s="1"/>
  <c r="F233" i="20" a="1"/>
  <c r="F233" i="20" s="1"/>
  <c r="F234" i="20" a="1"/>
  <c r="F234" i="20" s="1"/>
  <c r="F235" i="20" a="1"/>
  <c r="F235" i="20" s="1"/>
  <c r="E207" i="20" a="1"/>
  <c r="E207" i="20" s="1"/>
  <c r="G207" i="20" s="1" a="1"/>
  <c r="G207" i="20" s="1"/>
  <c r="F207" i="20" a="1"/>
  <c r="F207" i="20" s="1"/>
  <c r="G66" i="20" a="1"/>
  <c r="G66" i="20" s="1"/>
  <c r="E10" i="20" a="1"/>
  <c r="E10" i="20" s="1"/>
  <c r="E15" i="20" a="1"/>
  <c r="E15" i="20" s="1"/>
  <c r="G15" i="20" s="1" a="1"/>
  <c r="G15" i="20" s="1"/>
  <c r="E16" i="20" a="1"/>
  <c r="E16" i="20" s="1"/>
  <c r="G16" i="20" s="1" a="1"/>
  <c r="G16" i="20" s="1"/>
  <c r="E17" i="20" a="1"/>
  <c r="E17" i="20" s="1"/>
  <c r="G17" i="20" s="1" a="1"/>
  <c r="G17" i="20" s="1"/>
  <c r="E18" i="20" a="1"/>
  <c r="E18" i="20" s="1"/>
  <c r="G18" i="20" s="1" a="1"/>
  <c r="G18" i="20" s="1"/>
  <c r="F15" i="20" a="1"/>
  <c r="F15" i="20" s="1"/>
  <c r="F16" i="20" a="1"/>
  <c r="F16" i="20" s="1"/>
  <c r="F17" i="20" a="1"/>
  <c r="F17" i="20" s="1"/>
  <c r="F18" i="20" a="1"/>
  <c r="F18" i="20" s="1"/>
  <c r="L205" i="6"/>
  <c r="K122" i="4"/>
  <c r="Q385" i="20" l="1"/>
  <c r="G384" i="20" a="1"/>
  <c r="G384" i="20" s="1"/>
  <c r="Q384" i="20" s="1"/>
  <c r="Q389" i="20"/>
  <c r="Q388" i="20"/>
  <c r="Q387" i="20"/>
  <c r="Q386" i="20"/>
  <c r="F66" i="20"/>
  <c r="F20" i="5"/>
  <c r="F3" i="5"/>
  <c r="F4" i="5"/>
  <c r="F5" i="5"/>
  <c r="F6" i="5"/>
  <c r="F7" i="5"/>
  <c r="F8" i="5"/>
  <c r="F9" i="5"/>
  <c r="F10" i="5"/>
  <c r="F11" i="5"/>
  <c r="F12" i="5"/>
  <c r="F13" i="5"/>
  <c r="F14" i="5"/>
  <c r="F15" i="5"/>
  <c r="F16" i="5"/>
  <c r="F17" i="5"/>
  <c r="F18" i="5"/>
  <c r="Q10" i="5" s="1"/>
  <c r="R10" i="5" s="1"/>
  <c r="F19" i="5"/>
  <c r="F2" i="5"/>
  <c r="Q6" i="5" l="1"/>
  <c r="R6" i="5" s="1"/>
  <c r="Q3" i="5"/>
  <c r="R3" i="5" s="1"/>
  <c r="Q2" i="5"/>
  <c r="Q8" i="5"/>
  <c r="R8" i="5" s="1"/>
  <c r="Q9" i="5"/>
  <c r="R9" i="5" s="1"/>
  <c r="I76" i="5" a="1"/>
  <c r="I76" i="5" s="1"/>
  <c r="I77" i="5" a="1"/>
  <c r="I77" i="5" s="1"/>
  <c r="I74" i="5" a="1"/>
  <c r="I74" i="5" s="1"/>
  <c r="Q4" i="5"/>
  <c r="R4" i="5" s="1"/>
  <c r="Q5" i="5"/>
  <c r="R5" i="5" s="1"/>
  <c r="Q7" i="5"/>
  <c r="R7" i="5" s="1"/>
  <c r="I485" i="20" a="1"/>
  <c r="I485" i="20" s="1"/>
  <c r="L485" i="20" s="1"/>
  <c r="F135" i="6"/>
  <c r="F134" i="6"/>
  <c r="F133" i="6"/>
  <c r="F132" i="6"/>
  <c r="F131" i="6"/>
  <c r="F130" i="6"/>
  <c r="F129" i="6"/>
  <c r="F128" i="6"/>
  <c r="F127" i="6"/>
  <c r="F126" i="6"/>
  <c r="F125" i="6"/>
  <c r="F124" i="6"/>
  <c r="F123" i="6"/>
  <c r="F122" i="6"/>
  <c r="F121" i="6"/>
  <c r="F120" i="6"/>
  <c r="F119" i="6"/>
  <c r="F118" i="6"/>
  <c r="F117" i="6"/>
  <c r="F116" i="6"/>
  <c r="F115" i="6"/>
  <c r="F114" i="6"/>
  <c r="F113" i="6"/>
  <c r="F112" i="6"/>
  <c r="F111" i="6"/>
  <c r="F110" i="6"/>
  <c r="F109" i="6"/>
  <c r="F108" i="6"/>
  <c r="F107" i="6"/>
  <c r="F106" i="6"/>
  <c r="F105" i="6"/>
  <c r="F104" i="6"/>
  <c r="F103" i="6"/>
  <c r="F102" i="6"/>
  <c r="F101" i="6"/>
  <c r="F100" i="6"/>
  <c r="F99" i="6"/>
  <c r="F98" i="6"/>
  <c r="F97" i="6"/>
  <c r="F96" i="6"/>
  <c r="F95" i="6"/>
  <c r="F94" i="6"/>
  <c r="F93" i="6"/>
  <c r="F92" i="6"/>
  <c r="F91" i="6"/>
  <c r="F90" i="6"/>
  <c r="F89" i="6"/>
  <c r="F88" i="6"/>
  <c r="F87" i="6"/>
  <c r="F86" i="6"/>
  <c r="F85" i="6"/>
  <c r="F84" i="6"/>
  <c r="F83" i="6"/>
  <c r="F82" i="6"/>
  <c r="F81" i="6"/>
  <c r="F80" i="6"/>
  <c r="F79" i="6"/>
  <c r="F78" i="6"/>
  <c r="F77" i="6"/>
  <c r="F76" i="6"/>
  <c r="F75" i="6"/>
  <c r="F74" i="6"/>
  <c r="F73" i="6"/>
  <c r="F72" i="6"/>
  <c r="F71" i="6"/>
  <c r="P34" i="6" s="1"/>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F3" i="6"/>
  <c r="F2" i="6"/>
  <c r="J125" i="4" a="1"/>
  <c r="J125" i="4" s="1"/>
  <c r="N77" i="5" l="1"/>
  <c r="I83" i="5"/>
  <c r="N76" i="5"/>
  <c r="I82" i="5"/>
  <c r="P33" i="6"/>
  <c r="Q33" i="6" s="1"/>
  <c r="P32" i="6"/>
  <c r="Q32" i="6" s="1"/>
  <c r="P28" i="6"/>
  <c r="Q28" i="6" s="1"/>
  <c r="P30" i="6"/>
  <c r="Q30" i="6" s="1"/>
  <c r="P29" i="6"/>
  <c r="Q29" i="6" s="1"/>
  <c r="P31" i="6"/>
  <c r="Q31" i="6" s="1"/>
  <c r="P35" i="6"/>
  <c r="Q35" i="6" s="1"/>
  <c r="Q34" i="6"/>
  <c r="P27" i="6"/>
  <c r="I484" i="20"/>
  <c r="L484" i="20" s="1"/>
  <c r="K210" i="6" a="1"/>
  <c r="K210" i="6" s="1"/>
  <c r="M210" i="6" s="1"/>
  <c r="O210" i="6" s="1"/>
  <c r="K211" i="6" a="1"/>
  <c r="K211" i="6" s="1"/>
  <c r="J208" i="6" a="1"/>
  <c r="J208" i="6" s="1"/>
  <c r="M211" i="6" l="1"/>
  <c r="O211" i="6" s="1"/>
  <c r="M127" i="4"/>
  <c r="M128" i="4"/>
  <c r="M129" i="4"/>
  <c r="J205" i="6"/>
  <c r="O130" i="4" l="1"/>
  <c r="O18" i="4"/>
  <c r="O17" i="4"/>
  <c r="O16" i="4"/>
  <c r="O15" i="4"/>
  <c r="O14" i="4"/>
  <c r="O13" i="4"/>
  <c r="O12" i="4"/>
  <c r="O4" i="4"/>
  <c r="P4" i="4" s="1"/>
  <c r="O5" i="4"/>
  <c r="P5" i="4" s="1"/>
  <c r="O6" i="4"/>
  <c r="P6" i="4" s="1"/>
  <c r="O7" i="4"/>
  <c r="P7" i="4" s="1"/>
  <c r="O8" i="4"/>
  <c r="P8" i="4" s="1"/>
  <c r="O9" i="4"/>
  <c r="P9" i="4" s="1"/>
  <c r="O3" i="4"/>
  <c r="P3" i="4" s="1"/>
  <c r="J122" i="4" l="1"/>
  <c r="G308" i="20"/>
  <c r="G353" i="20" l="1" a="1"/>
  <c r="G353" i="20" s="1"/>
  <c r="J33" i="20" l="1"/>
  <c r="F22" i="20" l="1"/>
  <c r="G354" i="20" l="1" a="1"/>
  <c r="G354" i="20" s="1"/>
  <c r="G355" i="20" a="1"/>
  <c r="G355" i="20" s="1"/>
  <c r="G356" i="20" a="1"/>
  <c r="G356" i="20" s="1"/>
  <c r="K373" i="20"/>
  <c r="J373" i="20"/>
  <c r="F356" i="20" a="1"/>
  <c r="F356" i="20" s="1"/>
  <c r="F355" i="20" a="1"/>
  <c r="F355" i="20" s="1"/>
  <c r="F354" i="20" a="1"/>
  <c r="F354" i="20" s="1"/>
  <c r="F352" i="20" a="1"/>
  <c r="F352" i="20" s="1"/>
  <c r="G352" i="20" a="1"/>
  <c r="G352" i="20" s="1"/>
  <c r="E323" i="20" a="1"/>
  <c r="E323" i="20" s="1"/>
  <c r="G323" i="20" s="1" a="1"/>
  <c r="G323" i="20" s="1"/>
  <c r="F323" i="20" a="1"/>
  <c r="F323" i="20" s="1"/>
  <c r="E324" i="20" a="1"/>
  <c r="E324" i="20" s="1"/>
  <c r="G324" i="20" s="1" a="1"/>
  <c r="G324" i="20" s="1"/>
  <c r="F324" i="20" a="1"/>
  <c r="F324" i="20" s="1"/>
  <c r="E325" i="20" a="1"/>
  <c r="E325" i="20" s="1"/>
  <c r="G325" i="20" s="1" a="1"/>
  <c r="G325" i="20" s="1"/>
  <c r="F325" i="20" a="1"/>
  <c r="F325" i="20" s="1"/>
  <c r="E326" i="20" a="1"/>
  <c r="E326" i="20" s="1"/>
  <c r="G326" i="20" s="1" a="1"/>
  <c r="G326" i="20" s="1"/>
  <c r="F326" i="20" a="1"/>
  <c r="F326" i="20" s="1"/>
  <c r="E327" i="20" a="1"/>
  <c r="E327" i="20" s="1"/>
  <c r="G327" i="20" s="1" a="1"/>
  <c r="G327" i="20" s="1"/>
  <c r="F327" i="20" a="1"/>
  <c r="F327" i="20" s="1"/>
  <c r="E328" i="20" a="1"/>
  <c r="E328" i="20" s="1"/>
  <c r="G328" i="20" s="1" a="1"/>
  <c r="G328" i="20" s="1"/>
  <c r="F328" i="20" a="1"/>
  <c r="F328" i="20" s="1"/>
  <c r="E329" i="20" a="1"/>
  <c r="E329" i="20" s="1"/>
  <c r="G329" i="20" s="1" a="1"/>
  <c r="G329" i="20" s="1"/>
  <c r="F329" i="20" a="1"/>
  <c r="F329" i="20" s="1"/>
  <c r="E330" i="20" a="1"/>
  <c r="E330" i="20" s="1"/>
  <c r="G330" i="20" s="1" a="1"/>
  <c r="G330" i="20" s="1"/>
  <c r="F330" i="20" a="1"/>
  <c r="F330" i="20" s="1"/>
  <c r="E331" i="20" a="1"/>
  <c r="E331" i="20" s="1"/>
  <c r="G331" i="20" s="1" a="1"/>
  <c r="G331" i="20" s="1"/>
  <c r="F331" i="20" a="1"/>
  <c r="F331" i="20" s="1"/>
  <c r="E332" i="20" a="1"/>
  <c r="E332" i="20" s="1"/>
  <c r="G332" i="20" s="1" a="1"/>
  <c r="G332" i="20" s="1"/>
  <c r="F332" i="20" a="1"/>
  <c r="F332" i="20" s="1"/>
  <c r="E333" i="20" a="1"/>
  <c r="E333" i="20" s="1"/>
  <c r="G333" i="20" s="1" a="1"/>
  <c r="G333" i="20" s="1"/>
  <c r="F333" i="20" a="1"/>
  <c r="F333" i="20" s="1"/>
  <c r="E334" i="20" a="1"/>
  <c r="E334" i="20" s="1"/>
  <c r="G334" i="20" s="1" a="1"/>
  <c r="G334" i="20" s="1"/>
  <c r="F334" i="20" a="1"/>
  <c r="F334" i="20"/>
  <c r="E335" i="20" a="1"/>
  <c r="E335" i="20" s="1"/>
  <c r="G335" i="20" s="1" a="1"/>
  <c r="G335" i="20" s="1"/>
  <c r="F335" i="20" a="1"/>
  <c r="F335" i="20" s="1"/>
  <c r="E336" i="20" a="1"/>
  <c r="E336" i="20" s="1"/>
  <c r="G336" i="20" s="1" a="1"/>
  <c r="G336" i="20" s="1"/>
  <c r="F336" i="20" a="1"/>
  <c r="F336" i="20" s="1"/>
  <c r="E337" i="20" a="1"/>
  <c r="E337" i="20" s="1"/>
  <c r="G337" i="20" s="1" a="1"/>
  <c r="G337" i="20" s="1"/>
  <c r="F337" i="20" a="1"/>
  <c r="F337" i="20" s="1"/>
  <c r="E338" i="20" a="1"/>
  <c r="E338" i="20" s="1"/>
  <c r="G338" i="20" s="1" a="1"/>
  <c r="G338" i="20" s="1"/>
  <c r="F338" i="20" a="1"/>
  <c r="F338" i="20" s="1"/>
  <c r="K343" i="20"/>
  <c r="J343" i="20"/>
  <c r="F322" i="20" a="1"/>
  <c r="F322" i="20" s="1"/>
  <c r="E322" i="20" a="1"/>
  <c r="E322" i="20" s="1"/>
  <c r="G322" i="20" s="1" a="1"/>
  <c r="G322" i="20" s="1"/>
  <c r="K311" i="20"/>
  <c r="J311" i="20"/>
  <c r="F305" i="20" a="1"/>
  <c r="F305" i="20" s="1"/>
  <c r="E305" i="20" a="1"/>
  <c r="E305" i="20" s="1"/>
  <c r="G305" i="20" s="1" a="1"/>
  <c r="G305" i="20" s="1"/>
  <c r="F304" i="20" a="1"/>
  <c r="F304" i="20" s="1"/>
  <c r="E304" i="20" a="1"/>
  <c r="E304" i="20" s="1"/>
  <c r="G304" i="20" s="1" a="1"/>
  <c r="G304" i="20" s="1"/>
  <c r="F303" i="20" a="1"/>
  <c r="F303" i="20" s="1"/>
  <c r="E303" i="20" a="1"/>
  <c r="E303" i="20" s="1"/>
  <c r="G303" i="20" s="1" a="1"/>
  <c r="G303" i="20" s="1"/>
  <c r="F302" i="20" a="1"/>
  <c r="F302" i="20" s="1"/>
  <c r="E302" i="20" a="1"/>
  <c r="E302" i="20" s="1"/>
  <c r="G302" i="20" s="1" a="1"/>
  <c r="G302" i="20" s="1"/>
  <c r="F301" i="20" a="1"/>
  <c r="F301" i="20" s="1"/>
  <c r="E301" i="20" a="1"/>
  <c r="E301" i="20" s="1"/>
  <c r="G301" i="20" s="1" a="1"/>
  <c r="G301" i="20" s="1"/>
  <c r="F300" i="20" a="1"/>
  <c r="F300" i="20" s="1"/>
  <c r="E300" i="20" a="1"/>
  <c r="E300" i="20" s="1"/>
  <c r="G300" i="20" s="1" a="1"/>
  <c r="G300" i="20" s="1"/>
  <c r="F299" i="20" a="1"/>
  <c r="F299" i="20" s="1"/>
  <c r="E299" i="20" a="1"/>
  <c r="E299" i="20" s="1"/>
  <c r="G299" i="20" s="1" a="1"/>
  <c r="G299" i="20" s="1"/>
  <c r="F298" i="20" a="1"/>
  <c r="F298" i="20" s="1"/>
  <c r="E298" i="20" a="1"/>
  <c r="E298" i="20" s="1"/>
  <c r="G298" i="20" s="1" a="1"/>
  <c r="G298" i="20" s="1"/>
  <c r="F297" i="20" a="1"/>
  <c r="F297" i="20" s="1"/>
  <c r="E297" i="20" a="1"/>
  <c r="E297" i="20" s="1"/>
  <c r="G297" i="20" s="1" a="1"/>
  <c r="G297" i="20" s="1"/>
  <c r="F296" i="20" a="1"/>
  <c r="F296" i="20" s="1"/>
  <c r="E296" i="20" a="1"/>
  <c r="E296" i="20" s="1"/>
  <c r="G296" i="20" s="1" a="1"/>
  <c r="G296" i="20" s="1"/>
  <c r="F295" i="20" a="1"/>
  <c r="F295" i="20" s="1"/>
  <c r="E295" i="20" a="1"/>
  <c r="E295" i="20" s="1"/>
  <c r="G295" i="20" s="1" a="1"/>
  <c r="G295" i="20" s="1"/>
  <c r="E270" i="20" a="1"/>
  <c r="E270" i="20" s="1"/>
  <c r="G270" i="20" s="1" a="1"/>
  <c r="G270" i="20" s="1"/>
  <c r="F270" i="20" a="1"/>
  <c r="F270" i="20" s="1"/>
  <c r="E271" i="20" a="1"/>
  <c r="E271" i="20" s="1"/>
  <c r="G271" i="20" s="1" a="1"/>
  <c r="G271" i="20" s="1"/>
  <c r="F271" i="20" a="1"/>
  <c r="F271" i="20" s="1"/>
  <c r="E272" i="20" a="1"/>
  <c r="E272" i="20" s="1"/>
  <c r="G272" i="20" s="1" a="1"/>
  <c r="G272" i="20" s="1"/>
  <c r="F272" i="20" a="1"/>
  <c r="F272" i="20" s="1"/>
  <c r="E273" i="20" a="1"/>
  <c r="E273" i="20" s="1"/>
  <c r="G273" i="20" s="1" a="1"/>
  <c r="G273" i="20" s="1"/>
  <c r="F273" i="20" a="1"/>
  <c r="F273" i="20" s="1"/>
  <c r="E274" i="20" a="1"/>
  <c r="E274" i="20" s="1"/>
  <c r="G274" i="20" s="1" a="1"/>
  <c r="G274" i="20" s="1"/>
  <c r="F274" i="20" a="1"/>
  <c r="F274" i="20" s="1"/>
  <c r="E275" i="20" a="1"/>
  <c r="E275" i="20" s="1"/>
  <c r="G275" i="20" s="1" a="1"/>
  <c r="G275" i="20" s="1"/>
  <c r="F275" i="20" a="1"/>
  <c r="F275" i="20" s="1"/>
  <c r="E276" i="20" a="1"/>
  <c r="E276" i="20" s="1"/>
  <c r="G276" i="20" s="1" a="1"/>
  <c r="G276" i="20" s="1"/>
  <c r="F276" i="20" a="1"/>
  <c r="F276" i="20" s="1"/>
  <c r="E277" i="20" a="1"/>
  <c r="E277" i="20" s="1"/>
  <c r="G277" i="20" s="1" a="1"/>
  <c r="G277" i="20" s="1"/>
  <c r="F277" i="20" a="1"/>
  <c r="F277" i="20" s="1"/>
  <c r="E278" i="20" a="1"/>
  <c r="E278" i="20" s="1"/>
  <c r="G278" i="20" s="1" a="1"/>
  <c r="G278" i="20" s="1"/>
  <c r="F278" i="20" a="1"/>
  <c r="F278" i="20" s="1"/>
  <c r="E279" i="20" a="1"/>
  <c r="E279" i="20" s="1"/>
  <c r="G279" i="20" s="1" a="1"/>
  <c r="G279" i="20" s="1"/>
  <c r="F279" i="20" a="1"/>
  <c r="F279" i="20" s="1"/>
  <c r="E280" i="20" a="1"/>
  <c r="E280" i="20" s="1"/>
  <c r="G280" i="20" s="1" a="1"/>
  <c r="G280" i="20" s="1"/>
  <c r="F280" i="20" a="1"/>
  <c r="F280" i="20" s="1"/>
  <c r="E281" i="20" a="1"/>
  <c r="E281" i="20" s="1"/>
  <c r="G281" i="20" s="1" a="1"/>
  <c r="G281" i="20" s="1"/>
  <c r="F281" i="20" a="1"/>
  <c r="F281" i="20" s="1"/>
  <c r="K285" i="20"/>
  <c r="J285" i="20"/>
  <c r="F269" i="20" a="1"/>
  <c r="F269" i="20" s="1"/>
  <c r="E269" i="20" a="1"/>
  <c r="E269" i="20" s="1"/>
  <c r="G269" i="20" s="1" a="1"/>
  <c r="G269" i="20" s="1"/>
  <c r="E245" i="20" a="1"/>
  <c r="E245" i="20" s="1"/>
  <c r="G245" i="20" s="1" a="1"/>
  <c r="G245" i="20" s="1"/>
  <c r="E246" i="20" a="1"/>
  <c r="E246" i="20" s="1"/>
  <c r="G246" i="20" s="1" a="1"/>
  <c r="G246" i="20" s="1"/>
  <c r="E247" i="20" a="1"/>
  <c r="E247" i="20" s="1"/>
  <c r="G247" i="20" s="1" a="1"/>
  <c r="G247" i="20" s="1"/>
  <c r="E248" i="20" a="1"/>
  <c r="E248" i="20" s="1"/>
  <c r="G248" i="20" s="1" a="1"/>
  <c r="G248" i="20" s="1"/>
  <c r="E249" i="20" a="1"/>
  <c r="E249" i="20" s="1"/>
  <c r="G249" i="20" s="1" a="1"/>
  <c r="G249" i="20" s="1"/>
  <c r="E250" i="20" a="1"/>
  <c r="E250" i="20" s="1"/>
  <c r="G250" i="20" s="1" a="1"/>
  <c r="G250" i="20" s="1"/>
  <c r="E251" i="20" a="1"/>
  <c r="E251" i="20" s="1"/>
  <c r="G251" i="20" s="1" a="1"/>
  <c r="G251" i="20" s="1"/>
  <c r="E252" i="20" a="1"/>
  <c r="E252" i="20" s="1"/>
  <c r="G252" i="20" s="1" a="1"/>
  <c r="G252" i="20" s="1"/>
  <c r="E253" i="20" a="1"/>
  <c r="E253" i="20" s="1"/>
  <c r="G253" i="20" s="1" a="1"/>
  <c r="G253" i="20" s="1"/>
  <c r="E254" i="20" a="1"/>
  <c r="E254" i="20" s="1"/>
  <c r="G254" i="20" s="1" a="1"/>
  <c r="G254" i="20" s="1"/>
  <c r="E255" i="20" a="1"/>
  <c r="E255" i="20" s="1"/>
  <c r="G255" i="20" s="1" a="1"/>
  <c r="G255" i="20" s="1"/>
  <c r="E256" i="20" a="1"/>
  <c r="E256" i="20" s="1"/>
  <c r="G256" i="20" s="1" a="1"/>
  <c r="G256" i="20" s="1"/>
  <c r="K260" i="20"/>
  <c r="J260" i="20"/>
  <c r="F256" i="20" a="1"/>
  <c r="F256" i="20" s="1"/>
  <c r="F255" i="20" a="1"/>
  <c r="F255" i="20" s="1"/>
  <c r="F254" i="20" a="1"/>
  <c r="F254" i="20" s="1"/>
  <c r="F253" i="20" a="1"/>
  <c r="F253" i="20" s="1"/>
  <c r="F252" i="20" a="1"/>
  <c r="F252" i="20" s="1"/>
  <c r="F251" i="20" a="1"/>
  <c r="F251" i="20" s="1"/>
  <c r="F250" i="20" a="1"/>
  <c r="F250" i="20" s="1"/>
  <c r="F249" i="20" a="1"/>
  <c r="F249" i="20" s="1"/>
  <c r="F248" i="20" a="1"/>
  <c r="F248" i="20" s="1"/>
  <c r="F247" i="20" a="1"/>
  <c r="F247" i="20" s="1"/>
  <c r="F246" i="20" a="1"/>
  <c r="F246" i="20" s="1"/>
  <c r="F245" i="20" a="1"/>
  <c r="F245" i="20" s="1"/>
  <c r="F244" i="20" a="1"/>
  <c r="F244" i="20" s="1"/>
  <c r="E244" i="20" a="1"/>
  <c r="E244" i="20" s="1"/>
  <c r="G244" i="20" s="1" a="1"/>
  <c r="G244" i="20" s="1"/>
  <c r="E220" i="20" a="1"/>
  <c r="E220" i="20" s="1"/>
  <c r="G220" i="20" s="1" a="1"/>
  <c r="G220" i="20" s="1"/>
  <c r="E221" i="20" a="1"/>
  <c r="E221" i="20" s="1"/>
  <c r="G221" i="20" s="1" a="1"/>
  <c r="G221" i="20" s="1"/>
  <c r="E222" i="20" a="1"/>
  <c r="E222" i="20" s="1"/>
  <c r="G222" i="20" s="1" a="1"/>
  <c r="G222" i="20" s="1"/>
  <c r="E223" i="20" a="1"/>
  <c r="E223" i="20" s="1"/>
  <c r="G223" i="20" s="1" a="1"/>
  <c r="G223" i="20" s="1"/>
  <c r="E224" i="20" a="1"/>
  <c r="E224" i="20" s="1"/>
  <c r="G224" i="20" s="1" a="1"/>
  <c r="G224" i="20" s="1"/>
  <c r="E225" i="20" a="1"/>
  <c r="E225" i="20" s="1"/>
  <c r="G225" i="20" s="1" a="1"/>
  <c r="G225" i="20" s="1"/>
  <c r="E226" i="20" a="1"/>
  <c r="E226" i="20" s="1"/>
  <c r="G226" i="20" s="1" a="1"/>
  <c r="G226" i="20" s="1"/>
  <c r="E227" i="20" a="1"/>
  <c r="E227" i="20" s="1"/>
  <c r="G227" i="20" s="1" a="1"/>
  <c r="G227" i="20" s="1"/>
  <c r="E228" i="20" a="1"/>
  <c r="E228" i="20" s="1"/>
  <c r="G228" i="20" s="1" a="1"/>
  <c r="G228" i="20" s="1"/>
  <c r="E229" i="20" a="1"/>
  <c r="E229" i="20" s="1"/>
  <c r="G229" i="20" s="1" a="1"/>
  <c r="G229" i="20" s="1"/>
  <c r="E230" i="20" a="1"/>
  <c r="E230" i="20" s="1"/>
  <c r="G230" i="20" s="1" a="1"/>
  <c r="G230" i="20" s="1"/>
  <c r="E231" i="20" a="1"/>
  <c r="E231" i="20" s="1"/>
  <c r="G231" i="20" s="1" a="1"/>
  <c r="G231" i="20" s="1"/>
  <c r="E232" i="20" a="1"/>
  <c r="E232" i="20" s="1"/>
  <c r="G232" i="20" s="1" a="1"/>
  <c r="G232" i="20" s="1"/>
  <c r="K237" i="20"/>
  <c r="J237" i="20"/>
  <c r="F232" i="20" a="1"/>
  <c r="F232" i="20" s="1"/>
  <c r="F231" i="20" a="1"/>
  <c r="F231" i="20" s="1"/>
  <c r="F230" i="20" a="1"/>
  <c r="F230" i="20" s="1"/>
  <c r="F229" i="20" a="1"/>
  <c r="F229" i="20" s="1"/>
  <c r="F228" i="20" a="1"/>
  <c r="F228" i="20" s="1"/>
  <c r="F227" i="20" a="1"/>
  <c r="F227" i="20" s="1"/>
  <c r="F226" i="20" a="1"/>
  <c r="F226" i="20" s="1"/>
  <c r="F225" i="20" a="1"/>
  <c r="F225" i="20" s="1"/>
  <c r="F224" i="20" a="1"/>
  <c r="F224" i="20" s="1"/>
  <c r="F223" i="20" a="1"/>
  <c r="F223" i="20" s="1"/>
  <c r="F222" i="20" a="1"/>
  <c r="F222" i="20" s="1"/>
  <c r="F221" i="20" a="1"/>
  <c r="F221" i="20" s="1"/>
  <c r="F220" i="20" a="1"/>
  <c r="F220" i="20" s="1"/>
  <c r="F219" i="20" a="1"/>
  <c r="F219" i="20" s="1"/>
  <c r="E219" i="20" a="1"/>
  <c r="E219" i="20" s="1"/>
  <c r="G219" i="20" s="1" a="1"/>
  <c r="G219" i="20" s="1"/>
  <c r="F149" i="20" a="1"/>
  <c r="F149" i="20" s="1"/>
  <c r="F150" i="20" a="1"/>
  <c r="F150" i="20" s="1"/>
  <c r="F151" i="20" a="1"/>
  <c r="F151" i="20" s="1"/>
  <c r="F152" i="20" a="1"/>
  <c r="F152" i="20" s="1"/>
  <c r="F153" i="20" a="1"/>
  <c r="F153" i="20" s="1"/>
  <c r="F154" i="20" a="1"/>
  <c r="F154" i="20" s="1"/>
  <c r="F155" i="20" a="1"/>
  <c r="F155" i="20" s="1"/>
  <c r="F156" i="20" a="1"/>
  <c r="F156" i="20" s="1"/>
  <c r="F157" i="20" a="1"/>
  <c r="F157" i="20" s="1"/>
  <c r="F158" i="20" a="1"/>
  <c r="F158" i="20" s="1"/>
  <c r="F159" i="20" a="1"/>
  <c r="F159" i="20" s="1"/>
  <c r="F160" i="20" a="1"/>
  <c r="F160" i="20" s="1"/>
  <c r="F161" i="20" a="1"/>
  <c r="F161" i="20" s="1"/>
  <c r="F162" i="20" a="1"/>
  <c r="F162" i="20" s="1"/>
  <c r="F163" i="20" a="1"/>
  <c r="F163" i="20" s="1"/>
  <c r="F164" i="20" a="1"/>
  <c r="F164" i="20" s="1"/>
  <c r="F165" i="20" a="1"/>
  <c r="F165" i="20" s="1"/>
  <c r="F166" i="20" a="1"/>
  <c r="F166" i="20" s="1"/>
  <c r="F167" i="20" a="1"/>
  <c r="F167" i="20" s="1"/>
  <c r="F168" i="20" a="1"/>
  <c r="F168" i="20" s="1"/>
  <c r="F169" i="20" a="1"/>
  <c r="F169" i="20" s="1"/>
  <c r="F170" i="20" a="1"/>
  <c r="F170" i="20" s="1"/>
  <c r="F171" i="20" a="1"/>
  <c r="F171" i="20" s="1"/>
  <c r="F172" i="20" a="1"/>
  <c r="F172" i="20" s="1"/>
  <c r="F173" i="20" a="1"/>
  <c r="F173" i="20" s="1"/>
  <c r="F174" i="20" a="1"/>
  <c r="F174" i="20" s="1"/>
  <c r="F175" i="20" a="1"/>
  <c r="F175" i="20" s="1"/>
  <c r="F176" i="20" a="1"/>
  <c r="F176" i="20" s="1"/>
  <c r="F177" i="20" a="1"/>
  <c r="F177" i="20" s="1"/>
  <c r="F178" i="20" a="1"/>
  <c r="F178" i="20" s="1"/>
  <c r="F179" i="20" a="1"/>
  <c r="F179" i="20" s="1"/>
  <c r="F180" i="20" a="1"/>
  <c r="F180" i="20" s="1"/>
  <c r="F181" i="20" a="1"/>
  <c r="F181" i="20" s="1"/>
  <c r="F182" i="20" a="1"/>
  <c r="F182" i="20" s="1"/>
  <c r="F183" i="20" a="1"/>
  <c r="F183" i="20" s="1"/>
  <c r="F184" i="20" a="1"/>
  <c r="F184" i="20" s="1"/>
  <c r="F185" i="20" a="1"/>
  <c r="F185" i="20" s="1"/>
  <c r="F186" i="20" a="1"/>
  <c r="F186" i="20" s="1"/>
  <c r="F187" i="20" a="1"/>
  <c r="F187" i="20" s="1"/>
  <c r="F188" i="20" a="1"/>
  <c r="F188" i="20" s="1"/>
  <c r="F189" i="20" a="1"/>
  <c r="F189" i="20" s="1"/>
  <c r="F190" i="20" a="1"/>
  <c r="F190" i="20" s="1"/>
  <c r="F191" i="20" a="1"/>
  <c r="F191" i="20" s="1"/>
  <c r="F192" i="20" a="1"/>
  <c r="F192" i="20" s="1"/>
  <c r="F193" i="20" a="1"/>
  <c r="F193" i="20" s="1"/>
  <c r="F194" i="20" a="1"/>
  <c r="F194" i="20" s="1"/>
  <c r="F195" i="20" a="1"/>
  <c r="F195" i="20" s="1"/>
  <c r="F196" i="20" a="1"/>
  <c r="F196" i="20" s="1"/>
  <c r="F197" i="20" a="1"/>
  <c r="F197" i="20" s="1"/>
  <c r="F198" i="20" a="1"/>
  <c r="F198" i="20" s="1"/>
  <c r="F199" i="20" a="1"/>
  <c r="F199" i="20" s="1"/>
  <c r="F200" i="20" a="1"/>
  <c r="F200" i="20" s="1"/>
  <c r="F201" i="20" a="1"/>
  <c r="F201" i="20" s="1"/>
  <c r="F202" i="20" a="1"/>
  <c r="F202" i="20" s="1"/>
  <c r="F203" i="20" a="1"/>
  <c r="F203" i="20" s="1"/>
  <c r="F204" i="20" a="1"/>
  <c r="F204" i="20" s="1"/>
  <c r="F205" i="20" a="1"/>
  <c r="F205" i="20" s="1"/>
  <c r="F206" i="20" a="1"/>
  <c r="F206" i="20" s="1"/>
  <c r="E149" i="20" a="1"/>
  <c r="E149" i="20" s="1"/>
  <c r="G149" i="20" s="1" a="1"/>
  <c r="G149" i="20" s="1"/>
  <c r="E150" i="20" a="1"/>
  <c r="E150" i="20" s="1"/>
  <c r="G150" i="20" s="1" a="1"/>
  <c r="G150" i="20" s="1"/>
  <c r="E151" i="20" a="1"/>
  <c r="E151" i="20" s="1"/>
  <c r="G151" i="20" s="1" a="1"/>
  <c r="G151" i="20" s="1"/>
  <c r="E152" i="20" a="1"/>
  <c r="E152" i="20" s="1"/>
  <c r="G152" i="20" s="1" a="1"/>
  <c r="G152" i="20" s="1"/>
  <c r="E153" i="20" a="1"/>
  <c r="E153" i="20" s="1"/>
  <c r="G153" i="20" s="1" a="1"/>
  <c r="G153" i="20" s="1"/>
  <c r="E154" i="20" a="1"/>
  <c r="E154" i="20" s="1"/>
  <c r="G154" i="20" s="1" a="1"/>
  <c r="G154" i="20" s="1"/>
  <c r="E155" i="20" a="1"/>
  <c r="E155" i="20" s="1"/>
  <c r="G155" i="20" s="1" a="1"/>
  <c r="G155" i="20" s="1"/>
  <c r="E156" i="20" a="1"/>
  <c r="E156" i="20" s="1"/>
  <c r="G156" i="20" s="1" a="1"/>
  <c r="G156" i="20" s="1"/>
  <c r="E157" i="20" a="1"/>
  <c r="E157" i="20" s="1"/>
  <c r="G157" i="20" s="1" a="1"/>
  <c r="G157" i="20" s="1"/>
  <c r="E158" i="20" a="1"/>
  <c r="E158" i="20" s="1"/>
  <c r="G158" i="20" s="1" a="1"/>
  <c r="G158" i="20" s="1"/>
  <c r="E159" i="20" a="1"/>
  <c r="E159" i="20" s="1"/>
  <c r="G159" i="20" s="1" a="1"/>
  <c r="G159" i="20" s="1"/>
  <c r="E160" i="20" a="1"/>
  <c r="E160" i="20" s="1"/>
  <c r="G160" i="20" s="1" a="1"/>
  <c r="G160" i="20" s="1"/>
  <c r="E161" i="20" a="1"/>
  <c r="E161" i="20" s="1"/>
  <c r="G161" i="20" s="1" a="1"/>
  <c r="G161" i="20" s="1"/>
  <c r="E162" i="20" a="1"/>
  <c r="E162" i="20" s="1"/>
  <c r="G162" i="20" s="1" a="1"/>
  <c r="G162" i="20" s="1"/>
  <c r="E163" i="20" a="1"/>
  <c r="E163" i="20" s="1"/>
  <c r="G163" i="20" s="1" a="1"/>
  <c r="G163" i="20" s="1"/>
  <c r="E164" i="20" a="1"/>
  <c r="E164" i="20" s="1"/>
  <c r="G164" i="20" s="1" a="1"/>
  <c r="G164" i="20" s="1"/>
  <c r="E165" i="20" a="1"/>
  <c r="E165" i="20" s="1"/>
  <c r="G165" i="20" s="1" a="1"/>
  <c r="G165" i="20" s="1"/>
  <c r="E166" i="20" a="1"/>
  <c r="E166" i="20" s="1"/>
  <c r="G166" i="20" s="1" a="1"/>
  <c r="G166" i="20" s="1"/>
  <c r="E167" i="20" a="1"/>
  <c r="E167" i="20" s="1"/>
  <c r="G167" i="20" s="1" a="1"/>
  <c r="G167" i="20" s="1"/>
  <c r="E168" i="20" a="1"/>
  <c r="E168" i="20" s="1"/>
  <c r="G168" i="20" s="1" a="1"/>
  <c r="G168" i="20" s="1"/>
  <c r="E169" i="20" a="1"/>
  <c r="E169" i="20" s="1"/>
  <c r="G169" i="20" s="1" a="1"/>
  <c r="G169" i="20" s="1"/>
  <c r="E170" i="20" a="1"/>
  <c r="E170" i="20" s="1"/>
  <c r="G170" i="20" s="1" a="1"/>
  <c r="G170" i="20" s="1"/>
  <c r="E171" i="20" a="1"/>
  <c r="E171" i="20" s="1"/>
  <c r="G171" i="20" s="1" a="1"/>
  <c r="G171" i="20" s="1"/>
  <c r="E172" i="20" a="1"/>
  <c r="E172" i="20" s="1"/>
  <c r="G172" i="20" s="1" a="1"/>
  <c r="G172" i="20" s="1"/>
  <c r="E173" i="20" a="1"/>
  <c r="E173" i="20" s="1"/>
  <c r="G173" i="20" s="1" a="1"/>
  <c r="G173" i="20" s="1"/>
  <c r="E174" i="20" a="1"/>
  <c r="E174" i="20" s="1"/>
  <c r="G174" i="20" s="1" a="1"/>
  <c r="G174" i="20" s="1"/>
  <c r="E175" i="20" a="1"/>
  <c r="E175" i="20" s="1"/>
  <c r="G175" i="20" s="1" a="1"/>
  <c r="G175" i="20" s="1"/>
  <c r="E176" i="20" a="1"/>
  <c r="E176" i="20" s="1"/>
  <c r="G176" i="20" s="1" a="1"/>
  <c r="G176" i="20" s="1"/>
  <c r="E177" i="20" a="1"/>
  <c r="E177" i="20" s="1"/>
  <c r="G177" i="20" s="1" a="1"/>
  <c r="G177" i="20" s="1"/>
  <c r="E178" i="20" a="1"/>
  <c r="E178" i="20" s="1"/>
  <c r="G178" i="20" s="1" a="1"/>
  <c r="G178" i="20" s="1"/>
  <c r="E179" i="20" a="1"/>
  <c r="E179" i="20" s="1"/>
  <c r="G179" i="20" s="1" a="1"/>
  <c r="G179" i="20" s="1"/>
  <c r="E180" i="20" a="1"/>
  <c r="E180" i="20" s="1"/>
  <c r="G180" i="20" s="1" a="1"/>
  <c r="G180" i="20" s="1"/>
  <c r="E181" i="20" a="1"/>
  <c r="E181" i="20" s="1"/>
  <c r="G181" i="20" s="1" a="1"/>
  <c r="G181" i="20" s="1"/>
  <c r="E182" i="20" a="1"/>
  <c r="E182" i="20" s="1"/>
  <c r="G182" i="20" s="1" a="1"/>
  <c r="G182" i="20" s="1"/>
  <c r="E183" i="20" a="1"/>
  <c r="E183" i="20" s="1"/>
  <c r="G183" i="20" s="1" a="1"/>
  <c r="G183" i="20" s="1"/>
  <c r="E184" i="20" a="1"/>
  <c r="E184" i="20" s="1"/>
  <c r="G184" i="20" s="1" a="1"/>
  <c r="G184" i="20" s="1"/>
  <c r="E185" i="20" a="1"/>
  <c r="E185" i="20" s="1"/>
  <c r="G185" i="20" s="1" a="1"/>
  <c r="G185" i="20" s="1"/>
  <c r="E186" i="20" a="1"/>
  <c r="E186" i="20" s="1"/>
  <c r="G186" i="20" s="1" a="1"/>
  <c r="G186" i="20" s="1"/>
  <c r="E187" i="20" a="1"/>
  <c r="E187" i="20" s="1"/>
  <c r="G187" i="20" s="1" a="1"/>
  <c r="G187" i="20" s="1"/>
  <c r="E188" i="20" a="1"/>
  <c r="E188" i="20" s="1"/>
  <c r="G188" i="20" s="1" a="1"/>
  <c r="G188" i="20" s="1"/>
  <c r="E189" i="20" a="1"/>
  <c r="E189" i="20" s="1"/>
  <c r="G189" i="20" s="1" a="1"/>
  <c r="G189" i="20" s="1"/>
  <c r="E190" i="20" a="1"/>
  <c r="E190" i="20" s="1"/>
  <c r="G190" i="20" s="1" a="1"/>
  <c r="G190" i="20" s="1"/>
  <c r="E191" i="20" a="1"/>
  <c r="E191" i="20" s="1"/>
  <c r="G191" i="20" s="1" a="1"/>
  <c r="G191" i="20" s="1"/>
  <c r="E192" i="20" a="1"/>
  <c r="E192" i="20" s="1"/>
  <c r="G192" i="20" s="1" a="1"/>
  <c r="G192" i="20" s="1"/>
  <c r="E193" i="20" a="1"/>
  <c r="E193" i="20" s="1"/>
  <c r="G193" i="20" s="1" a="1"/>
  <c r="G193" i="20" s="1"/>
  <c r="E194" i="20" a="1"/>
  <c r="E194" i="20" s="1"/>
  <c r="G194" i="20" s="1" a="1"/>
  <c r="G194" i="20" s="1"/>
  <c r="E195" i="20" a="1"/>
  <c r="E195" i="20" s="1"/>
  <c r="G195" i="20" s="1" a="1"/>
  <c r="G195" i="20" s="1"/>
  <c r="E196" i="20" a="1"/>
  <c r="E196" i="20" s="1"/>
  <c r="G196" i="20" s="1" a="1"/>
  <c r="G196" i="20" s="1"/>
  <c r="E197" i="20" a="1"/>
  <c r="E197" i="20" s="1"/>
  <c r="G197" i="20" s="1" a="1"/>
  <c r="G197" i="20" s="1"/>
  <c r="E198" i="20" a="1"/>
  <c r="E198" i="20" s="1"/>
  <c r="G198" i="20" s="1" a="1"/>
  <c r="G198" i="20" s="1"/>
  <c r="E199" i="20" a="1"/>
  <c r="E199" i="20" s="1"/>
  <c r="G199" i="20" s="1" a="1"/>
  <c r="G199" i="20" s="1"/>
  <c r="E200" i="20" a="1"/>
  <c r="E200" i="20" s="1"/>
  <c r="G200" i="20" s="1" a="1"/>
  <c r="G200" i="20" s="1"/>
  <c r="E201" i="20" a="1"/>
  <c r="E201" i="20" s="1"/>
  <c r="G201" i="20" s="1" a="1"/>
  <c r="G201" i="20" s="1"/>
  <c r="E202" i="20" a="1"/>
  <c r="E202" i="20" s="1"/>
  <c r="G202" i="20" s="1" a="1"/>
  <c r="G202" i="20" s="1"/>
  <c r="E203" i="20" a="1"/>
  <c r="E203" i="20" s="1"/>
  <c r="G203" i="20" s="1" a="1"/>
  <c r="G203" i="20" s="1"/>
  <c r="E204" i="20" a="1"/>
  <c r="E204" i="20" s="1"/>
  <c r="G204" i="20" s="1" a="1"/>
  <c r="G204" i="20" s="1"/>
  <c r="E205" i="20" a="1"/>
  <c r="E205" i="20" s="1"/>
  <c r="G205" i="20" s="1" a="1"/>
  <c r="G205" i="20" s="1"/>
  <c r="E206" i="20" a="1"/>
  <c r="E206" i="20" s="1"/>
  <c r="G206" i="20" s="1" a="1"/>
  <c r="G206" i="20" s="1"/>
  <c r="K209" i="20"/>
  <c r="J209" i="20"/>
  <c r="F97" i="20" a="1"/>
  <c r="F97" i="20" s="1"/>
  <c r="F98" i="20" a="1"/>
  <c r="F98" i="20" s="1"/>
  <c r="F99" i="20" a="1"/>
  <c r="F99" i="20" s="1"/>
  <c r="F100" i="20" a="1"/>
  <c r="F100" i="20" s="1"/>
  <c r="F101" i="20" a="1"/>
  <c r="F101" i="20" s="1"/>
  <c r="F102" i="20" a="1"/>
  <c r="F102" i="20" s="1"/>
  <c r="F103" i="20" a="1"/>
  <c r="F103" i="20" s="1"/>
  <c r="F104" i="20" a="1"/>
  <c r="F104" i="20" s="1"/>
  <c r="F105" i="20" a="1"/>
  <c r="F105" i="20" s="1"/>
  <c r="F106" i="20" a="1"/>
  <c r="F106" i="20" s="1"/>
  <c r="F107" i="20" a="1"/>
  <c r="F107" i="20" s="1"/>
  <c r="F108" i="20" a="1"/>
  <c r="F108" i="20" s="1"/>
  <c r="F109" i="20" a="1"/>
  <c r="F109" i="20" s="1"/>
  <c r="F110" i="20" a="1"/>
  <c r="F110" i="20" s="1"/>
  <c r="F111" i="20" a="1"/>
  <c r="F111" i="20" s="1"/>
  <c r="F112" i="20" a="1"/>
  <c r="F112" i="20" s="1"/>
  <c r="F113" i="20" a="1"/>
  <c r="F113" i="20" s="1"/>
  <c r="F114" i="20" a="1"/>
  <c r="F114" i="20" s="1"/>
  <c r="F115" i="20" a="1"/>
  <c r="F115" i="20" s="1"/>
  <c r="F116" i="20" a="1"/>
  <c r="F116" i="20" s="1"/>
  <c r="F117" i="20" a="1"/>
  <c r="F117" i="20" s="1"/>
  <c r="F118" i="20" a="1"/>
  <c r="F118" i="20" s="1"/>
  <c r="F119" i="20" a="1"/>
  <c r="F119" i="20" s="1"/>
  <c r="F120" i="20" a="1"/>
  <c r="F120" i="20" s="1"/>
  <c r="F121" i="20" a="1"/>
  <c r="F121" i="20" s="1"/>
  <c r="F122" i="20" a="1"/>
  <c r="F122" i="20" s="1"/>
  <c r="F123" i="20" a="1"/>
  <c r="F123" i="20" s="1"/>
  <c r="F124" i="20" a="1"/>
  <c r="F124" i="20" s="1"/>
  <c r="F125" i="20" a="1"/>
  <c r="F125" i="20" s="1"/>
  <c r="F126" i="20" a="1"/>
  <c r="F126" i="20" s="1"/>
  <c r="F127" i="20" a="1"/>
  <c r="F127" i="20" s="1"/>
  <c r="F128" i="20" a="1"/>
  <c r="F128" i="20" s="1"/>
  <c r="F129" i="20" a="1"/>
  <c r="F129" i="20" s="1"/>
  <c r="F130" i="20" a="1"/>
  <c r="F130" i="20" s="1"/>
  <c r="F131" i="20" a="1"/>
  <c r="F131" i="20" s="1"/>
  <c r="F132" i="20" a="1"/>
  <c r="F132" i="20" s="1"/>
  <c r="F133" i="20" a="1"/>
  <c r="F133" i="20" s="1"/>
  <c r="F134" i="20" a="1"/>
  <c r="F134" i="20" s="1"/>
  <c r="F135" i="20" a="1"/>
  <c r="F135" i="20" s="1"/>
  <c r="E97" i="20" a="1"/>
  <c r="E97" i="20" s="1"/>
  <c r="G97" i="20" s="1" a="1"/>
  <c r="G97" i="20" s="1"/>
  <c r="E98" i="20" a="1"/>
  <c r="E98" i="20" s="1"/>
  <c r="G98" i="20" s="1" a="1"/>
  <c r="G98" i="20" s="1"/>
  <c r="E99" i="20" a="1"/>
  <c r="E99" i="20" s="1"/>
  <c r="G99" i="20" s="1" a="1"/>
  <c r="G99" i="20" s="1"/>
  <c r="E100" i="20" a="1"/>
  <c r="E100" i="20" s="1"/>
  <c r="G100" i="20" s="1" a="1"/>
  <c r="G100" i="20" s="1"/>
  <c r="E101" i="20" a="1"/>
  <c r="E101" i="20" s="1"/>
  <c r="G101" i="20" s="1" a="1"/>
  <c r="G101" i="20" s="1"/>
  <c r="E102" i="20" a="1"/>
  <c r="E102" i="20" s="1"/>
  <c r="G102" i="20" s="1" a="1"/>
  <c r="G102" i="20" s="1"/>
  <c r="E103" i="20" a="1"/>
  <c r="E103" i="20" s="1"/>
  <c r="G103" i="20" s="1" a="1"/>
  <c r="G103" i="20" s="1"/>
  <c r="E104" i="20" a="1"/>
  <c r="E104" i="20" s="1"/>
  <c r="G104" i="20" s="1" a="1"/>
  <c r="G104" i="20" s="1"/>
  <c r="E105" i="20" a="1"/>
  <c r="E105" i="20" s="1"/>
  <c r="G105" i="20" s="1" a="1"/>
  <c r="G105" i="20" s="1"/>
  <c r="E106" i="20" a="1"/>
  <c r="E106" i="20" s="1"/>
  <c r="G106" i="20" s="1" a="1"/>
  <c r="G106" i="20" s="1"/>
  <c r="E107" i="20" a="1"/>
  <c r="E107" i="20" s="1"/>
  <c r="G107" i="20" s="1" a="1"/>
  <c r="G107" i="20" s="1"/>
  <c r="E108" i="20" a="1"/>
  <c r="E108" i="20" s="1"/>
  <c r="G108" i="20" s="1" a="1"/>
  <c r="G108" i="20" s="1"/>
  <c r="E109" i="20" a="1"/>
  <c r="E109" i="20" s="1"/>
  <c r="G109" i="20" s="1" a="1"/>
  <c r="G109" i="20" s="1"/>
  <c r="E110" i="20" a="1"/>
  <c r="E110" i="20" s="1"/>
  <c r="G110" i="20" s="1" a="1"/>
  <c r="G110" i="20" s="1"/>
  <c r="E111" i="20" a="1"/>
  <c r="E111" i="20" s="1"/>
  <c r="G111" i="20" s="1" a="1"/>
  <c r="G111" i="20" s="1"/>
  <c r="E112" i="20" a="1"/>
  <c r="E112" i="20" s="1"/>
  <c r="G112" i="20" s="1" a="1"/>
  <c r="G112" i="20" s="1"/>
  <c r="E113" i="20" a="1"/>
  <c r="E113" i="20" s="1"/>
  <c r="G113" i="20" s="1" a="1"/>
  <c r="G113" i="20" s="1"/>
  <c r="E114" i="20" a="1"/>
  <c r="E114" i="20" s="1"/>
  <c r="G114" i="20" s="1" a="1"/>
  <c r="G114" i="20" s="1"/>
  <c r="E115" i="20" a="1"/>
  <c r="E115" i="20" s="1"/>
  <c r="G115" i="20" s="1" a="1"/>
  <c r="G115" i="20" s="1"/>
  <c r="E116" i="20" a="1"/>
  <c r="E116" i="20" s="1"/>
  <c r="G116" i="20" s="1" a="1"/>
  <c r="G116" i="20" s="1"/>
  <c r="E117" i="20" a="1"/>
  <c r="E117" i="20" s="1"/>
  <c r="G117" i="20" s="1" a="1"/>
  <c r="G117" i="20" s="1"/>
  <c r="E118" i="20" a="1"/>
  <c r="E118" i="20" s="1"/>
  <c r="G118" i="20" s="1" a="1"/>
  <c r="G118" i="20" s="1"/>
  <c r="E119" i="20" a="1"/>
  <c r="E119" i="20" s="1"/>
  <c r="G119" i="20" s="1" a="1"/>
  <c r="G119" i="20" s="1"/>
  <c r="E120" i="20" a="1"/>
  <c r="E120" i="20" s="1"/>
  <c r="G120" i="20" s="1" a="1"/>
  <c r="G120" i="20" s="1"/>
  <c r="E121" i="20" a="1"/>
  <c r="E121" i="20" s="1"/>
  <c r="G121" i="20" s="1" a="1"/>
  <c r="G121" i="20" s="1"/>
  <c r="E122" i="20" a="1"/>
  <c r="E122" i="20" s="1"/>
  <c r="G122" i="20" s="1" a="1"/>
  <c r="G122" i="20" s="1"/>
  <c r="E123" i="20" a="1"/>
  <c r="E123" i="20" s="1"/>
  <c r="G123" i="20" s="1" a="1"/>
  <c r="G123" i="20" s="1"/>
  <c r="E124" i="20" a="1"/>
  <c r="E124" i="20" s="1"/>
  <c r="G124" i="20" s="1" a="1"/>
  <c r="G124" i="20" s="1"/>
  <c r="E125" i="20" a="1"/>
  <c r="E125" i="20" s="1"/>
  <c r="G125" i="20" s="1" a="1"/>
  <c r="G125" i="20" s="1"/>
  <c r="E126" i="20" a="1"/>
  <c r="E126" i="20" s="1"/>
  <c r="G126" i="20" s="1" a="1"/>
  <c r="G126" i="20" s="1"/>
  <c r="E127" i="20" a="1"/>
  <c r="E127" i="20" s="1"/>
  <c r="G127" i="20" s="1" a="1"/>
  <c r="G127" i="20" s="1"/>
  <c r="E128" i="20" a="1"/>
  <c r="E128" i="20" s="1"/>
  <c r="G128" i="20" s="1" a="1"/>
  <c r="G128" i="20" s="1"/>
  <c r="E129" i="20" a="1"/>
  <c r="E129" i="20" s="1"/>
  <c r="G129" i="20" s="1" a="1"/>
  <c r="G129" i="20" s="1"/>
  <c r="E130" i="20" a="1"/>
  <c r="E130" i="20" s="1"/>
  <c r="G130" i="20" s="1" a="1"/>
  <c r="G130" i="20" s="1"/>
  <c r="E131" i="20" a="1"/>
  <c r="E131" i="20" s="1"/>
  <c r="G131" i="20" s="1" a="1"/>
  <c r="G131" i="20" s="1"/>
  <c r="E132" i="20" a="1"/>
  <c r="E132" i="20" s="1"/>
  <c r="G132" i="20" s="1" a="1"/>
  <c r="G132" i="20" s="1"/>
  <c r="E133" i="20" a="1"/>
  <c r="E133" i="20" s="1"/>
  <c r="G133" i="20" s="1" a="1"/>
  <c r="G133" i="20" s="1"/>
  <c r="E134" i="20" a="1"/>
  <c r="E134" i="20" s="1"/>
  <c r="G134" i="20" s="1" a="1"/>
  <c r="G134" i="20" s="1"/>
  <c r="E135" i="20" a="1"/>
  <c r="E135" i="20" s="1"/>
  <c r="G135" i="20" s="1" a="1"/>
  <c r="G135" i="20" s="1"/>
  <c r="K138" i="20"/>
  <c r="J138" i="20"/>
  <c r="F14" i="20" a="1"/>
  <c r="F14" i="20" s="1"/>
  <c r="E14" i="20" a="1"/>
  <c r="E14" i="20" s="1"/>
  <c r="G14" i="20" s="1" a="1"/>
  <c r="G14" i="20" s="1"/>
  <c r="F13" i="20" a="1"/>
  <c r="F13" i="20" s="1"/>
  <c r="E13" i="20" a="1"/>
  <c r="E13" i="20" s="1"/>
  <c r="G13" i="20" s="1" a="1"/>
  <c r="G13" i="20" s="1"/>
  <c r="F12" i="20" a="1"/>
  <c r="F12" i="20" s="1"/>
  <c r="E12" i="20" a="1"/>
  <c r="E12" i="20" s="1"/>
  <c r="G12" i="20" s="1" a="1"/>
  <c r="G12" i="20" s="1"/>
  <c r="F11" i="20" a="1"/>
  <c r="F11" i="20" s="1"/>
  <c r="E11" i="20" a="1"/>
  <c r="E11" i="20" s="1"/>
  <c r="G11" i="20" s="1" a="1"/>
  <c r="G11" i="20" s="1"/>
  <c r="F10" i="20" a="1"/>
  <c r="F10" i="20" s="1"/>
  <c r="G10" i="20" a="1"/>
  <c r="G10" i="20" s="1"/>
  <c r="F9" i="20" a="1"/>
  <c r="F9" i="20" s="1"/>
  <c r="E9" i="20" a="1"/>
  <c r="E9" i="20" s="1"/>
  <c r="G9" i="20" s="1" a="1"/>
  <c r="G9" i="20" s="1"/>
  <c r="F8" i="20" a="1"/>
  <c r="F8" i="20" s="1"/>
  <c r="E8" i="20" a="1"/>
  <c r="E8" i="20" s="1"/>
  <c r="G8" i="20" s="1" a="1"/>
  <c r="G8" i="20" s="1"/>
  <c r="F7" i="20" a="1"/>
  <c r="F7" i="20" s="1"/>
  <c r="E7" i="20" a="1"/>
  <c r="E7" i="20" s="1"/>
  <c r="G7" i="20" s="1" a="1"/>
  <c r="G7" i="20" s="1"/>
  <c r="F6" i="20" a="1"/>
  <c r="F6" i="20" s="1"/>
  <c r="E6" i="20" a="1"/>
  <c r="E6" i="20" s="1"/>
  <c r="G6" i="20" s="1" a="1"/>
  <c r="G6" i="20" s="1"/>
  <c r="F5" i="20" a="1"/>
  <c r="F5" i="20" s="1"/>
  <c r="E5" i="20" a="1"/>
  <c r="E5" i="20" s="1"/>
  <c r="G5" i="20" s="1" a="1"/>
  <c r="G5" i="20" s="1"/>
  <c r="F4" i="20" a="1"/>
  <c r="F4" i="20" s="1"/>
  <c r="E4" i="20" a="1"/>
  <c r="E4" i="20" s="1"/>
  <c r="G65" i="20" a="1"/>
  <c r="G65" i="20" s="1"/>
  <c r="G64" i="20" a="1"/>
  <c r="G64" i="20" s="1"/>
  <c r="G63" i="20" a="1"/>
  <c r="G63" i="20" s="1"/>
  <c r="G62" i="20" a="1"/>
  <c r="G62" i="20" s="1"/>
  <c r="G61" i="20" a="1"/>
  <c r="G61" i="20" s="1"/>
  <c r="G60" i="20" a="1"/>
  <c r="G60" i="20" s="1"/>
  <c r="G59" i="20" a="1"/>
  <c r="G59" i="20" s="1"/>
  <c r="G58" i="20" a="1"/>
  <c r="G58" i="20" s="1"/>
  <c r="G57" i="20" a="1"/>
  <c r="G57" i="20" s="1"/>
  <c r="G56" i="20" a="1"/>
  <c r="G56" i="20" s="1"/>
  <c r="G55" i="20" a="1"/>
  <c r="G55" i="20" s="1"/>
  <c r="G54" i="20" a="1"/>
  <c r="G54" i="20" s="1"/>
  <c r="G53" i="20" a="1"/>
  <c r="G53" i="20" s="1"/>
  <c r="G52" i="20" a="1"/>
  <c r="G52" i="20" s="1"/>
  <c r="G51" i="20" a="1"/>
  <c r="G51" i="20" s="1"/>
  <c r="G50" i="20" a="1"/>
  <c r="G50" i="20" s="1"/>
  <c r="G49" i="20" a="1"/>
  <c r="G49" i="20" s="1"/>
  <c r="G48" i="20" a="1"/>
  <c r="G48" i="20" s="1"/>
  <c r="G47" i="20" a="1"/>
  <c r="G47" i="20" s="1"/>
  <c r="G46" i="20" a="1"/>
  <c r="G46" i="20" s="1"/>
  <c r="G45" i="20" a="1"/>
  <c r="G45" i="20" s="1"/>
  <c r="G44" i="20" a="1"/>
  <c r="G44" i="20" s="1"/>
  <c r="G43" i="20" a="1"/>
  <c r="G43" i="20" s="1"/>
  <c r="G42" i="20" a="1"/>
  <c r="G42" i="20" s="1"/>
  <c r="G41" i="20" a="1"/>
  <c r="G41" i="20" s="1"/>
  <c r="F65" i="20" a="1"/>
  <c r="F65" i="20" s="1"/>
  <c r="F64" i="20" a="1"/>
  <c r="F64" i="20" s="1"/>
  <c r="F63" i="20" a="1"/>
  <c r="F63" i="20" s="1"/>
  <c r="F62" i="20" a="1"/>
  <c r="F62" i="20" s="1"/>
  <c r="F61" i="20" a="1"/>
  <c r="F61" i="20" s="1"/>
  <c r="F60" i="20" a="1"/>
  <c r="F60" i="20" s="1"/>
  <c r="F59" i="20" a="1"/>
  <c r="F59" i="20" s="1"/>
  <c r="F58" i="20" a="1"/>
  <c r="F58" i="20" s="1"/>
  <c r="F57" i="20" a="1"/>
  <c r="F57" i="20" s="1"/>
  <c r="F56" i="20" a="1"/>
  <c r="F56" i="20" s="1"/>
  <c r="F55" i="20" a="1"/>
  <c r="F55" i="20" s="1"/>
  <c r="F54" i="20" a="1"/>
  <c r="F54" i="20" s="1"/>
  <c r="F53" i="20" a="1"/>
  <c r="F53" i="20" s="1"/>
  <c r="F52" i="20" a="1"/>
  <c r="F52" i="20" s="1"/>
  <c r="F51" i="20" a="1"/>
  <c r="F51" i="20" s="1"/>
  <c r="F50" i="20" a="1"/>
  <c r="F50" i="20" s="1"/>
  <c r="F49" i="20" a="1"/>
  <c r="F49" i="20" s="1"/>
  <c r="F48" i="20" a="1"/>
  <c r="F48" i="20" s="1"/>
  <c r="F47" i="20" a="1"/>
  <c r="F47" i="20" s="1"/>
  <c r="F46" i="20" a="1"/>
  <c r="F46" i="20" s="1"/>
  <c r="F45" i="20" a="1"/>
  <c r="F45" i="20" s="1"/>
  <c r="F44" i="20" a="1"/>
  <c r="F44" i="20" s="1"/>
  <c r="F43" i="20" a="1"/>
  <c r="F43" i="20" s="1"/>
  <c r="F42" i="20" a="1"/>
  <c r="F42" i="20" s="1"/>
  <c r="K86" i="20"/>
  <c r="J86" i="20"/>
  <c r="K33" i="20"/>
  <c r="I87" i="20" l="1" a="1"/>
  <c r="I87" i="20" s="1"/>
  <c r="I86" i="20" s="1"/>
  <c r="R387" i="20"/>
  <c r="R386" i="20"/>
  <c r="R389" i="20"/>
  <c r="R385" i="20"/>
  <c r="R384" i="20"/>
  <c r="I486" i="20" s="1" a="1"/>
  <c r="I486" i="20" s="1"/>
  <c r="I238" i="20" a="1"/>
  <c r="I238" i="20" s="1"/>
  <c r="I237" i="20" s="1"/>
  <c r="I210" i="20" a="1"/>
  <c r="I210" i="20" s="1"/>
  <c r="I209" i="20" s="1"/>
  <c r="Q352" i="20"/>
  <c r="Q365" i="20"/>
  <c r="Q332" i="20"/>
  <c r="Q296" i="20"/>
  <c r="R296" i="20" s="1"/>
  <c r="Q257" i="20"/>
  <c r="Q249" i="20"/>
  <c r="Q156" i="20"/>
  <c r="Q111" i="20"/>
  <c r="Q113" i="20"/>
  <c r="R113" i="20" s="1"/>
  <c r="Q41" i="20"/>
  <c r="R41" i="20" s="1"/>
  <c r="Q47" i="20"/>
  <c r="R47" i="20" s="1"/>
  <c r="Q358" i="20"/>
  <c r="R358" i="20" s="1"/>
  <c r="Q325" i="20"/>
  <c r="Q295" i="20"/>
  <c r="Q305" i="20"/>
  <c r="Q276" i="20"/>
  <c r="R276" i="20" s="1"/>
  <c r="Q254" i="20"/>
  <c r="Q106" i="20"/>
  <c r="Q155" i="20"/>
  <c r="Q158" i="20"/>
  <c r="R158" i="20" s="1"/>
  <c r="Q44" i="20"/>
  <c r="R44" i="20" s="1"/>
  <c r="Q7" i="20"/>
  <c r="R7" i="20" s="1"/>
  <c r="Q361" i="20"/>
  <c r="Q328" i="20"/>
  <c r="R328" i="20" s="1"/>
  <c r="Q298" i="20"/>
  <c r="Q269" i="20"/>
  <c r="Q279" i="20"/>
  <c r="Q221" i="20"/>
  <c r="R221" i="20" s="1"/>
  <c r="Q154" i="20"/>
  <c r="Q100" i="20"/>
  <c r="R100" i="20" s="1"/>
  <c r="Q99" i="20"/>
  <c r="R99" i="20" s="1"/>
  <c r="Q17" i="20"/>
  <c r="R17" i="20" s="1"/>
  <c r="Q57" i="20"/>
  <c r="R57" i="20" s="1"/>
  <c r="Q307" i="20"/>
  <c r="R307" i="20" s="1"/>
  <c r="Q255" i="20"/>
  <c r="R255" i="20" s="1"/>
  <c r="Q107" i="20"/>
  <c r="R107" i="20" s="1"/>
  <c r="Q219" i="20"/>
  <c r="Q54" i="20"/>
  <c r="Q9" i="20"/>
  <c r="Q308" i="20"/>
  <c r="R308" i="20" s="1"/>
  <c r="Q105" i="20"/>
  <c r="R105" i="20" s="1"/>
  <c r="Q224" i="20"/>
  <c r="R224" i="20" s="1"/>
  <c r="Q55" i="20"/>
  <c r="Q302" i="20"/>
  <c r="Q165" i="20"/>
  <c r="Q12" i="20"/>
  <c r="R12" i="20" s="1"/>
  <c r="Q364" i="20"/>
  <c r="R364" i="20" s="1"/>
  <c r="Q331" i="20"/>
  <c r="R331" i="20" s="1"/>
  <c r="Q301" i="20"/>
  <c r="Q272" i="20"/>
  <c r="Q247" i="20"/>
  <c r="R247" i="20" s="1"/>
  <c r="Q152" i="20"/>
  <c r="R152" i="20" s="1"/>
  <c r="Q163" i="20"/>
  <c r="R163" i="20" s="1"/>
  <c r="Q109" i="20"/>
  <c r="Q151" i="20"/>
  <c r="Q13" i="20"/>
  <c r="Q6" i="20"/>
  <c r="R6" i="20" s="1"/>
  <c r="Q18" i="20"/>
  <c r="Q354" i="20"/>
  <c r="R354" i="20" s="1"/>
  <c r="Q334" i="20"/>
  <c r="R334" i="20" s="1"/>
  <c r="Q304" i="20"/>
  <c r="Q275" i="20"/>
  <c r="R275" i="20" s="1"/>
  <c r="Q251" i="20"/>
  <c r="R251" i="20" s="1"/>
  <c r="Q161" i="20"/>
  <c r="R161" i="20" s="1"/>
  <c r="Q98" i="20"/>
  <c r="Q157" i="20"/>
  <c r="Q159" i="20"/>
  <c r="Q51" i="20"/>
  <c r="Q4" i="20"/>
  <c r="R4" i="20" s="1"/>
  <c r="Q5" i="20"/>
  <c r="Q335" i="20"/>
  <c r="R335" i="20" s="1"/>
  <c r="Q278" i="20"/>
  <c r="R278" i="20" s="1"/>
  <c r="Q253" i="20"/>
  <c r="R253" i="20" s="1"/>
  <c r="Q220" i="20"/>
  <c r="R220" i="20" s="1"/>
  <c r="Q324" i="20"/>
  <c r="R324" i="20" s="1"/>
  <c r="Q244" i="20"/>
  <c r="R244" i="20" s="1"/>
  <c r="Q227" i="20"/>
  <c r="Q20" i="20"/>
  <c r="Q49" i="20"/>
  <c r="Q322" i="20"/>
  <c r="Q97" i="20"/>
  <c r="R97" i="20" s="1"/>
  <c r="Q46" i="20"/>
  <c r="R46" i="20" s="1"/>
  <c r="Q357" i="20"/>
  <c r="R357" i="20" s="1"/>
  <c r="Q16" i="20"/>
  <c r="R16" i="20" s="1"/>
  <c r="Q360" i="20"/>
  <c r="R360" i="20" s="1"/>
  <c r="Q281" i="20"/>
  <c r="R281" i="20" s="1"/>
  <c r="Q222" i="20"/>
  <c r="R222" i="20" s="1"/>
  <c r="Q43" i="20"/>
  <c r="Q11" i="20"/>
  <c r="Q355" i="20"/>
  <c r="Q270" i="20"/>
  <c r="Q150" i="20"/>
  <c r="Q363" i="20"/>
  <c r="R363" i="20" s="1"/>
  <c r="Q327" i="20"/>
  <c r="R327" i="20" s="1"/>
  <c r="Q297" i="20"/>
  <c r="R297" i="20" s="1"/>
  <c r="Q282" i="20"/>
  <c r="R282" i="20" s="1"/>
  <c r="Q229" i="20"/>
  <c r="R229" i="20" s="1"/>
  <c r="Q246" i="20"/>
  <c r="R246" i="20" s="1"/>
  <c r="Q226" i="20"/>
  <c r="Q231" i="20"/>
  <c r="R231" i="20" s="1"/>
  <c r="Q228" i="20"/>
  <c r="Q15" i="20"/>
  <c r="Q53" i="20"/>
  <c r="Q10" i="20"/>
  <c r="Q353" i="20"/>
  <c r="R353" i="20" s="1"/>
  <c r="Q330" i="20"/>
  <c r="R330" i="20" s="1"/>
  <c r="Q300" i="20"/>
  <c r="R300" i="20" s="1"/>
  <c r="Q271" i="20"/>
  <c r="R271" i="20" s="1"/>
  <c r="Q252" i="20"/>
  <c r="Q103" i="20"/>
  <c r="Q230" i="20"/>
  <c r="Q149" i="20"/>
  <c r="R149" i="20" s="1"/>
  <c r="Q232" i="20"/>
  <c r="Q50" i="20"/>
  <c r="Q48" i="20"/>
  <c r="Q333" i="20"/>
  <c r="R333" i="20" s="1"/>
  <c r="Q362" i="20"/>
  <c r="R362" i="20" s="1"/>
  <c r="Q329" i="20"/>
  <c r="R329" i="20" s="1"/>
  <c r="Q306" i="20"/>
  <c r="R306" i="20" s="1"/>
  <c r="Q277" i="20"/>
  <c r="R277" i="20" s="1"/>
  <c r="Q245" i="20"/>
  <c r="Q108" i="20"/>
  <c r="R108" i="20" s="1"/>
  <c r="Q102" i="20"/>
  <c r="Q104" i="20"/>
  <c r="R104" i="20" s="1"/>
  <c r="Q280" i="20"/>
  <c r="Q256" i="20"/>
  <c r="Q52" i="20"/>
  <c r="R52" i="20" s="1"/>
  <c r="Q359" i="20"/>
  <c r="R359" i="20" s="1"/>
  <c r="Q323" i="20"/>
  <c r="R323" i="20" s="1"/>
  <c r="Q303" i="20"/>
  <c r="R303" i="20" s="1"/>
  <c r="Q274" i="20"/>
  <c r="R274" i="20" s="1"/>
  <c r="Q250" i="20"/>
  <c r="R250" i="20" s="1"/>
  <c r="Q225" i="20"/>
  <c r="Q162" i="20"/>
  <c r="Q110" i="20"/>
  <c r="R110" i="20" s="1"/>
  <c r="Q160" i="20"/>
  <c r="R160" i="20" s="1"/>
  <c r="Q14" i="20"/>
  <c r="Q42" i="20"/>
  <c r="G4" i="20" a="1"/>
  <c r="G4" i="20" s="1"/>
  <c r="I34" i="20" s="1" a="1"/>
  <c r="I34" i="20" s="1"/>
  <c r="I374" i="20" a="1"/>
  <c r="I374" i="20" s="1"/>
  <c r="I373" i="20" s="1"/>
  <c r="R352" i="20"/>
  <c r="R355" i="20"/>
  <c r="R361" i="20"/>
  <c r="R365" i="20"/>
  <c r="I344" i="20" a="1"/>
  <c r="I344" i="20" s="1"/>
  <c r="I343" i="20" s="1"/>
  <c r="R322" i="20"/>
  <c r="R325" i="20"/>
  <c r="R332" i="20"/>
  <c r="I312" i="20" a="1"/>
  <c r="I312" i="20" s="1"/>
  <c r="R280" i="20"/>
  <c r="R295" i="20"/>
  <c r="R298" i="20"/>
  <c r="R301" i="20"/>
  <c r="R304" i="20"/>
  <c r="R302" i="20"/>
  <c r="R305" i="20"/>
  <c r="I286" i="20" a="1"/>
  <c r="I286" i="20" s="1"/>
  <c r="I285" i="20" s="1"/>
  <c r="R269" i="20"/>
  <c r="R272" i="20"/>
  <c r="R257" i="20"/>
  <c r="R270" i="20"/>
  <c r="R279" i="20"/>
  <c r="R252" i="20"/>
  <c r="R245" i="20"/>
  <c r="R249" i="20"/>
  <c r="R256" i="20"/>
  <c r="R254" i="20"/>
  <c r="I261" i="20" a="1"/>
  <c r="I261" i="20" s="1"/>
  <c r="I260" i="20" s="1"/>
  <c r="R103" i="20"/>
  <c r="R225" i="20"/>
  <c r="R106" i="20"/>
  <c r="R154" i="20"/>
  <c r="R98" i="20"/>
  <c r="R226" i="20"/>
  <c r="R230" i="20"/>
  <c r="R162" i="20"/>
  <c r="R156" i="20"/>
  <c r="R165" i="20"/>
  <c r="R155" i="20"/>
  <c r="R109" i="20"/>
  <c r="R157" i="20"/>
  <c r="R219" i="20"/>
  <c r="R227" i="20"/>
  <c r="R102" i="20"/>
  <c r="R111" i="20"/>
  <c r="R150" i="20"/>
  <c r="R151" i="20"/>
  <c r="R159" i="20"/>
  <c r="R228" i="20"/>
  <c r="R232" i="20"/>
  <c r="I139" i="20" a="1"/>
  <c r="I139" i="20" s="1"/>
  <c r="I138" i="20" s="1"/>
  <c r="R13" i="20"/>
  <c r="R51" i="20"/>
  <c r="R43" i="20"/>
  <c r="R15" i="20"/>
  <c r="R50" i="20"/>
  <c r="R14" i="20"/>
  <c r="R49" i="20"/>
  <c r="R54" i="20"/>
  <c r="R20" i="20"/>
  <c r="R53" i="20"/>
  <c r="R48" i="20"/>
  <c r="R42" i="20"/>
  <c r="R55" i="20"/>
  <c r="R388" i="20" l="1"/>
  <c r="L312" i="20"/>
  <c r="I311" i="20"/>
  <c r="Q248" i="20"/>
  <c r="Q56" i="20"/>
  <c r="Q101" i="20"/>
  <c r="R101" i="20" s="1"/>
  <c r="Q112" i="20"/>
  <c r="R112" i="20" s="1"/>
  <c r="Q164" i="20"/>
  <c r="R164" i="20" s="1"/>
  <c r="Q273" i="20"/>
  <c r="R273" i="20" s="1"/>
  <c r="Q299" i="20"/>
  <c r="R299" i="20" s="1"/>
  <c r="Q19" i="20"/>
  <c r="R19" i="20" s="1"/>
  <c r="Q8" i="20"/>
  <c r="R8" i="20" s="1"/>
  <c r="Q326" i="20"/>
  <c r="R326" i="20" s="1"/>
  <c r="Q153" i="20"/>
  <c r="R153" i="20" s="1"/>
  <c r="Q223" i="20"/>
  <c r="R223" i="20" s="1"/>
  <c r="Q356" i="20"/>
  <c r="R356" i="20" s="1"/>
  <c r="Q45" i="20"/>
  <c r="R45" i="20" s="1"/>
  <c r="I33" i="20"/>
  <c r="L34" i="20"/>
  <c r="L374" i="20"/>
  <c r="L373" i="20"/>
  <c r="N373" i="20" s="1"/>
  <c r="L344" i="20"/>
  <c r="L343" i="20"/>
  <c r="N343" i="20" s="1"/>
  <c r="L311" i="20"/>
  <c r="N311" i="20" s="1"/>
  <c r="L286" i="20"/>
  <c r="L285" i="20"/>
  <c r="N285" i="20" s="1"/>
  <c r="R56" i="20"/>
  <c r="R248" i="20"/>
  <c r="L261" i="20"/>
  <c r="L260" i="20"/>
  <c r="N260" i="20" s="1"/>
  <c r="L238" i="20"/>
  <c r="L237" i="20"/>
  <c r="N237" i="20" s="1"/>
  <c r="L210" i="20"/>
  <c r="L209" i="20"/>
  <c r="N209" i="20" s="1"/>
  <c r="L139" i="20"/>
  <c r="L138" i="20"/>
  <c r="N138" i="20" s="1"/>
  <c r="L86" i="20"/>
  <c r="N86" i="20" s="1"/>
  <c r="L87" i="20"/>
  <c r="R18" i="20"/>
  <c r="R5" i="20"/>
  <c r="R9" i="20"/>
  <c r="R11" i="20"/>
  <c r="R10" i="20"/>
  <c r="L33" i="20"/>
  <c r="N33" i="20" s="1"/>
  <c r="F62" i="4" l="1"/>
  <c r="F25" i="15" l="1"/>
  <c r="F24" i="15"/>
  <c r="F23" i="15"/>
  <c r="F22" i="15"/>
  <c r="U19" i="18" l="1"/>
  <c r="T19" i="18"/>
  <c r="S19" i="18"/>
  <c r="R19" i="18"/>
  <c r="Q19" i="18"/>
  <c r="P19" i="18"/>
  <c r="O19" i="18"/>
  <c r="N19" i="18"/>
  <c r="N3" i="18"/>
  <c r="O3" i="18"/>
  <c r="P3" i="18"/>
  <c r="Q3" i="18"/>
  <c r="R3" i="18"/>
  <c r="S3" i="18"/>
  <c r="T3" i="18"/>
  <c r="U3" i="18"/>
  <c r="N4" i="18"/>
  <c r="O4" i="18"/>
  <c r="P4" i="18"/>
  <c r="Q4" i="18"/>
  <c r="R4" i="18"/>
  <c r="S4" i="18"/>
  <c r="T4" i="18"/>
  <c r="U4" i="18"/>
  <c r="N5" i="18"/>
  <c r="O5" i="18"/>
  <c r="P5" i="18"/>
  <c r="Q5" i="18"/>
  <c r="R5" i="18"/>
  <c r="S5" i="18"/>
  <c r="T5" i="18"/>
  <c r="U5" i="18"/>
  <c r="N6" i="18"/>
  <c r="O6" i="18"/>
  <c r="P6" i="18"/>
  <c r="Q6" i="18"/>
  <c r="R6" i="18"/>
  <c r="S6" i="18"/>
  <c r="T6" i="18"/>
  <c r="U6" i="18"/>
  <c r="N7" i="18"/>
  <c r="O7" i="18"/>
  <c r="P7" i="18"/>
  <c r="Q7" i="18"/>
  <c r="R7" i="18"/>
  <c r="S7" i="18"/>
  <c r="T7" i="18"/>
  <c r="U7" i="18"/>
  <c r="N8" i="18"/>
  <c r="O8" i="18"/>
  <c r="P8" i="18"/>
  <c r="Q8" i="18"/>
  <c r="R8" i="18"/>
  <c r="S8" i="18"/>
  <c r="T8" i="18"/>
  <c r="U8" i="18"/>
  <c r="N9" i="18"/>
  <c r="O9" i="18"/>
  <c r="P9" i="18"/>
  <c r="Q9" i="18"/>
  <c r="R9" i="18"/>
  <c r="S9" i="18"/>
  <c r="T9" i="18"/>
  <c r="U9" i="18"/>
  <c r="N10" i="18"/>
  <c r="O10" i="18"/>
  <c r="P10" i="18"/>
  <c r="Q10" i="18"/>
  <c r="R10" i="18"/>
  <c r="S10" i="18"/>
  <c r="T10" i="18"/>
  <c r="U10" i="18"/>
  <c r="N11" i="18"/>
  <c r="O11" i="18"/>
  <c r="P11" i="18"/>
  <c r="Q11" i="18"/>
  <c r="R11" i="18"/>
  <c r="S11" i="18"/>
  <c r="T11" i="18"/>
  <c r="U11" i="18"/>
  <c r="N12" i="18"/>
  <c r="O12" i="18"/>
  <c r="P12" i="18"/>
  <c r="Q12" i="18"/>
  <c r="R12" i="18"/>
  <c r="S12" i="18"/>
  <c r="T12" i="18"/>
  <c r="U12" i="18"/>
  <c r="N13" i="18"/>
  <c r="O13" i="18"/>
  <c r="P13" i="18"/>
  <c r="Q13" i="18"/>
  <c r="R13" i="18"/>
  <c r="S13" i="18"/>
  <c r="T13" i="18"/>
  <c r="U13" i="18"/>
  <c r="N14" i="18"/>
  <c r="O14" i="18"/>
  <c r="P14" i="18"/>
  <c r="Q14" i="18"/>
  <c r="R14" i="18"/>
  <c r="S14" i="18"/>
  <c r="T14" i="18"/>
  <c r="U14" i="18"/>
  <c r="N15" i="18"/>
  <c r="O15" i="18"/>
  <c r="P15" i="18"/>
  <c r="Q15" i="18"/>
  <c r="R15" i="18"/>
  <c r="S15" i="18"/>
  <c r="T15" i="18"/>
  <c r="U15" i="18"/>
  <c r="N16" i="18"/>
  <c r="O16" i="18"/>
  <c r="P16" i="18"/>
  <c r="Q16" i="18"/>
  <c r="R16" i="18"/>
  <c r="S16" i="18"/>
  <c r="T16" i="18"/>
  <c r="U16" i="18"/>
  <c r="N17" i="18"/>
  <c r="O17" i="18"/>
  <c r="P17" i="18"/>
  <c r="Q17" i="18"/>
  <c r="R17" i="18"/>
  <c r="S17" i="18"/>
  <c r="T17" i="18"/>
  <c r="U17" i="18"/>
  <c r="N18" i="18"/>
  <c r="O18" i="18"/>
  <c r="P18" i="18"/>
  <c r="Q18" i="18"/>
  <c r="R18" i="18"/>
  <c r="S18" i="18"/>
  <c r="T18" i="18"/>
  <c r="U18" i="18"/>
  <c r="N20" i="18"/>
  <c r="O20" i="18"/>
  <c r="P20" i="18"/>
  <c r="Q20" i="18"/>
  <c r="R20" i="18"/>
  <c r="S20" i="18"/>
  <c r="T20" i="18"/>
  <c r="U20" i="18"/>
  <c r="N21" i="18"/>
  <c r="O21" i="18"/>
  <c r="P21" i="18"/>
  <c r="Q21" i="18"/>
  <c r="R21" i="18"/>
  <c r="S21" i="18"/>
  <c r="T21" i="18"/>
  <c r="U21" i="18"/>
  <c r="N22" i="18"/>
  <c r="O22" i="18"/>
  <c r="P22" i="18"/>
  <c r="Q22" i="18"/>
  <c r="R22" i="18"/>
  <c r="S22" i="18"/>
  <c r="T22" i="18"/>
  <c r="U22" i="18"/>
  <c r="N23" i="18"/>
  <c r="O23" i="18"/>
  <c r="P23" i="18"/>
  <c r="Q23" i="18"/>
  <c r="R23" i="18"/>
  <c r="S23" i="18"/>
  <c r="T23" i="18"/>
  <c r="U23" i="18"/>
  <c r="N24" i="18"/>
  <c r="O24" i="18"/>
  <c r="P24" i="18"/>
  <c r="Q24" i="18"/>
  <c r="R24" i="18"/>
  <c r="S24" i="18"/>
  <c r="T24" i="18"/>
  <c r="U24" i="18"/>
  <c r="N25" i="18"/>
  <c r="O25" i="18"/>
  <c r="P25" i="18"/>
  <c r="Q25" i="18"/>
  <c r="R25" i="18"/>
  <c r="S25" i="18"/>
  <c r="T25" i="18"/>
  <c r="U25" i="18"/>
  <c r="O2" i="18"/>
  <c r="P2" i="18"/>
  <c r="Q2" i="18"/>
  <c r="R2" i="18"/>
  <c r="S2" i="18"/>
  <c r="T2" i="18"/>
  <c r="U2" i="18"/>
  <c r="N2" i="18"/>
  <c r="S26" i="18" l="1"/>
  <c r="S27" i="18" s="1"/>
  <c r="S30" i="18" s="1"/>
  <c r="R26" i="18"/>
  <c r="R27" i="18" s="1"/>
  <c r="R30" i="18" s="1"/>
  <c r="T26" i="18"/>
  <c r="T27" i="18" s="1"/>
  <c r="T30" i="18" s="1"/>
  <c r="Q26" i="18"/>
  <c r="Q27" i="18" s="1"/>
  <c r="Q30" i="18" s="1"/>
  <c r="P26" i="18"/>
  <c r="P27" i="18" s="1"/>
  <c r="P30" i="18" s="1"/>
  <c r="O26" i="18"/>
  <c r="O27" i="18" s="1"/>
  <c r="O30" i="18" s="1"/>
  <c r="U26" i="18"/>
  <c r="U27" i="18" s="1"/>
  <c r="U30" i="18" s="1"/>
  <c r="N26" i="18"/>
  <c r="N27" i="18" s="1"/>
  <c r="N30" i="18" s="1"/>
  <c r="A51" i="16"/>
  <c r="A34" i="16"/>
  <c r="F80" i="4" l="1"/>
  <c r="F79" i="4"/>
  <c r="F78" i="4"/>
  <c r="F77" i="4"/>
  <c r="F76" i="4"/>
  <c r="F75" i="4"/>
  <c r="F74" i="4"/>
  <c r="F73" i="4"/>
  <c r="F71" i="4"/>
  <c r="I31" i="11"/>
  <c r="J32" i="11"/>
  <c r="J31" i="11" s="1"/>
  <c r="G11" i="11" a="1"/>
  <c r="G11" i="11" s="1"/>
  <c r="G10" i="11" a="1"/>
  <c r="G10" i="11" s="1"/>
  <c r="G9" i="11" a="1"/>
  <c r="G9" i="11" s="1"/>
  <c r="G8" i="11" a="1"/>
  <c r="G8" i="11" s="1"/>
  <c r="G7" i="11" a="1"/>
  <c r="G7" i="11" s="1"/>
  <c r="G6" i="11" a="1"/>
  <c r="G6" i="11" s="1"/>
  <c r="G5" i="11" a="1"/>
  <c r="G5" i="11" s="1"/>
  <c r="G4" i="11" a="1"/>
  <c r="G4" i="11" s="1"/>
  <c r="G3" i="11" a="1"/>
  <c r="G3" i="11" s="1"/>
  <c r="G2" i="11" a="1"/>
  <c r="G2" i="11" s="1"/>
  <c r="C11" i="11" l="1"/>
  <c r="C10" i="11"/>
  <c r="C9" i="11"/>
  <c r="C8" i="11"/>
  <c r="C7" i="11"/>
  <c r="C6" i="11"/>
  <c r="C5" i="11"/>
  <c r="C4" i="11"/>
  <c r="C3" i="11"/>
  <c r="C2" i="11"/>
  <c r="F2" i="11"/>
  <c r="Q13" i="11"/>
  <c r="R13" i="11" s="1"/>
  <c r="Q12" i="11"/>
  <c r="R12" i="11" s="1"/>
  <c r="Q11" i="11"/>
  <c r="R11" i="11" s="1"/>
  <c r="Q5" i="11"/>
  <c r="R5" i="11" s="1"/>
  <c r="Q4" i="11"/>
  <c r="R4" i="11" s="1"/>
  <c r="Q2" i="11"/>
  <c r="R2" i="11" s="1"/>
  <c r="J74" i="5"/>
  <c r="J73" i="5" s="1"/>
  <c r="R2" i="5" l="1"/>
  <c r="I73" i="5" s="1"/>
  <c r="K73" i="5" s="1"/>
  <c r="Q18" i="11"/>
  <c r="R18" i="11" s="1"/>
  <c r="Q9" i="11"/>
  <c r="R9" i="11" s="1"/>
  <c r="Q17" i="11"/>
  <c r="R17" i="11" s="1"/>
  <c r="I32" i="11" a="1"/>
  <c r="I32" i="11" s="1"/>
  <c r="Q7" i="11"/>
  <c r="R7" i="11" s="1"/>
  <c r="Q10" i="11"/>
  <c r="R10" i="11" s="1"/>
  <c r="Q3" i="11"/>
  <c r="R3" i="11" s="1"/>
  <c r="Q15" i="11"/>
  <c r="R15" i="11" s="1"/>
  <c r="Q8" i="11"/>
  <c r="R8" i="11" s="1"/>
  <c r="Q16" i="11"/>
  <c r="R16" i="11" s="1"/>
  <c r="Q6" i="11"/>
  <c r="R6" i="11" s="1"/>
  <c r="Q14" i="11"/>
  <c r="R14" i="11" s="1"/>
  <c r="L74" i="5" l="1"/>
  <c r="K31" i="11" l="1"/>
  <c r="L31" i="11" s="1"/>
  <c r="L32" i="11"/>
  <c r="K206" i="6" l="1"/>
  <c r="K205" i="6" s="1"/>
  <c r="F72" i="4" l="1"/>
  <c r="F70" i="4"/>
  <c r="F69" i="4"/>
  <c r="F68" i="4"/>
  <c r="F67" i="4"/>
  <c r="F66" i="4"/>
  <c r="F65" i="4"/>
  <c r="F64" i="4"/>
  <c r="F63"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H25" i="2"/>
  <c r="I25" i="2" s="1"/>
  <c r="H17" i="2"/>
  <c r="I17" i="2" s="1"/>
  <c r="H11" i="2"/>
  <c r="I11" i="2" s="1"/>
  <c r="H7" i="2"/>
  <c r="I7" i="2" s="1"/>
  <c r="J78" i="2"/>
  <c r="J67" i="2"/>
  <c r="P36" i="4" l="1"/>
  <c r="P31" i="4"/>
  <c r="Q31" i="4" s="1"/>
  <c r="P37" i="4"/>
  <c r="Q37" i="4" s="1"/>
  <c r="P38" i="4"/>
  <c r="Q38" i="4" s="1"/>
  <c r="R38" i="4" s="1"/>
  <c r="P28" i="4"/>
  <c r="Q28" i="4" s="1"/>
  <c r="P29" i="4"/>
  <c r="Q29" i="4" s="1"/>
  <c r="P30" i="4"/>
  <c r="P27" i="4"/>
  <c r="Q27" i="4" s="1"/>
  <c r="P33" i="4"/>
  <c r="Q33" i="4" s="1"/>
  <c r="P35" i="4"/>
  <c r="Q35" i="4" s="1"/>
  <c r="P32" i="4"/>
  <c r="Q32" i="4" s="1"/>
  <c r="P34" i="4"/>
  <c r="Q36" i="4"/>
  <c r="P26" i="4"/>
  <c r="Q26" i="4" s="1"/>
  <c r="Q27" i="6"/>
  <c r="Q26" i="6" s="1"/>
  <c r="P26" i="6"/>
  <c r="F5" i="2"/>
  <c r="H5" i="2" s="1"/>
  <c r="I5" i="2" s="1"/>
  <c r="C128" i="2"/>
  <c r="D128" i="2"/>
  <c r="C129" i="2"/>
  <c r="D129" i="2"/>
  <c r="C130" i="2"/>
  <c r="D130" i="2"/>
  <c r="C131" i="2"/>
  <c r="D131" i="2"/>
  <c r="D127" i="2"/>
  <c r="C127" i="2"/>
  <c r="D124" i="2"/>
  <c r="C124" i="2"/>
  <c r="D123" i="2"/>
  <c r="C123" i="2"/>
  <c r="D122" i="2"/>
  <c r="C122" i="2"/>
  <c r="E122" i="2" s="1"/>
  <c r="F122" i="2" s="1"/>
  <c r="D121" i="2"/>
  <c r="C121" i="2"/>
  <c r="D120" i="2"/>
  <c r="C120" i="2"/>
  <c r="F126" i="2"/>
  <c r="F119" i="2"/>
  <c r="F118" i="2"/>
  <c r="R30" i="4" l="1"/>
  <c r="S30" i="4" s="1"/>
  <c r="R26" i="4"/>
  <c r="S26" i="4" s="1"/>
  <c r="R34" i="4"/>
  <c r="S34" i="4" s="1"/>
  <c r="R28" i="4"/>
  <c r="S28" i="4" s="1"/>
  <c r="R27" i="4"/>
  <c r="S27" i="4" s="1"/>
  <c r="R32" i="4"/>
  <c r="S32" i="4" s="1"/>
  <c r="R31" i="4"/>
  <c r="S31" i="4" s="1"/>
  <c r="R33" i="4"/>
  <c r="S33" i="4" s="1"/>
  <c r="R35" i="4"/>
  <c r="S35" i="4" s="1"/>
  <c r="R36" i="4"/>
  <c r="S36" i="4" s="1"/>
  <c r="R29" i="4"/>
  <c r="S29" i="4" s="1"/>
  <c r="R37" i="4"/>
  <c r="S37" i="4" s="1"/>
  <c r="J126" i="2"/>
  <c r="H126" i="2"/>
  <c r="J118" i="2"/>
  <c r="H118" i="2"/>
  <c r="J119" i="2"/>
  <c r="H119" i="2"/>
  <c r="J122" i="2"/>
  <c r="H122" i="2"/>
  <c r="E121" i="2"/>
  <c r="F121" i="2" s="1"/>
  <c r="E128" i="2"/>
  <c r="F128" i="2" s="1"/>
  <c r="E124" i="2"/>
  <c r="F124" i="2" s="1"/>
  <c r="J124" i="2" s="1"/>
  <c r="E120" i="2"/>
  <c r="F120" i="2" s="1"/>
  <c r="E127" i="2"/>
  <c r="F127" i="2" s="1"/>
  <c r="E130" i="2"/>
  <c r="F130" i="2" s="1"/>
  <c r="E123" i="2"/>
  <c r="F123" i="2" s="1"/>
  <c r="E131" i="2"/>
  <c r="F131" i="2" s="1"/>
  <c r="J131" i="2" s="1"/>
  <c r="E129" i="2"/>
  <c r="F129" i="2" s="1"/>
  <c r="E108" i="2"/>
  <c r="F108" i="2" s="1"/>
  <c r="F106" i="2"/>
  <c r="E96" i="2"/>
  <c r="F96" i="2" s="1"/>
  <c r="F94" i="2"/>
  <c r="F93" i="2"/>
  <c r="J129" i="2" l="1"/>
  <c r="H129" i="2"/>
  <c r="J130" i="2"/>
  <c r="H131" i="2"/>
  <c r="J127" i="2"/>
  <c r="H127" i="2"/>
  <c r="J128" i="2"/>
  <c r="H128" i="2"/>
  <c r="J123" i="2"/>
  <c r="H124" i="2"/>
  <c r="J121" i="2"/>
  <c r="H121" i="2"/>
  <c r="J120" i="2"/>
  <c r="H120" i="2"/>
  <c r="H132" i="2" s="1"/>
  <c r="L73" i="5"/>
  <c r="L71" i="5" s="1"/>
  <c r="K71" i="5" s="1"/>
  <c r="O21" i="4"/>
  <c r="J106" i="2"/>
  <c r="H106" i="2"/>
  <c r="I106" i="2" s="1"/>
  <c r="J108" i="2"/>
  <c r="H108" i="2"/>
  <c r="I108" i="2" s="1"/>
  <c r="J93" i="2"/>
  <c r="H93" i="2"/>
  <c r="J94" i="2"/>
  <c r="H94" i="2"/>
  <c r="I94" i="2" s="1"/>
  <c r="J96" i="2"/>
  <c r="H96" i="2"/>
  <c r="I96" i="2" s="1"/>
  <c r="C109" i="2"/>
  <c r="C111" i="2"/>
  <c r="C112" i="2"/>
  <c r="C113" i="2"/>
  <c r="C114" i="2"/>
  <c r="C110" i="2"/>
  <c r="C115" i="2"/>
  <c r="C97" i="2"/>
  <c r="C99" i="2"/>
  <c r="C100" i="2"/>
  <c r="C101" i="2"/>
  <c r="C102" i="2"/>
  <c r="C98" i="2"/>
  <c r="C103" i="2"/>
  <c r="C95" i="2"/>
  <c r="E33" i="2"/>
  <c r="F33" i="2" s="1"/>
  <c r="E45" i="2"/>
  <c r="F45" i="2" s="1"/>
  <c r="E59" i="2"/>
  <c r="F59" i="2" s="1"/>
  <c r="E70" i="2"/>
  <c r="F70" i="2" s="1"/>
  <c r="E68" i="2"/>
  <c r="F68" i="2" s="1"/>
  <c r="E81" i="2"/>
  <c r="F81" i="2" s="1"/>
  <c r="E79" i="2"/>
  <c r="F79" i="2" s="1"/>
  <c r="F57" i="2"/>
  <c r="D56" i="2"/>
  <c r="F56" i="2" s="1"/>
  <c r="F43" i="2"/>
  <c r="F31" i="2"/>
  <c r="F30" i="2"/>
  <c r="F24" i="2"/>
  <c r="H24" i="2" s="1"/>
  <c r="I24" i="2" s="1"/>
  <c r="F23" i="2"/>
  <c r="H23" i="2" s="1"/>
  <c r="I23" i="2" s="1"/>
  <c r="F22" i="2"/>
  <c r="H22" i="2" s="1"/>
  <c r="I22" i="2" s="1"/>
  <c r="F20" i="2"/>
  <c r="H20" i="2" s="1"/>
  <c r="I20" i="2" s="1"/>
  <c r="F19" i="2"/>
  <c r="H19" i="2" s="1"/>
  <c r="I19" i="2" s="1"/>
  <c r="F18" i="2"/>
  <c r="H18" i="2" s="1"/>
  <c r="I18" i="2" s="1"/>
  <c r="F16" i="2"/>
  <c r="H16" i="2" s="1"/>
  <c r="I16" i="2" s="1"/>
  <c r="F15" i="2"/>
  <c r="H15" i="2" s="1"/>
  <c r="I15" i="2" s="1"/>
  <c r="F14" i="2"/>
  <c r="H14" i="2" s="1"/>
  <c r="I14" i="2" s="1"/>
  <c r="F6" i="2"/>
  <c r="H6" i="2" s="1"/>
  <c r="I6" i="2" s="1"/>
  <c r="F8" i="2"/>
  <c r="H8" i="2" s="1"/>
  <c r="I8" i="2" s="1"/>
  <c r="F9" i="2"/>
  <c r="H9" i="2" s="1"/>
  <c r="I9" i="2" s="1"/>
  <c r="F10" i="2"/>
  <c r="H10" i="2" s="1"/>
  <c r="I10" i="2" s="1"/>
  <c r="F4" i="2"/>
  <c r="M123" i="4" l="1"/>
  <c r="O123" i="4" s="1"/>
  <c r="L122" i="4"/>
  <c r="M122" i="4" s="1"/>
  <c r="M120" i="4" s="1"/>
  <c r="M206" i="6"/>
  <c r="J79" i="2"/>
  <c r="H79" i="2"/>
  <c r="I79" i="2" s="1"/>
  <c r="J70" i="2"/>
  <c r="H70" i="2"/>
  <c r="I70" i="2" s="1"/>
  <c r="I93" i="2"/>
  <c r="J81" i="2"/>
  <c r="H81" i="2"/>
  <c r="I81" i="2" s="1"/>
  <c r="J56" i="2"/>
  <c r="H56" i="2"/>
  <c r="J68" i="2"/>
  <c r="H68" i="2"/>
  <c r="I68" i="2" s="1"/>
  <c r="J59" i="2"/>
  <c r="H59" i="2"/>
  <c r="I59" i="2" s="1"/>
  <c r="J57" i="2"/>
  <c r="H57" i="2"/>
  <c r="I57" i="2" s="1"/>
  <c r="I26" i="2"/>
  <c r="J45" i="2"/>
  <c r="H45" i="2"/>
  <c r="I45" i="2" s="1"/>
  <c r="J33" i="2"/>
  <c r="H33" i="2"/>
  <c r="I33" i="2" s="1"/>
  <c r="H4" i="2"/>
  <c r="J30" i="2"/>
  <c r="H30" i="2"/>
  <c r="I30" i="2" s="1"/>
  <c r="J31" i="2"/>
  <c r="H31" i="2"/>
  <c r="I31" i="2" s="1"/>
  <c r="J43" i="2"/>
  <c r="H43" i="2"/>
  <c r="I43" i="2" s="1"/>
  <c r="H26" i="2"/>
  <c r="C107" i="2"/>
  <c r="C60" i="2"/>
  <c r="D64" i="2"/>
  <c r="D65" i="2"/>
  <c r="D72" i="2"/>
  <c r="D80" i="2"/>
  <c r="P14" i="4"/>
  <c r="D48" i="2" s="1"/>
  <c r="C48" i="2"/>
  <c r="P15" i="4"/>
  <c r="D49" i="2" s="1"/>
  <c r="C49" i="2"/>
  <c r="M205" i="6" l="1"/>
  <c r="M203" i="6" s="1"/>
  <c r="I56" i="2"/>
  <c r="H12" i="2"/>
  <c r="I4" i="2"/>
  <c r="I12" i="2" s="1"/>
  <c r="E49" i="2"/>
  <c r="F49" i="2" s="1"/>
  <c r="E48" i="2"/>
  <c r="F48" i="2" s="1"/>
  <c r="D60" i="2"/>
  <c r="C80" i="2"/>
  <c r="C72" i="2"/>
  <c r="D86" i="2"/>
  <c r="C86" i="2"/>
  <c r="D87" i="2"/>
  <c r="C87" i="2"/>
  <c r="D74" i="2"/>
  <c r="C74" i="2"/>
  <c r="D83" i="2"/>
  <c r="C83" i="2"/>
  <c r="C75" i="2"/>
  <c r="D75" i="2"/>
  <c r="D73" i="2"/>
  <c r="C73" i="2"/>
  <c r="D77" i="2"/>
  <c r="C77" i="2"/>
  <c r="D88" i="2"/>
  <c r="C88" i="2"/>
  <c r="C69" i="2"/>
  <c r="D69" i="2"/>
  <c r="D76" i="2"/>
  <c r="C76" i="2"/>
  <c r="C82" i="2"/>
  <c r="D82" i="2"/>
  <c r="C84" i="2"/>
  <c r="D84" i="2"/>
  <c r="C85" i="2"/>
  <c r="D85" i="2"/>
  <c r="D71" i="2"/>
  <c r="C71" i="2"/>
  <c r="C64" i="2"/>
  <c r="C65" i="2"/>
  <c r="D63" i="2"/>
  <c r="C63" i="2"/>
  <c r="C62" i="2"/>
  <c r="D62" i="2"/>
  <c r="D58" i="2"/>
  <c r="C58" i="2"/>
  <c r="D66" i="2"/>
  <c r="C66" i="2"/>
  <c r="D61" i="2"/>
  <c r="C61" i="2"/>
  <c r="C46" i="2"/>
  <c r="P13" i="4"/>
  <c r="D46" i="2" s="1"/>
  <c r="D38" i="2"/>
  <c r="C38" i="2"/>
  <c r="C44" i="2"/>
  <c r="P12" i="4"/>
  <c r="D44" i="2" s="1"/>
  <c r="D37" i="2"/>
  <c r="C37" i="2"/>
  <c r="D52" i="2"/>
  <c r="C52" i="2"/>
  <c r="D36" i="2"/>
  <c r="C36" i="2"/>
  <c r="C47" i="2"/>
  <c r="P18" i="4"/>
  <c r="D47" i="2" s="1"/>
  <c r="D34" i="2"/>
  <c r="C34" i="2"/>
  <c r="P17" i="4"/>
  <c r="D51" i="2" s="1"/>
  <c r="C51" i="2"/>
  <c r="C32" i="2"/>
  <c r="P16" i="4"/>
  <c r="D50" i="2" s="1"/>
  <c r="C50" i="2"/>
  <c r="D40" i="2"/>
  <c r="C40" i="2"/>
  <c r="D35" i="2"/>
  <c r="C35" i="2"/>
  <c r="D39" i="2"/>
  <c r="C39" i="2"/>
  <c r="J48" i="2" l="1"/>
  <c r="J49" i="2"/>
  <c r="D32" i="2"/>
  <c r="E32" i="2" s="1"/>
  <c r="F32" i="2" s="1"/>
  <c r="P21" i="4"/>
  <c r="E35" i="2"/>
  <c r="F35" i="2" s="1"/>
  <c r="E40" i="2"/>
  <c r="F40" i="2" s="1"/>
  <c r="J40" i="2" s="1"/>
  <c r="E37" i="2"/>
  <c r="F37" i="2" s="1"/>
  <c r="J37" i="2" s="1"/>
  <c r="E36" i="2"/>
  <c r="F36" i="2" s="1"/>
  <c r="E39" i="2"/>
  <c r="F39" i="2" s="1"/>
  <c r="J39" i="2" s="1"/>
  <c r="E34" i="2"/>
  <c r="F34" i="2" s="1"/>
  <c r="E38" i="2"/>
  <c r="F38" i="2" s="1"/>
  <c r="J38" i="2" s="1"/>
  <c r="E77" i="2"/>
  <c r="F77" i="2" s="1"/>
  <c r="J77" i="2" s="1"/>
  <c r="E86" i="2"/>
  <c r="F86" i="2" s="1"/>
  <c r="J86" i="2" s="1"/>
  <c r="E64" i="2"/>
  <c r="F64" i="2" s="1"/>
  <c r="J64" i="2" s="1"/>
  <c r="E73" i="2"/>
  <c r="F73" i="2" s="1"/>
  <c r="E72" i="2"/>
  <c r="F72" i="2" s="1"/>
  <c r="E80" i="2"/>
  <c r="F80" i="2" s="1"/>
  <c r="E69" i="2"/>
  <c r="F69" i="2" s="1"/>
  <c r="E84" i="2"/>
  <c r="F84" i="2" s="1"/>
  <c r="E62" i="2"/>
  <c r="F62" i="2" s="1"/>
  <c r="E82" i="2"/>
  <c r="F82" i="2" s="1"/>
  <c r="E75" i="2"/>
  <c r="F75" i="2" s="1"/>
  <c r="J75" i="2" s="1"/>
  <c r="E63" i="2"/>
  <c r="F63" i="2" s="1"/>
  <c r="J63" i="2" s="1"/>
  <c r="E76" i="2"/>
  <c r="F76" i="2" s="1"/>
  <c r="J76" i="2" s="1"/>
  <c r="E83" i="2"/>
  <c r="F83" i="2" s="1"/>
  <c r="E66" i="2"/>
  <c r="F66" i="2" s="1"/>
  <c r="J66" i="2" s="1"/>
  <c r="E85" i="2"/>
  <c r="F85" i="2" s="1"/>
  <c r="J85" i="2" s="1"/>
  <c r="E58" i="2"/>
  <c r="F58" i="2" s="1"/>
  <c r="E60" i="2"/>
  <c r="F60" i="2" s="1"/>
  <c r="E61" i="2"/>
  <c r="F61" i="2" s="1"/>
  <c r="E71" i="2"/>
  <c r="F71" i="2" s="1"/>
  <c r="E88" i="2"/>
  <c r="F88" i="2" s="1"/>
  <c r="J88" i="2" s="1"/>
  <c r="E87" i="2"/>
  <c r="F87" i="2" s="1"/>
  <c r="J87" i="2" s="1"/>
  <c r="E65" i="2"/>
  <c r="F65" i="2" s="1"/>
  <c r="J65" i="2" s="1"/>
  <c r="E74" i="2"/>
  <c r="F74" i="2" s="1"/>
  <c r="J74" i="2" s="1"/>
  <c r="E47" i="2"/>
  <c r="F47" i="2" s="1"/>
  <c r="H47" i="2" s="1"/>
  <c r="I47" i="2" s="1"/>
  <c r="E52" i="2"/>
  <c r="F52" i="2" s="1"/>
  <c r="E50" i="2"/>
  <c r="F50" i="2" s="1"/>
  <c r="E51" i="2"/>
  <c r="F51" i="2" s="1"/>
  <c r="E46" i="2"/>
  <c r="F46" i="2" s="1"/>
  <c r="E44" i="2"/>
  <c r="F44" i="2" s="1"/>
  <c r="H52" i="2" l="1"/>
  <c r="I52" i="2" s="1"/>
  <c r="J71" i="2"/>
  <c r="H71" i="2"/>
  <c r="I71" i="2" s="1"/>
  <c r="J69" i="2"/>
  <c r="H69" i="2"/>
  <c r="I69" i="2" s="1"/>
  <c r="J80" i="2"/>
  <c r="H80" i="2"/>
  <c r="I80" i="2" s="1"/>
  <c r="J60" i="2"/>
  <c r="H60" i="2"/>
  <c r="I60" i="2" s="1"/>
  <c r="J58" i="2"/>
  <c r="H58" i="2"/>
  <c r="J72" i="2"/>
  <c r="H72" i="2"/>
  <c r="I72" i="2" s="1"/>
  <c r="J84" i="2"/>
  <c r="H88" i="2"/>
  <c r="I88" i="2" s="1"/>
  <c r="J83" i="2"/>
  <c r="H83" i="2"/>
  <c r="I83" i="2" s="1"/>
  <c r="J82" i="2"/>
  <c r="H82" i="2"/>
  <c r="I82" i="2" s="1"/>
  <c r="J62" i="2"/>
  <c r="H66" i="2"/>
  <c r="I66" i="2" s="1"/>
  <c r="J61" i="2"/>
  <c r="H61" i="2"/>
  <c r="I61" i="2" s="1"/>
  <c r="J73" i="2"/>
  <c r="H77" i="2"/>
  <c r="I77" i="2" s="1"/>
  <c r="H40" i="2"/>
  <c r="I40" i="2" s="1"/>
  <c r="J36" i="2"/>
  <c r="J34" i="2"/>
  <c r="H34" i="2"/>
  <c r="I34" i="2" s="1"/>
  <c r="J35" i="2"/>
  <c r="H35" i="2"/>
  <c r="I35" i="2" s="1"/>
  <c r="J32" i="2"/>
  <c r="H32" i="2"/>
  <c r="I32" i="2" s="1"/>
  <c r="J46" i="2"/>
  <c r="H46" i="2"/>
  <c r="I46" i="2" s="1"/>
  <c r="J52" i="2"/>
  <c r="J44" i="2"/>
  <c r="H44" i="2"/>
  <c r="I44" i="2" s="1"/>
  <c r="J51" i="2"/>
  <c r="J50" i="2"/>
  <c r="J47" i="2"/>
  <c r="D102" i="2"/>
  <c r="E102" i="2" s="1"/>
  <c r="F102" i="2" s="1"/>
  <c r="J102" i="2" s="1"/>
  <c r="D109" i="2"/>
  <c r="E109" i="2" s="1"/>
  <c r="F109" i="2" s="1"/>
  <c r="D111" i="2"/>
  <c r="E111" i="2" s="1"/>
  <c r="F111" i="2" s="1"/>
  <c r="D112" i="2"/>
  <c r="E112" i="2" s="1"/>
  <c r="F112" i="2" s="1"/>
  <c r="J112" i="2" s="1"/>
  <c r="D113" i="2"/>
  <c r="E113" i="2" s="1"/>
  <c r="F113" i="2" s="1"/>
  <c r="J113" i="2" s="1"/>
  <c r="D114" i="2"/>
  <c r="E114" i="2" s="1"/>
  <c r="F114" i="2" s="1"/>
  <c r="J114" i="2" s="1"/>
  <c r="D110" i="2"/>
  <c r="E110" i="2" s="1"/>
  <c r="F110" i="2" s="1"/>
  <c r="D115" i="2"/>
  <c r="E115" i="2" s="1"/>
  <c r="F115" i="2" s="1"/>
  <c r="J115" i="2" s="1"/>
  <c r="D107" i="2"/>
  <c r="E107" i="2" s="1"/>
  <c r="F107" i="2" s="1"/>
  <c r="D101" i="2"/>
  <c r="E101" i="2" s="1"/>
  <c r="F101" i="2" s="1"/>
  <c r="J101" i="2" s="1"/>
  <c r="D103" i="2"/>
  <c r="E103" i="2" s="1"/>
  <c r="F103" i="2" s="1"/>
  <c r="J103" i="2" s="1"/>
  <c r="D95" i="2"/>
  <c r="E95" i="2" s="1"/>
  <c r="F95" i="2" s="1"/>
  <c r="D97" i="2"/>
  <c r="E97" i="2" s="1"/>
  <c r="F97" i="2" s="1"/>
  <c r="D99" i="2"/>
  <c r="E99" i="2" s="1"/>
  <c r="F99" i="2" s="1"/>
  <c r="D98" i="2"/>
  <c r="E98" i="2" s="1"/>
  <c r="F98" i="2" s="1"/>
  <c r="D100" i="2"/>
  <c r="E100" i="2" s="1"/>
  <c r="F100" i="2" s="1"/>
  <c r="J100" i="2" s="1"/>
  <c r="J98" i="2" l="1"/>
  <c r="H98" i="2"/>
  <c r="I98" i="2" s="1"/>
  <c r="I58" i="2"/>
  <c r="I89" i="2" s="1"/>
  <c r="H89" i="2"/>
  <c r="J109" i="2"/>
  <c r="H109" i="2"/>
  <c r="I109" i="2" s="1"/>
  <c r="J107" i="2"/>
  <c r="H107" i="2"/>
  <c r="I107" i="2" s="1"/>
  <c r="J111" i="2"/>
  <c r="H115" i="2"/>
  <c r="I115" i="2" s="1"/>
  <c r="J99" i="2"/>
  <c r="H103" i="2"/>
  <c r="I103" i="2" s="1"/>
  <c r="J95" i="2"/>
  <c r="H95" i="2"/>
  <c r="J110" i="2"/>
  <c r="H110" i="2"/>
  <c r="I110" i="2" s="1"/>
  <c r="J97" i="2"/>
  <c r="H97" i="2"/>
  <c r="I97" i="2" s="1"/>
  <c r="H53" i="2"/>
  <c r="I53" i="2"/>
  <c r="I95" i="2" l="1"/>
  <c r="I116" i="2" s="1"/>
  <c r="H11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author>
  </authors>
  <commentList>
    <comment ref="L11" authorId="0" shapeId="0" xr:uid="{620C0E7B-A61B-4A24-B6E5-F057291352D3}">
      <text>
        <r>
          <rPr>
            <b/>
            <sz val="9"/>
            <color indexed="81"/>
            <rFont val="Tahoma"/>
            <family val="2"/>
          </rPr>
          <t>HEC:</t>
        </r>
        <r>
          <rPr>
            <sz val="9"/>
            <color indexed="81"/>
            <rFont val="Tahoma"/>
            <family val="2"/>
          </rPr>
          <t xml:space="preserve">
added HVAC MCC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HEC</author>
  </authors>
  <commentList>
    <comment ref="D66" authorId="0" shapeId="0" xr:uid="{E175DC41-6491-485A-BE77-86CA3F315162}">
      <text>
        <r>
          <rPr>
            <b/>
            <sz val="9"/>
            <color indexed="81"/>
            <rFont val="Tahoma"/>
            <family val="2"/>
          </rPr>
          <t>HEC:</t>
        </r>
        <r>
          <rPr>
            <sz val="9"/>
            <color indexed="81"/>
            <rFont val="Tahoma"/>
            <family val="2"/>
          </rPr>
          <t xml:space="preserve">
this is assumed</t>
        </r>
      </text>
    </comment>
    <comment ref="D67" authorId="0" shapeId="0" xr:uid="{C4EC6CF3-A9D0-4484-98F6-F95DD5855BC9}">
      <text>
        <r>
          <rPr>
            <b/>
            <sz val="9"/>
            <color indexed="81"/>
            <rFont val="Tahoma"/>
            <family val="2"/>
          </rPr>
          <t>HEC:</t>
        </r>
        <r>
          <rPr>
            <sz val="9"/>
            <color indexed="81"/>
            <rFont val="Tahoma"/>
            <family val="2"/>
          </rPr>
          <t xml:space="preserve">
this is assumed</t>
        </r>
      </text>
    </comment>
    <comment ref="D68" authorId="0" shapeId="0" xr:uid="{9B6F7D27-136F-4893-A8B0-1BECCA65D90B}">
      <text>
        <r>
          <rPr>
            <b/>
            <sz val="9"/>
            <color indexed="81"/>
            <rFont val="Tahoma"/>
            <family val="2"/>
          </rPr>
          <t>HEC:</t>
        </r>
        <r>
          <rPr>
            <sz val="9"/>
            <color indexed="81"/>
            <rFont val="Tahoma"/>
            <family val="2"/>
          </rPr>
          <t xml:space="preserve">
this is assumed</t>
        </r>
      </text>
    </comment>
    <comment ref="H194" authorId="0" shapeId="0" xr:uid="{80A38968-A62A-44ED-9D9B-52D084873345}">
      <text>
        <r>
          <rPr>
            <b/>
            <sz val="9"/>
            <color indexed="81"/>
            <rFont val="Tahoma"/>
            <family val="2"/>
          </rPr>
          <t>HEC:</t>
        </r>
        <r>
          <rPr>
            <sz val="9"/>
            <color indexed="81"/>
            <rFont val="Tahoma"/>
            <family val="2"/>
          </rPr>
          <t xml:space="preserve">
with PFC panel feeder +2</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A141EF-9893-456D-828D-87166627AAE5}" keepAlive="1" name="Query - Table001 (Page 1-11)" description="Connection to the 'Table001 (Page 1-11)' query in the workbook." type="5" refreshedVersion="8" background="1" saveData="1">
    <dbPr connection="Provider=Microsoft.Mashup.OleDb.1;Data Source=$Workbook$;Location=&quot;Table001 (Page 1-11)&quot;;Extended Properties=&quot;&quot;" command="SELECT * FROM [Table001 (Page 1-11)]"/>
  </connection>
  <connection id="2" xr16:uid="{02C0D951-AE04-4E59-8B1F-6D118DE70C1A}" keepAlive="1" name="Query - 표21" description="통합 문서의 '표21' 쿼리에 대한 연결입니다." type="5" refreshedVersion="0" background="1">
    <dbPr connection="Provider=Microsoft.Mashup.OleDb.1;Data Source=$Workbook$;Location=표21;Extended Properties=&quot;&quot;" command="SELECT * FROM [표2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<sst xmlns="http://schemas.openxmlformats.org/spreadsheetml/2006/main" count="31355" uniqueCount="4235">
  <si>
    <t>Create a technical specification for Distribution Board based on the sources. Please note that this is for Biomethanol project.</t>
  </si>
  <si>
    <t>Create a technical specification for Load Shedding System based on the sources. Please note that this is for Biomethanol project.</t>
  </si>
  <si>
    <t>Create a technical specification for Power Factor Correction Panel based on the sources. Please note that this is for Biomethanol project.</t>
  </si>
  <si>
    <t>70-IK-09-0001 (CANCELLED)</t>
  </si>
  <si>
    <t>TAGS</t>
  </si>
  <si>
    <t>BUS</t>
  </si>
  <si>
    <t>RATED POWER</t>
  </si>
  <si>
    <t>FULL LOAD CURRENT</t>
  </si>
  <si>
    <t>Starter Type</t>
  </si>
  <si>
    <t>CIRCUIT TYPE</t>
  </si>
  <si>
    <t>E_UNITS</t>
  </si>
  <si>
    <t>REMARKS</t>
  </si>
  <si>
    <t>feeder qty</t>
  </si>
  <si>
    <t>20% SPARE</t>
  </si>
  <si>
    <t>WH-AHU-001</t>
  </si>
  <si>
    <t>A</t>
  </si>
  <si>
    <t>M-B1</t>
  </si>
  <si>
    <t>400V DOL Motor Starter Cubicle</t>
  </si>
  <si>
    <t>36E</t>
  </si>
  <si>
    <t>WH-ACWC-001</t>
  </si>
  <si>
    <t>F</t>
  </si>
  <si>
    <t>400V MCCB Feeder Cubicle (I &lt; 160A, per Dwg LV4)</t>
  </si>
  <si>
    <t>8E</t>
  </si>
  <si>
    <t>WH-CWP-001A</t>
  </si>
  <si>
    <t>U</t>
  </si>
  <si>
    <t>400V UPS Feeder Cubicle</t>
  </si>
  <si>
    <t>WH-CWP-001B</t>
  </si>
  <si>
    <t>12E</t>
  </si>
  <si>
    <t>WH-ACCU-001</t>
  </si>
  <si>
    <t>M-E1</t>
  </si>
  <si>
    <t>WH-ACCU-002</t>
  </si>
  <si>
    <t>400V MCCB Feeder Cubicle (I &gt; 160A, per Dwg LV3)</t>
  </si>
  <si>
    <t>16E</t>
  </si>
  <si>
    <t>WH-EF-001</t>
  </si>
  <si>
    <t>WH-EF-002</t>
  </si>
  <si>
    <t>WH-EF-003</t>
  </si>
  <si>
    <t>H</t>
  </si>
  <si>
    <t>400V SCR-Controlled Heater Feeder Cubicle (per Dwg LV8)</t>
  </si>
  <si>
    <t>WH-EDH-001</t>
  </si>
  <si>
    <t>24E</t>
  </si>
  <si>
    <t>WH-EDH-002</t>
  </si>
  <si>
    <t>M-A1</t>
  </si>
  <si>
    <t>WH-WWG-001</t>
  </si>
  <si>
    <t>L</t>
  </si>
  <si>
    <t>400V 3Ph+N+PE Feeder Cubicle (per Dwg LV5)</t>
  </si>
  <si>
    <t>WH-WWG-002</t>
  </si>
  <si>
    <t>WH-HD-001</t>
  </si>
  <si>
    <t>WH-HD-002</t>
  </si>
  <si>
    <t>600mm Module + 400mm cable alley</t>
  </si>
  <si>
    <t>Transformer Space</t>
  </si>
  <si>
    <t>MCC(SINGLE)</t>
  </si>
  <si>
    <t>INC &amp; BUS-TIE&amp;ACB</t>
  </si>
  <si>
    <t>Dummy</t>
  </si>
  <si>
    <t>TOTAL LENGTH</t>
  </si>
  <si>
    <t>1200 W x 1000 D</t>
  </si>
  <si>
    <t>additional 600mm for clearance between the  spare space and the transformer</t>
  </si>
  <si>
    <t>SPARE PANEL</t>
  </si>
  <si>
    <t>70-IK-09-0002</t>
  </si>
  <si>
    <t>WS-AHU-001</t>
  </si>
  <si>
    <t>WS-AHU-002</t>
  </si>
  <si>
    <t>WS-ACWC-001</t>
  </si>
  <si>
    <t>WS-ACWC-002</t>
  </si>
  <si>
    <t>WS-CWP-001A</t>
  </si>
  <si>
    <t>WS-CWP-001B</t>
  </si>
  <si>
    <t>WS-CWP-002A</t>
  </si>
  <si>
    <t>WS-CWP-002B</t>
  </si>
  <si>
    <t>WS-ACCU-001A</t>
  </si>
  <si>
    <t>WS-ACCU-001B</t>
  </si>
  <si>
    <t>WS-ACCU-002A</t>
  </si>
  <si>
    <t>WS-ACCU-002B</t>
  </si>
  <si>
    <t>WS-EF-001</t>
  </si>
  <si>
    <t>WS-EF-002A</t>
  </si>
  <si>
    <t>WS-EF-002B</t>
  </si>
  <si>
    <t>WS-EF-003</t>
  </si>
  <si>
    <t>WS-EF-004</t>
  </si>
  <si>
    <t>WS-EF-006A</t>
  </si>
  <si>
    <t>WS-EF-006B</t>
  </si>
  <si>
    <t>WS-EF-007A</t>
  </si>
  <si>
    <t>WS-EF-007B</t>
  </si>
  <si>
    <t>WS-EF-008</t>
  </si>
  <si>
    <t>WS-VAV-001</t>
  </si>
  <si>
    <t>WS-VAV-002</t>
  </si>
  <si>
    <t>WS-VAV-003</t>
  </si>
  <si>
    <t>WS-VAV-004</t>
  </si>
  <si>
    <t>WS-VAV-005</t>
  </si>
  <si>
    <t>WS-VAV-006</t>
  </si>
  <si>
    <t>WS-VAV-007</t>
  </si>
  <si>
    <t>WS-VAV-008</t>
  </si>
  <si>
    <t>WS-VAV-009</t>
  </si>
  <si>
    <t>WS-VAV-010</t>
  </si>
  <si>
    <t>WS-CAV-001</t>
  </si>
  <si>
    <t>WS-CAV-002</t>
  </si>
  <si>
    <t>WS-CAV-003</t>
  </si>
  <si>
    <t>WS-CAV-004</t>
  </si>
  <si>
    <t>WS-CAV-005</t>
  </si>
  <si>
    <t>WS-CAV-006</t>
  </si>
  <si>
    <t>WS-CAV-007</t>
  </si>
  <si>
    <t>WS-CAV-008</t>
  </si>
  <si>
    <t>WS-CAV-009</t>
  </si>
  <si>
    <t>WS-WWG-001</t>
  </si>
  <si>
    <t>WS-WWP-001</t>
  </si>
  <si>
    <t>WS-HD-001</t>
  </si>
  <si>
    <t>WS-HD-002</t>
  </si>
  <si>
    <t>70-IK-09-0003</t>
  </si>
  <si>
    <t>CB-AHU-001A</t>
  </si>
  <si>
    <t>CB-AHU-001B</t>
  </si>
  <si>
    <t>CB-AHU-002A</t>
  </si>
  <si>
    <t>CB-AHU-002B</t>
  </si>
  <si>
    <t>CB-ACWC-001A</t>
  </si>
  <si>
    <t>CB-ACWC-001B</t>
  </si>
  <si>
    <t>CB-ACWC-002A</t>
  </si>
  <si>
    <t>CB-ACWC-002B</t>
  </si>
  <si>
    <t>CB-CWP-001A</t>
  </si>
  <si>
    <t>CB-CWP-001B</t>
  </si>
  <si>
    <t>CB-CWP-002A</t>
  </si>
  <si>
    <t>CB-CWP-002B</t>
  </si>
  <si>
    <t>CB-ASU-001</t>
  </si>
  <si>
    <t>CB-EF-001A</t>
  </si>
  <si>
    <t>CB-EF-001B</t>
  </si>
  <si>
    <t>CB-EF-002A</t>
  </si>
  <si>
    <t>CB-EF-002B</t>
  </si>
  <si>
    <t>CB-EF-003</t>
  </si>
  <si>
    <t>CB-EF-004A</t>
  </si>
  <si>
    <t>CB-EF-004B</t>
  </si>
  <si>
    <t>CB-EF-005A</t>
  </si>
  <si>
    <t>CB-EF-005B</t>
  </si>
  <si>
    <t>CB-EDH-001</t>
  </si>
  <si>
    <t>CB-EDH-002</t>
  </si>
  <si>
    <t>CB-EDH-003</t>
  </si>
  <si>
    <t>CB-EDH-004</t>
  </si>
  <si>
    <t>CB-EDH-005</t>
  </si>
  <si>
    <t>CB-EDH-006</t>
  </si>
  <si>
    <t>CB-EDH-007</t>
  </si>
  <si>
    <t>CB-EDH-008</t>
  </si>
  <si>
    <t>CB-EDH-009</t>
  </si>
  <si>
    <t>CB-EDH-010</t>
  </si>
  <si>
    <t>CB-EDH-011</t>
  </si>
  <si>
    <t>CB-EDH-012</t>
  </si>
  <si>
    <t>CB-WWG-001</t>
  </si>
  <si>
    <t>CB-WWP-001</t>
  </si>
  <si>
    <t>CB-HD-001</t>
  </si>
  <si>
    <t>CB-HD-002</t>
  </si>
  <si>
    <t>CB-HD-003</t>
  </si>
  <si>
    <t>70-IK-09-0004</t>
  </si>
  <si>
    <t>AB-AHU-001A</t>
  </si>
  <si>
    <t>AB-AHU-001B</t>
  </si>
  <si>
    <t>AB-AHU-002</t>
  </si>
  <si>
    <t>AB-ACCU-001A</t>
  </si>
  <si>
    <t>AB-ACCU-001B</t>
  </si>
  <si>
    <t>AB-ACWC-001</t>
  </si>
  <si>
    <t>AB-CWP-001A</t>
  </si>
  <si>
    <t>AB-CWP-001B</t>
  </si>
  <si>
    <t>AB-ASU-001</t>
  </si>
  <si>
    <t>AB-FCU-001A</t>
  </si>
  <si>
    <t>AB-FCU-001B</t>
  </si>
  <si>
    <t>AB-FCU-001C</t>
  </si>
  <si>
    <t>AB-FCU-002</t>
  </si>
  <si>
    <t>AB-FCU-003A</t>
  </si>
  <si>
    <t>AB-FCU-003B</t>
  </si>
  <si>
    <t>AB-FCU-003C</t>
  </si>
  <si>
    <t>AB-FCU-004A</t>
  </si>
  <si>
    <t>AB-FCU-004B</t>
  </si>
  <si>
    <t>AB-FCU-005</t>
  </si>
  <si>
    <t>AB-FCU-006</t>
  </si>
  <si>
    <t>AB-FCU-007A</t>
  </si>
  <si>
    <t>AB-FCU-007B</t>
  </si>
  <si>
    <t>AB-FCU-008</t>
  </si>
  <si>
    <t>AB-FCU-009</t>
  </si>
  <si>
    <t>AB-FCU-010A</t>
  </si>
  <si>
    <t>AB-FCU-010B</t>
  </si>
  <si>
    <t>AB-FCU-010C</t>
  </si>
  <si>
    <t>AB-FCU-011A</t>
  </si>
  <si>
    <t>AB-FCU-011B</t>
  </si>
  <si>
    <t>AB-FCU-012A</t>
  </si>
  <si>
    <t>AB-FCU-012B</t>
  </si>
  <si>
    <t>AB-FCU-013</t>
  </si>
  <si>
    <t>AB-FCU-014</t>
  </si>
  <si>
    <t>AB-FCU-015A</t>
  </si>
  <si>
    <t>AB-FCU-015B</t>
  </si>
  <si>
    <t>AB-FCU-016</t>
  </si>
  <si>
    <t>AB-FCU-017</t>
  </si>
  <si>
    <t>AB-FCU-018A</t>
  </si>
  <si>
    <t>AB-FCU-018B</t>
  </si>
  <si>
    <t>AB-FCU-018C</t>
  </si>
  <si>
    <t>AB-FCU-018D</t>
  </si>
  <si>
    <t>AB-FCU-018E</t>
  </si>
  <si>
    <t>AB-FCU-018F</t>
  </si>
  <si>
    <t>AB-EF-001</t>
  </si>
  <si>
    <t>AB-EF-002</t>
  </si>
  <si>
    <t>AB-EF-003A</t>
  </si>
  <si>
    <t>AB-EF-003B</t>
  </si>
  <si>
    <t>AB-EF-004A</t>
  </si>
  <si>
    <t>AB-EF-004B</t>
  </si>
  <si>
    <t>AB-EDH-001</t>
  </si>
  <si>
    <t>AB-WWG-001</t>
  </si>
  <si>
    <t>AB-WWP-001</t>
  </si>
  <si>
    <t>AB-HD-001</t>
  </si>
  <si>
    <t>AB-HD-002</t>
  </si>
  <si>
    <t>AB-HD-003</t>
  </si>
  <si>
    <t>AB-HD-004</t>
  </si>
  <si>
    <t>AB-HD-005</t>
  </si>
  <si>
    <t>AB-HD-006</t>
  </si>
  <si>
    <t>AB-HD-007</t>
  </si>
  <si>
    <t>70-IK-09-0005</t>
  </si>
  <si>
    <t>MSB-AHU-001A</t>
  </si>
  <si>
    <t>MSB-AHU-001B</t>
  </si>
  <si>
    <t>MSB-AHU-001C</t>
  </si>
  <si>
    <t>MSB-ACWC-001A</t>
  </si>
  <si>
    <t>MSB-ACWC-001B</t>
  </si>
  <si>
    <t>MSB-ACWC-001C</t>
  </si>
  <si>
    <t>MSB-CWP-001A</t>
  </si>
  <si>
    <t>MSB-CWP-001B</t>
  </si>
  <si>
    <t>MSB-CWP-001C</t>
  </si>
  <si>
    <t>MSB-ASU-001</t>
  </si>
  <si>
    <t>MSB-EF-001A</t>
  </si>
  <si>
    <t>MSB-EF-001B</t>
  </si>
  <si>
    <t>MSB-EF-002A</t>
  </si>
  <si>
    <t>MSB-EF-002B</t>
  </si>
  <si>
    <t>MSB-EF-003A</t>
  </si>
  <si>
    <t>MSB-EF-003B</t>
  </si>
  <si>
    <t>MSB-EDH-001</t>
  </si>
  <si>
    <t>70-IK-09-0006</t>
  </si>
  <si>
    <t>ITRE-AHU-001A</t>
  </si>
  <si>
    <t>ITRE-AHU-001B</t>
  </si>
  <si>
    <t>ITRE-ACCU-001A</t>
  </si>
  <si>
    <t>ITRE-ACCU-001B</t>
  </si>
  <si>
    <t>ITRE-ASU-001</t>
  </si>
  <si>
    <t>ITRE-EF-001A</t>
  </si>
  <si>
    <t>ITRE-EF-001B</t>
  </si>
  <si>
    <t>ITRE-EF-002A</t>
  </si>
  <si>
    <t>ITRE-EF-002B</t>
  </si>
  <si>
    <t>ITRE-EF-003A</t>
  </si>
  <si>
    <t>ITRE-EF-003B</t>
  </si>
  <si>
    <t>ITRE-EDH-001</t>
  </si>
  <si>
    <t>ITRE-EDH-002</t>
  </si>
  <si>
    <t>70-IK-09-0007</t>
  </si>
  <si>
    <t>ITRW-AHU-001A</t>
  </si>
  <si>
    <t>ITRW-AHU-001B</t>
  </si>
  <si>
    <t>ITRW-ACCU-001A</t>
  </si>
  <si>
    <t>ITRW-ACCU-001B</t>
  </si>
  <si>
    <t>ITRW-ASU-001</t>
  </si>
  <si>
    <t>ITRW-EF-001A</t>
  </si>
  <si>
    <t>ITRW-EF-001B</t>
  </si>
  <si>
    <t>ITRW-EF-002A</t>
  </si>
  <si>
    <t>ITRW-EF-002B</t>
  </si>
  <si>
    <t>ITRW-EF-003A</t>
  </si>
  <si>
    <t>ITRW-EF-003B</t>
  </si>
  <si>
    <t>ITRW-EDH-001</t>
  </si>
  <si>
    <t>ITRW-EDH-002</t>
  </si>
  <si>
    <t>FIRESTATION CANCELLED?</t>
  </si>
  <si>
    <t>70-IK-09-0009</t>
  </si>
  <si>
    <t>FS-AHU-001</t>
  </si>
  <si>
    <t>FS-ACCU-001</t>
  </si>
  <si>
    <t>FS-EF-001</t>
  </si>
  <si>
    <t>FS-EF-002</t>
  </si>
  <si>
    <t>FS-EDH-001</t>
  </si>
  <si>
    <t>FS-EDH-002</t>
  </si>
  <si>
    <t>FS-EDH-003</t>
  </si>
  <si>
    <t>FS-WWG-001</t>
  </si>
  <si>
    <t>FS-WWP-001</t>
  </si>
  <si>
    <t>FS-HD-001</t>
  </si>
  <si>
    <t>FS-HD-002</t>
  </si>
  <si>
    <t>70-IK-09-0010</t>
  </si>
  <si>
    <t>MGH-AHU-001</t>
  </si>
  <si>
    <t>MGH-ACCU-001</t>
  </si>
  <si>
    <t>MGH-EF-001</t>
  </si>
  <si>
    <t>MGH-EF-002A</t>
  </si>
  <si>
    <t>MGH-EF-002B</t>
  </si>
  <si>
    <t>MGH-EDH-001</t>
  </si>
  <si>
    <t>MGH-EDH-002</t>
  </si>
  <si>
    <t>MGH-EDH-003</t>
  </si>
  <si>
    <t>MGH-EDH-004</t>
  </si>
  <si>
    <t>MGH-EDH-005</t>
  </si>
  <si>
    <t>MGH-EDH-006</t>
  </si>
  <si>
    <t>MGH-EDH-007</t>
  </si>
  <si>
    <t>MGH-EDH-008</t>
  </si>
  <si>
    <t>MGH-WWG-001</t>
  </si>
  <si>
    <t>MGH-WWP-001</t>
  </si>
  <si>
    <t>MGH-HD-001</t>
  </si>
  <si>
    <t>MGH-HD-002</t>
  </si>
  <si>
    <t>Apply HVAC DB Type 1</t>
  </si>
  <si>
    <t>70-IK-09-0011</t>
  </si>
  <si>
    <t>MASH02-ACCU-001</t>
  </si>
  <si>
    <t>MASH02-EF-001</t>
  </si>
  <si>
    <t>MASH02-WWG-001</t>
  </si>
  <si>
    <t>MASH02-HD-001</t>
  </si>
  <si>
    <t>MASH01-ACCU-001</t>
  </si>
  <si>
    <t>70-IK-09-0003 (Combine CB and Admin)</t>
  </si>
  <si>
    <t>8E/4</t>
  </si>
  <si>
    <t>REF.</t>
  </si>
  <si>
    <t>SWITCHGEAR</t>
  </si>
  <si>
    <t>TAG No.</t>
  </si>
  <si>
    <t>DESCRIPTION</t>
  </si>
  <si>
    <t>BUS
REF.</t>
  </si>
  <si>
    <t>Feeder
type</t>
  </si>
  <si>
    <t>LOAD
TYPE
(N / Em)</t>
  </si>
  <si>
    <t>DUTY
Type
(C, I or S)</t>
  </si>
  <si>
    <t>DUTY
Load
Factor</t>
  </si>
  <si>
    <t>Absorbed
Power (kW)
(HOLD-5)</t>
  </si>
  <si>
    <t>EQUIP.
Design
RATING
(kW)</t>
  </si>
  <si>
    <t>POWER
FACTOR</t>
  </si>
  <si>
    <t>EFFCY.
(%)</t>
  </si>
  <si>
    <t>Column1</t>
  </si>
  <si>
    <t>REV.</t>
  </si>
  <si>
    <t xml:space="preserve">EQPT </t>
  </si>
  <si>
    <t>1</t>
  </si>
  <si>
    <t>70-IJ-61-0001</t>
  </si>
  <si>
    <t>70-DM-31-1003</t>
  </si>
  <si>
    <t>Export Compressor Motor No.1 via Transformer</t>
  </si>
  <si>
    <t>VSD-HV</t>
  </si>
  <si>
    <t>N</t>
  </si>
  <si>
    <t>C</t>
  </si>
  <si>
    <t>7109.00</t>
  </si>
  <si>
    <t>8000.00</t>
  </si>
  <si>
    <t>0.97</t>
  </si>
  <si>
    <t>97.00</t>
  </si>
  <si>
    <t>100</t>
  </si>
  <si>
    <t>03</t>
  </si>
  <si>
    <t>2</t>
  </si>
  <si>
    <t>70-DM-31-2003</t>
  </si>
  <si>
    <t>Export Compressor Motor No. 2 via Transformer</t>
  </si>
  <si>
    <t>B</t>
  </si>
  <si>
    <t>3</t>
  </si>
  <si>
    <t>70-IV-61-0001A</t>
  </si>
  <si>
    <t>11/0.72kV Transformer Feeder A for 690V Normal Process Switchgear A</t>
  </si>
  <si>
    <t>99.00</t>
  </si>
  <si>
    <t>01</t>
  </si>
  <si>
    <t>4</t>
  </si>
  <si>
    <t>70-IV-61-0001B</t>
  </si>
  <si>
    <t>11/0.72kV Transformer Feeder B for 690V Normal Process Switchgeard B</t>
  </si>
  <si>
    <t>5</t>
  </si>
  <si>
    <t>70-IV-61-0001C</t>
  </si>
  <si>
    <t>11/0.72kV Transformer Feeder C for 690V Emergency Switchgear C</t>
  </si>
  <si>
    <t>Em</t>
  </si>
  <si>
    <t>6</t>
  </si>
  <si>
    <t>70-IV-61-0003A</t>
  </si>
  <si>
    <t>7</t>
  </si>
  <si>
    <t>70-IV-61-0003B</t>
  </si>
  <si>
    <t>11/0.72kV Transformer Feeder B for 690V Normal Process Switchgear B</t>
  </si>
  <si>
    <t>8</t>
  </si>
  <si>
    <t>70-IV-61-0002A</t>
  </si>
  <si>
    <t>11/0.42kV Transformer Feeder A for 400V Normal Switchgear A</t>
  </si>
  <si>
    <t>9</t>
  </si>
  <si>
    <t>70-IV-61-0002B</t>
  </si>
  <si>
    <t>11/0.42kV Transformer Feeder B for 400V Normal Switchgear B</t>
  </si>
  <si>
    <t>10</t>
  </si>
  <si>
    <t>81-IV-61-0001</t>
  </si>
  <si>
    <t>11/0.42kV Transformer Feeder for Beach Valve Substation LV Transformer</t>
  </si>
  <si>
    <t>100.00</t>
  </si>
  <si>
    <t>11</t>
  </si>
  <si>
    <t>70-DM-20-0002A</t>
  </si>
  <si>
    <t>Condensate Recycle Booster Pump A</t>
  </si>
  <si>
    <t>M-HV</t>
  </si>
  <si>
    <t>I</t>
  </si>
  <si>
    <t>0.3</t>
  </si>
  <si>
    <t>539.00</t>
  </si>
  <si>
    <t>600.00</t>
  </si>
  <si>
    <t>0.85</t>
  </si>
  <si>
    <t>95.00</t>
  </si>
  <si>
    <t>30</t>
  </si>
  <si>
    <t>12</t>
  </si>
  <si>
    <t>70-DM-20-0002B</t>
  </si>
  <si>
    <t>Condensate Recycle Booster Pump B</t>
  </si>
  <si>
    <t>S</t>
  </si>
  <si>
    <t>0.1</t>
  </si>
  <si>
    <t>13</t>
  </si>
  <si>
    <t>70-DM-31-1001</t>
  </si>
  <si>
    <t>Flash Gas Compressor (1st (1001) &amp; 2nd (1002) Stage)
(Parent tag - 70-KA-31-1001)</t>
  </si>
  <si>
    <t>1044.00</t>
  </si>
  <si>
    <t>1500.00</t>
  </si>
  <si>
    <t>Note - 11</t>
  </si>
  <si>
    <t>14</t>
  </si>
  <si>
    <t>70-DM-31-2001</t>
  </si>
  <si>
    <t>Flash Gas Compressor (1st (2001) &amp; 2nd (2002) Stage)
(Parent tag - 70-KA-31-2001)</t>
  </si>
  <si>
    <t>15</t>
  </si>
  <si>
    <t>70-DM-01-0002</t>
  </si>
  <si>
    <t>Electric Fire Water Pump Motor</t>
  </si>
  <si>
    <t>400.30</t>
  </si>
  <si>
    <t>560.00</t>
  </si>
  <si>
    <t>Soft starter</t>
  </si>
  <si>
    <t>16</t>
  </si>
  <si>
    <t>70-UZ-43-0002</t>
  </si>
  <si>
    <t>MEG Regeneration Package (Electric Reboiler)</t>
  </si>
  <si>
    <t>3000.00</t>
  </si>
  <si>
    <t>1.00</t>
  </si>
  <si>
    <t>Note - 10</t>
  </si>
  <si>
    <t>02</t>
  </si>
  <si>
    <t>70-IK-61-0001</t>
  </si>
  <si>
    <t>70-DM-01-0004A</t>
  </si>
  <si>
    <t>Electric Fire Fighting Foam Skid Pump Motor A</t>
  </si>
  <si>
    <t>78.00</t>
  </si>
  <si>
    <t>90.00</t>
  </si>
  <si>
    <t>94.00</t>
  </si>
  <si>
    <t/>
  </si>
  <si>
    <t>70-DM-01-0004B</t>
  </si>
  <si>
    <t>Electric Fire Fighting Foam Skid Pump Motor B</t>
  </si>
  <si>
    <t>70-HF-05-0001A</t>
  </si>
  <si>
    <t>Emergency Generator auxiliaries MCC supply A</t>
  </si>
  <si>
    <t>50.00</t>
  </si>
  <si>
    <t>70-HF-05-0001B</t>
  </si>
  <si>
    <t>Emergency Generator auxiliaries MCC supply B</t>
  </si>
  <si>
    <t>70-GU-06-0001A</t>
  </si>
  <si>
    <t>110V DC UPS A for Main Substation</t>
  </si>
  <si>
    <t>5.00</t>
  </si>
  <si>
    <t>70-GU-06-0001B</t>
  </si>
  <si>
    <t>110V DC UPS B for Main Substation</t>
  </si>
  <si>
    <t>70-GU-06-0002A</t>
  </si>
  <si>
    <t>230V AC UPS A in Main Substation for Telecomms</t>
  </si>
  <si>
    <t>7.27</t>
  </si>
  <si>
    <t>10.00</t>
  </si>
  <si>
    <t>70-GU-06-0002B</t>
  </si>
  <si>
    <t>230V AC UPS B in Main Substation for Telecomms</t>
  </si>
  <si>
    <t>80</t>
  </si>
  <si>
    <t>70-GU-06-0002</t>
  </si>
  <si>
    <t>230V UPS Feeder Maintenance Bypass for Main Substation Telecomms</t>
  </si>
  <si>
    <t>70-GU-06-0003A</t>
  </si>
  <si>
    <t>230V AC UPS A in Process - ITR for Telecomms</t>
  </si>
  <si>
    <t>8.45</t>
  </si>
  <si>
    <t>70-GU-06-0003B</t>
  </si>
  <si>
    <t>230V AC UPS B in Process - ITR for Telecomms</t>
  </si>
  <si>
    <t>70-GU-06-0003</t>
  </si>
  <si>
    <t>230V UPS Feeder Maintenance Bypass for Process - ITR Telecomms</t>
  </si>
  <si>
    <t>70-GU-06-0004A</t>
  </si>
  <si>
    <t>230V AC UPS A in Process - ITR for Instruments</t>
  </si>
  <si>
    <t>51.97</t>
  </si>
  <si>
    <t>60.00</t>
  </si>
  <si>
    <t>70-GU-06-0004B</t>
  </si>
  <si>
    <t>230V AC UPS B in Process - ITR for Instruments</t>
  </si>
  <si>
    <t>70-GU-06-0004</t>
  </si>
  <si>
    <t>230V UPS Feeder Maintenance Bypass for Process - ITR Instruments</t>
  </si>
  <si>
    <t>70-GU-06-0005A</t>
  </si>
  <si>
    <t>230V AC UPS A in Utility - ITR for Telecomms</t>
  </si>
  <si>
    <t>17</t>
  </si>
  <si>
    <t>70-GU-06-0005B</t>
  </si>
  <si>
    <t>230V AC UPS B in Utility - ITR for Telecomms</t>
  </si>
  <si>
    <t>18</t>
  </si>
  <si>
    <t>70-GU-06-0005</t>
  </si>
  <si>
    <t>230V UPS Feeder Maintenance Bypass for Utility - ITR Telecomms</t>
  </si>
  <si>
    <t>19</t>
  </si>
  <si>
    <t>70-GU-06-0006A</t>
  </si>
  <si>
    <t>230V AC UPS A in Utility - ITR for Instruments</t>
  </si>
  <si>
    <t>47.16</t>
  </si>
  <si>
    <t>20</t>
  </si>
  <si>
    <t>70-GU-06-0006B</t>
  </si>
  <si>
    <t>230V AC UPS B in Utility - ITR for Instruments</t>
  </si>
  <si>
    <t>21</t>
  </si>
  <si>
    <t>70-GU-06-0006</t>
  </si>
  <si>
    <t>230V UPS Feeder Maintenance Bypass for Utility - ITR Instruments</t>
  </si>
  <si>
    <t>22</t>
  </si>
  <si>
    <t>70-GU-06-0007A</t>
  </si>
  <si>
    <t>230V AC UPS A in Control Building for Telecomms</t>
  </si>
  <si>
    <t>45.28</t>
  </si>
  <si>
    <t>23</t>
  </si>
  <si>
    <t>70-GU-06-0007B</t>
  </si>
  <si>
    <t>230V AC UPS B in Control Building for Telecomms</t>
  </si>
  <si>
    <t>24</t>
  </si>
  <si>
    <t>70-GU-06-0007</t>
  </si>
  <si>
    <t>230V UPS Feeder Maintenance Bypass for Control Building Telecomms</t>
  </si>
  <si>
    <t>25</t>
  </si>
  <si>
    <t>70-GU-06-0008A</t>
  </si>
  <si>
    <t>230V AC UPS A in Control Building for Instruments</t>
  </si>
  <si>
    <t>57.49</t>
  </si>
  <si>
    <t>26</t>
  </si>
  <si>
    <t>70-GU-06-0008B</t>
  </si>
  <si>
    <t>230V AC UPS B in Control Building for Instruments</t>
  </si>
  <si>
    <t>27</t>
  </si>
  <si>
    <t>70-GU-06-0008</t>
  </si>
  <si>
    <t>230V UPS Feeder Maintenance Bypass for Control Building Instruments</t>
  </si>
  <si>
    <t>28</t>
  </si>
  <si>
    <t>70-GU-06-0009A</t>
  </si>
  <si>
    <t>230V AC UPS A in Warehouse for Telecoms</t>
  </si>
  <si>
    <t>29</t>
  </si>
  <si>
    <t>70-GU-06-0009B</t>
  </si>
  <si>
    <t>230V AC UPS B in Warehouse for Telecoms</t>
  </si>
  <si>
    <t>70-GU-06-0009</t>
  </si>
  <si>
    <t>230V UPS Feeder Maintenance Bypass for Warehouse Telecoms</t>
  </si>
  <si>
    <t>31</t>
  </si>
  <si>
    <t>70-GU-06-0010A</t>
  </si>
  <si>
    <t>230V AC UPS A in Workshop for Telecoms</t>
  </si>
  <si>
    <t>32</t>
  </si>
  <si>
    <t>70-GU-06-0010B</t>
  </si>
  <si>
    <t>230V AC UPS B in Workshop for Telecoms</t>
  </si>
  <si>
    <t>33</t>
  </si>
  <si>
    <t>70-GU-06-0010</t>
  </si>
  <si>
    <t>230V UPS Feeder Maintenance Bypass for Workshop Telecoms</t>
  </si>
  <si>
    <t>34</t>
  </si>
  <si>
    <t>70-GU-06-0011A</t>
  </si>
  <si>
    <t>230V AC UPS A in Adminstration Building for Telecoms</t>
  </si>
  <si>
    <t>40.41</t>
  </si>
  <si>
    <t>40.00</t>
  </si>
  <si>
    <t>35</t>
  </si>
  <si>
    <t>70-GU-06-0011B</t>
  </si>
  <si>
    <t>230V AC UPS B in Adminstration Building for Telecoms</t>
  </si>
  <si>
    <t>36</t>
  </si>
  <si>
    <t>70-GU-06-0011</t>
  </si>
  <si>
    <t>230V UPS Feeder Maintenance Bypass for Adminstration Building Telecoms</t>
  </si>
  <si>
    <t>37</t>
  </si>
  <si>
    <t>70-GU-06-0013A</t>
  </si>
  <si>
    <t>230V AC UPS A in Fire Station for Telecoms</t>
  </si>
  <si>
    <t>38</t>
  </si>
  <si>
    <t>70-GU-06-0013B</t>
  </si>
  <si>
    <t>230V AC UPS B in Fire Station for Telecoms</t>
  </si>
  <si>
    <t>39</t>
  </si>
  <si>
    <t>70-GU-06-0013</t>
  </si>
  <si>
    <t>230V UPS Feeder Maintenance Bypass for Fire Station Telecoms</t>
  </si>
  <si>
    <t>40</t>
  </si>
  <si>
    <t>70-DM-07-0001A</t>
  </si>
  <si>
    <t>Air Compressor Motor A</t>
  </si>
  <si>
    <t>284.00</t>
  </si>
  <si>
    <t>315.00</t>
  </si>
  <si>
    <t>41</t>
  </si>
  <si>
    <t>70-IK-09-0001A</t>
  </si>
  <si>
    <t>HVAC control panel feeder A for Warehouse</t>
  </si>
  <si>
    <t>51.76</t>
  </si>
  <si>
    <t>63.00</t>
  </si>
  <si>
    <t>0.95</t>
  </si>
  <si>
    <t>42</t>
  </si>
  <si>
    <t>70-IK-09-0001B</t>
  </si>
  <si>
    <t>HVAC control panel feeder B for Warehouse</t>
  </si>
  <si>
    <t>43</t>
  </si>
  <si>
    <t>70-IK-09-0002A</t>
  </si>
  <si>
    <t>HVAC control panel feeder A for Workshop</t>
  </si>
  <si>
    <t>223.00</t>
  </si>
  <si>
    <t>250.00</t>
  </si>
  <si>
    <t>44</t>
  </si>
  <si>
    <t>70-IK-09-0002B</t>
  </si>
  <si>
    <t>HVAC control panel feeder B for Workshop</t>
  </si>
  <si>
    <t>45</t>
  </si>
  <si>
    <t>70-IK-09-0003A</t>
  </si>
  <si>
    <t>HVAC control panel feeder A for Control Building</t>
  </si>
  <si>
    <t>158.00</t>
  </si>
  <si>
    <t>160.00</t>
  </si>
  <si>
    <t>50</t>
  </si>
  <si>
    <t>46</t>
  </si>
  <si>
    <t>70-IK-09-0003B</t>
  </si>
  <si>
    <t>HVAC control panel feeder B for Control Building</t>
  </si>
  <si>
    <t>47</t>
  </si>
  <si>
    <t>70-IK-09-0004A</t>
  </si>
  <si>
    <t>HVAC control panel feeder A for Adminstration Building</t>
  </si>
  <si>
    <t>80.50</t>
  </si>
  <si>
    <t>48</t>
  </si>
  <si>
    <t>70-IK-09-0004B</t>
  </si>
  <si>
    <t>HVAC control panel feeder B for Adminstration Building</t>
  </si>
  <si>
    <t>49</t>
  </si>
  <si>
    <t>70-IK-09-0005A</t>
  </si>
  <si>
    <t>HVAC control panel feeder A for Main Substation</t>
  </si>
  <si>
    <t>137.70</t>
  </si>
  <si>
    <t>70-IK-09-0005B</t>
  </si>
  <si>
    <t>HVAC control panel feeder B for Main Substation</t>
  </si>
  <si>
    <t>51</t>
  </si>
  <si>
    <t>70-IK-09-0006A</t>
  </si>
  <si>
    <t>HVAC control panel feeder A for ITR East-Utilities</t>
  </si>
  <si>
    <t>94.47</t>
  </si>
  <si>
    <t>52</t>
  </si>
  <si>
    <t>70-IK-09-0006B</t>
  </si>
  <si>
    <t>HVAC control panel feeder B for ITR East-Utilities</t>
  </si>
  <si>
    <t>53</t>
  </si>
  <si>
    <t>70-IK-09-0007A</t>
  </si>
  <si>
    <t>HVAC control panel feeder A for ITR West-Process</t>
  </si>
  <si>
    <t>54</t>
  </si>
  <si>
    <t>70-IK-09-0007B</t>
  </si>
  <si>
    <t>HVAC control panel feeder B for TR West-Process</t>
  </si>
  <si>
    <t>55</t>
  </si>
  <si>
    <t>70-IK-09-0008A</t>
  </si>
  <si>
    <t>HVAC control panel feeder A for Laboratory</t>
  </si>
  <si>
    <t>37.70</t>
  </si>
  <si>
    <t>56</t>
  </si>
  <si>
    <t>70-IK-09-0008B</t>
  </si>
  <si>
    <t>HVAC control panel feeder B for Laboratory</t>
  </si>
  <si>
    <t>57</t>
  </si>
  <si>
    <t>70-IK-09-0009A</t>
  </si>
  <si>
    <t>HVAC control panel feeder A for Fire Station</t>
  </si>
  <si>
    <t>31.12</t>
  </si>
  <si>
    <t>58</t>
  </si>
  <si>
    <t>70-IK-09-0009B</t>
  </si>
  <si>
    <t>HVAC control panel feeder B for Fire Station</t>
  </si>
  <si>
    <t>59</t>
  </si>
  <si>
    <t>70-IK-09-0010A</t>
  </si>
  <si>
    <t>HVAC control panel feeder A for Main Gate House</t>
  </si>
  <si>
    <t>15.50</t>
  </si>
  <si>
    <t>60</t>
  </si>
  <si>
    <t>70-IK-09-0010B</t>
  </si>
  <si>
    <t>HVAC control panel feeder B for Main Gate House</t>
  </si>
  <si>
    <t>61</t>
  </si>
  <si>
    <t>70-IK-09-0011A</t>
  </si>
  <si>
    <t>HVAC control panel feeder A for Plant Access Security Hut</t>
  </si>
  <si>
    <t>5.20</t>
  </si>
  <si>
    <t>62</t>
  </si>
  <si>
    <t>70-IK-09-0011B</t>
  </si>
  <si>
    <t>HVAC control panel feeder B for Plant Access Security Hut</t>
  </si>
  <si>
    <t>63</t>
  </si>
  <si>
    <t>70-HE-36-0002A</t>
  </si>
  <si>
    <t>HP Flare KO Drum Heater A</t>
  </si>
  <si>
    <t>272.00</t>
  </si>
  <si>
    <t>450.00</t>
  </si>
  <si>
    <t>64</t>
  </si>
  <si>
    <t>70-HE-36-0002B</t>
  </si>
  <si>
    <t>HP Flare KO Drum Heater B</t>
  </si>
  <si>
    <t>65</t>
  </si>
  <si>
    <t>70-DM-36-0001A</t>
  </si>
  <si>
    <t>HP Flare KO Drum Pump A (Parent tag - 70-PA-36-0001A)</t>
  </si>
  <si>
    <t>14.70</t>
  </si>
  <si>
    <t>18.50</t>
  </si>
  <si>
    <t>0.82</t>
  </si>
  <si>
    <t>91.60</t>
  </si>
  <si>
    <t>66</t>
  </si>
  <si>
    <t>70-DM-36-0001B</t>
  </si>
  <si>
    <t>HP Flare KO Drum Pump B (Parent tag - 70-PA-36-0001B)</t>
  </si>
  <si>
    <t>67</t>
  </si>
  <si>
    <t>70-DM-36-0004A</t>
  </si>
  <si>
    <t>LP Flare KO Drum Pump A (Parent tag - 70-PA-36-0004A)</t>
  </si>
  <si>
    <t>5.40</t>
  </si>
  <si>
    <t>7.50</t>
  </si>
  <si>
    <t>0.80</t>
  </si>
  <si>
    <t>86.60</t>
  </si>
  <si>
    <t>68</t>
  </si>
  <si>
    <t>70-DM-36-0004B</t>
  </si>
  <si>
    <t>LP Flare KO Drum Pump B (Parent tag - 70-PA-36-0004B)</t>
  </si>
  <si>
    <t>69</t>
  </si>
  <si>
    <t>70-HE-36-0003</t>
  </si>
  <si>
    <t>LP Flare KO Drum Heater</t>
  </si>
  <si>
    <t>266.00</t>
  </si>
  <si>
    <t>320.00</t>
  </si>
  <si>
    <t>70</t>
  </si>
  <si>
    <t>70-IG-62-0002</t>
  </si>
  <si>
    <t>400/230V Emergency L &amp; SP DB - Access control building - Indoor</t>
  </si>
  <si>
    <t>3.55</t>
  </si>
  <si>
    <t>Fed via 690/420V Isolation
Transformer.</t>
  </si>
  <si>
    <t>71</t>
  </si>
  <si>
    <t>70-IG-62-0003</t>
  </si>
  <si>
    <t>400/230V Emergency L &amp; SP DB - Control Building - Indoor</t>
  </si>
  <si>
    <t>13.00</t>
  </si>
  <si>
    <t>15.00</t>
  </si>
  <si>
    <t>72</t>
  </si>
  <si>
    <t>70-IG-62-0004</t>
  </si>
  <si>
    <t>400/230V Emergency L &amp; SP DB - Warehouse - Indoor</t>
  </si>
  <si>
    <t>12.20</t>
  </si>
  <si>
    <t>73</t>
  </si>
  <si>
    <t>70-IG-62-0006</t>
  </si>
  <si>
    <t>400/230V Emergency L &amp; SP DB - Workshop - Indoor</t>
  </si>
  <si>
    <t>11.40</t>
  </si>
  <si>
    <t>74</t>
  </si>
  <si>
    <t>70-IG-62-0007</t>
  </si>
  <si>
    <t>400/230V Emergency L &amp; SP DB - Adminstration Building - Indoor</t>
  </si>
  <si>
    <t>3.20</t>
  </si>
  <si>
    <t>75</t>
  </si>
  <si>
    <t>70-IG-62-0008</t>
  </si>
  <si>
    <t>400/230V Emergency L &amp; SP DB - Laboratory - Indoor</t>
  </si>
  <si>
    <t>2.80</t>
  </si>
  <si>
    <t>76</t>
  </si>
  <si>
    <t>70-IG-62-0009</t>
  </si>
  <si>
    <t>400/230V Emergency L &amp; SP DB - Main Substation - Indoor</t>
  </si>
  <si>
    <t>77</t>
  </si>
  <si>
    <t>70-IG-62-0010</t>
  </si>
  <si>
    <t>400/230V Emergency L &amp; SP DB - Fire Station - Indoor</t>
  </si>
  <si>
    <t>4.60</t>
  </si>
  <si>
    <t>78</t>
  </si>
  <si>
    <t>70-IG-62-0011</t>
  </si>
  <si>
    <t>400/230V Emergency L &amp; SP DB - ITR East-Utilities - Indoor</t>
  </si>
  <si>
    <t>14.10</t>
  </si>
  <si>
    <t>79</t>
  </si>
  <si>
    <t>70-IG-62-0012</t>
  </si>
  <si>
    <t>400/230V Emergency L &amp; SP DB - ITR West-Process - Indoor</t>
  </si>
  <si>
    <t>14.30</t>
  </si>
  <si>
    <t>70-IG-62-0013</t>
  </si>
  <si>
    <t>400/230V Emergency L &amp; SP DB - Fence Outdoor</t>
  </si>
  <si>
    <t>27.00</t>
  </si>
  <si>
    <t>32.00</t>
  </si>
  <si>
    <t>81</t>
  </si>
  <si>
    <t>70-IG-62-0014</t>
  </si>
  <si>
    <t>82</t>
  </si>
  <si>
    <t>70-IG-62-0015</t>
  </si>
  <si>
    <t>83</t>
  </si>
  <si>
    <t>70-IG-62-0017</t>
  </si>
  <si>
    <t>MOV Distribution Board - CPF - Outdoor - Booster compressor</t>
  </si>
  <si>
    <t>1.70</t>
  </si>
  <si>
    <t>84</t>
  </si>
  <si>
    <t>70-IG-62-0018</t>
  </si>
  <si>
    <t>MOV Distribution Board - CPF - Outdoor - Slug Catcher</t>
  </si>
  <si>
    <t>85</t>
  </si>
  <si>
    <t>70-IG-62-0051</t>
  </si>
  <si>
    <t>22.50</t>
  </si>
  <si>
    <t>86</t>
  </si>
  <si>
    <t>70-IG-62-0052</t>
  </si>
  <si>
    <t>19.50</t>
  </si>
  <si>
    <t>87</t>
  </si>
  <si>
    <t>70-IG-62-0053</t>
  </si>
  <si>
    <t>23.70</t>
  </si>
  <si>
    <t>88</t>
  </si>
  <si>
    <t>70-IG-65-0080</t>
  </si>
  <si>
    <t>400/230V Emergency Heat Tracing DB - Main Substation - Indoor</t>
  </si>
  <si>
    <t>85.00</t>
  </si>
  <si>
    <t>Note-9/Fed via 690/420V
Isolation Transformer.</t>
  </si>
  <si>
    <t>89</t>
  </si>
  <si>
    <t>70-IG-65-0081</t>
  </si>
  <si>
    <t>400/230V Emergency Heat Tracing DB -Booster and Flash Gas Compressor area - Outdoor</t>
  </si>
  <si>
    <t>90</t>
  </si>
  <si>
    <t>70-IG-65-0082</t>
  </si>
  <si>
    <t>400/230V Emergency Heat Tracing DB -Slug Catcher Vapour recovery area - Outdoor</t>
  </si>
  <si>
    <t>91</t>
  </si>
  <si>
    <t>70-IG-65-0083</t>
  </si>
  <si>
    <t>400/230V Emergency Heat Tracing DB -Chemical &amp; Utilities area - Outdoor</t>
  </si>
  <si>
    <t>92</t>
  </si>
  <si>
    <t>70-HE-36-0005A</t>
  </si>
  <si>
    <t>HP Flare KO Drum B Heater A</t>
  </si>
  <si>
    <t>93</t>
  </si>
  <si>
    <t>70-HE-36-0005B</t>
  </si>
  <si>
    <t>HP Flare KO Drum B Heater B</t>
  </si>
  <si>
    <t>70-IK-61-0003</t>
  </si>
  <si>
    <t>70-DM-36-0003A</t>
  </si>
  <si>
    <t>HP Flare Gas Recovery Package - Liquid ring compressor A</t>
  </si>
  <si>
    <t>VSD-G2</t>
  </si>
  <si>
    <t>324.00</t>
  </si>
  <si>
    <t>400.00</t>
  </si>
  <si>
    <t>70-DM-25-0001A</t>
  </si>
  <si>
    <t>Condensate Export Pump A</t>
  </si>
  <si>
    <t>220.00</t>
  </si>
  <si>
    <t>95.20</t>
  </si>
  <si>
    <t>70-HE-70-0001A</t>
  </si>
  <si>
    <t>Fuel Gas Heater A</t>
  </si>
  <si>
    <t>48.00</t>
  </si>
  <si>
    <t>70-DM-07-0001B</t>
  </si>
  <si>
    <t>Air Compressor Motor B</t>
  </si>
  <si>
    <t>70-DM-20-0001A</t>
  </si>
  <si>
    <t>Condensate Recycle Pump A</t>
  </si>
  <si>
    <t>M-D1</t>
  </si>
  <si>
    <t>216.00</t>
  </si>
  <si>
    <t>94.70</t>
  </si>
  <si>
    <t>70-HE-31-1001</t>
  </si>
  <si>
    <t>1st Stage FGC Recycle Cooler 1 Bay - Heater</t>
  </si>
  <si>
    <t>12.00</t>
  </si>
  <si>
    <t>30.00</t>
  </si>
  <si>
    <t>70-HE-31-1002</t>
  </si>
  <si>
    <t>2nd Stage FGC Suction Cooler 1 Bay - Heater</t>
  </si>
  <si>
    <t>20.00</t>
  </si>
  <si>
    <t>25.00</t>
  </si>
  <si>
    <t>70-HE-31-2001</t>
  </si>
  <si>
    <t>70-HE-31-2002</t>
  </si>
  <si>
    <t>70-DM-36-0006B</t>
  </si>
  <si>
    <t>LP Flare Gas Recovery Package - Liquid ring compressor B</t>
  </si>
  <si>
    <t>70-HF-01-0001A</t>
  </si>
  <si>
    <t>Diesel Firewater Pump Miscellaneous Users A</t>
  </si>
  <si>
    <t>70-DM-01-0003A</t>
  </si>
  <si>
    <t>Fire Water Jockey Pump Motor A</t>
  </si>
  <si>
    <t>41.50</t>
  </si>
  <si>
    <t>55.00</t>
  </si>
  <si>
    <t>93.50</t>
  </si>
  <si>
    <t>70-DM-28-0001</t>
  </si>
  <si>
    <t>Open Drains Recovered Oil Pump</t>
  </si>
  <si>
    <t>20.90</t>
  </si>
  <si>
    <t>92.30</t>
  </si>
  <si>
    <t>70-DM-28-0001A</t>
  </si>
  <si>
    <t>Closed Drains Drum Booster Pump A</t>
  </si>
  <si>
    <t>1.50</t>
  </si>
  <si>
    <t>4.00</t>
  </si>
  <si>
    <t>91.20</t>
  </si>
  <si>
    <t>70-DM-28-0003A</t>
  </si>
  <si>
    <t>Open Drains Treatment Oil Pump A</t>
  </si>
  <si>
    <t>1.46</t>
  </si>
  <si>
    <t>70-DM-28-0004A</t>
  </si>
  <si>
    <t>OffSpec Water Recycle Pump A</t>
  </si>
  <si>
    <t>3.15</t>
  </si>
  <si>
    <t>5.50</t>
  </si>
  <si>
    <t>88.70</t>
  </si>
  <si>
    <t>1st Stage FGC Suction Scrubber Pump (Parent tag - 70-PR-31-1001)</t>
  </si>
  <si>
    <t>0.032</t>
  </si>
  <si>
    <t>0.75</t>
  </si>
  <si>
    <t>81.40</t>
  </si>
  <si>
    <t>70-EA-31-1011</t>
  </si>
  <si>
    <t>Export Compressor Train 1 Aftercooler Bay 1 Fan № 1</t>
  </si>
  <si>
    <t>18.84</t>
  </si>
  <si>
    <t>22.00</t>
  </si>
  <si>
    <t>70-EA-31-1012</t>
  </si>
  <si>
    <t>Export Compressor Train 1 Aftercooler Bay 1 Fan № 2</t>
  </si>
  <si>
    <t>70-EA-31-1021</t>
  </si>
  <si>
    <t>Export Compressor Train 1 Aftercooler Bay 1 Fan № 3</t>
  </si>
  <si>
    <t>70-EA-31-1022</t>
  </si>
  <si>
    <t>Export Compressor Train 1 Aftercooler Bay 2 Fan № 1</t>
  </si>
  <si>
    <t>70-EA-31-1031</t>
  </si>
  <si>
    <t>Export Compressor Train 1 Aftercooler</t>
  </si>
  <si>
    <t>70-EA-31-1032</t>
  </si>
  <si>
    <t>70-DM-31-1111</t>
  </si>
  <si>
    <t>1st Stage FGC Recycle Cooler 1 Bay Fan № 1</t>
  </si>
  <si>
    <t>2.40</t>
  </si>
  <si>
    <t>85.50</t>
  </si>
  <si>
    <t>70-DM-31-1112</t>
  </si>
  <si>
    <t>1st Stage FGC Recycle Cooler 1 Bay Fan № 2</t>
  </si>
  <si>
    <t>70-DM-31-1211</t>
  </si>
  <si>
    <t>2nd Stage FGC Suction Cooler 1 Bay Fan № 1</t>
  </si>
  <si>
    <t>70-DM-31-1212</t>
  </si>
  <si>
    <t>2nd Stage FGC Suction Cooler 1 Bay Fan № 2</t>
  </si>
  <si>
    <t>70-DM-43-0001A</t>
  </si>
  <si>
    <t>Rich MEG Pump Motor A</t>
  </si>
  <si>
    <t>8.75</t>
  </si>
  <si>
    <t>11.00</t>
  </si>
  <si>
    <t>89.80</t>
  </si>
  <si>
    <t>MEG Regeneration Package (MEG Pump Motor No.1)</t>
  </si>
  <si>
    <t>87.70</t>
  </si>
  <si>
    <t>MEG Regeneration Package (MEG Reflux Pump Motor No. 1)</t>
  </si>
  <si>
    <t>90.60</t>
  </si>
  <si>
    <t>MEG Regeneration Package (MEG Cooler/Condenser)</t>
  </si>
  <si>
    <t>MEG Regeneration Package (HC Drain pump No. 1)</t>
  </si>
  <si>
    <t>70-DM-43-0003A</t>
  </si>
  <si>
    <t>Lean MEG Transfer Pump Motor A</t>
  </si>
  <si>
    <t>2.50</t>
  </si>
  <si>
    <t>70-IG-62-0055</t>
  </si>
  <si>
    <t>400/230V Normal L &amp; SP DB - Access control building - Indoor</t>
  </si>
  <si>
    <t>2.10</t>
  </si>
  <si>
    <t>Fed via 400/420V Isolation
Transformer.</t>
  </si>
  <si>
    <t>70-IG-62-0056A</t>
  </si>
  <si>
    <t>400/230V Normal L &amp; SP DB - Control Building - Indoor A</t>
  </si>
  <si>
    <t>26.50</t>
  </si>
  <si>
    <t>70-IG-62-0057A</t>
  </si>
  <si>
    <t>400/230V Normal L &amp; SP DB - Warehouse - Indoor A</t>
  </si>
  <si>
    <t>28.00</t>
  </si>
  <si>
    <t>70-IG-62-0059A</t>
  </si>
  <si>
    <t>400/230V Normal L &amp; SP DB - Workshop - Indoor A</t>
  </si>
  <si>
    <t>24.50</t>
  </si>
  <si>
    <t>70-IG-62-0061</t>
  </si>
  <si>
    <t>400/230V Normal L &amp; SP DB - Laboratory - Indoor</t>
  </si>
  <si>
    <t>2.70</t>
  </si>
  <si>
    <t>70-IG-62-0062A</t>
  </si>
  <si>
    <t>400/230V Normal L &amp; SP DB - Main Substation - Indoor A</t>
  </si>
  <si>
    <t>23.00</t>
  </si>
  <si>
    <t>70-IG-62-0064A</t>
  </si>
  <si>
    <t>400/230V Normal L &amp; SP DB - ITR East-Utilities - Indoor A</t>
  </si>
  <si>
    <t>70-IG-62-0065A</t>
  </si>
  <si>
    <t>400/230V Normal L &amp; SP DB - ITR West-Process - Indoor A</t>
  </si>
  <si>
    <t>21.00</t>
  </si>
  <si>
    <t>70-DM-71-0001A</t>
  </si>
  <si>
    <t>Diesel Transfer and Filtration Package Pump Motor A</t>
  </si>
  <si>
    <t>2.20</t>
  </si>
  <si>
    <t>84.30</t>
  </si>
  <si>
    <t>70-DM-72-0001A</t>
  </si>
  <si>
    <t>Heating Medium Circulation Pump A</t>
  </si>
  <si>
    <t>79.20</t>
  </si>
  <si>
    <t>70-HF-72-0001A</t>
  </si>
  <si>
    <t>Fired Heater Auxiliaries A</t>
  </si>
  <si>
    <t>9.80</t>
  </si>
  <si>
    <t>70-UI-75-0001</t>
  </si>
  <si>
    <t>Pour Point Depressant Injection Package</t>
  </si>
  <si>
    <t>0.21</t>
  </si>
  <si>
    <t>70-UI-75-0003</t>
  </si>
  <si>
    <t>Biocide Injection Package</t>
  </si>
  <si>
    <t>0.05</t>
  </si>
  <si>
    <t>70-IK-61-0002</t>
  </si>
  <si>
    <t>70-HE-28-0001</t>
  </si>
  <si>
    <t>Closed Drains Drum Heater</t>
  </si>
  <si>
    <t>68.00</t>
  </si>
  <si>
    <t>84.00</t>
  </si>
  <si>
    <t>70-HE-35-0001</t>
  </si>
  <si>
    <t>Start-Up Gas Heater</t>
  </si>
  <si>
    <t>530.00</t>
  </si>
  <si>
    <t>636.00</t>
  </si>
  <si>
    <t>70-DM-36-0006A</t>
  </si>
  <si>
    <t>LP Flare Gas Recovery Package - Liquid ring compressor A</t>
  </si>
  <si>
    <t>70-DM-25-0001B</t>
  </si>
  <si>
    <t>Condensate Export Pump B</t>
  </si>
  <si>
    <t>70-HE-70-0001B</t>
  </si>
  <si>
    <t>Fuel Gas Heater B</t>
  </si>
  <si>
    <t>70-DM-07-0001C</t>
  </si>
  <si>
    <t>Air Compressor Motor C</t>
  </si>
  <si>
    <t>70-DM-20-0001B</t>
  </si>
  <si>
    <t>Condensate Recycle Pump B</t>
  </si>
  <si>
    <t>70-DM-36-0003B</t>
  </si>
  <si>
    <t>HP Flare Gas Recovery Package - Liquid ring compressor B</t>
  </si>
  <si>
    <t>70-HF-01-0001B</t>
  </si>
  <si>
    <t>Diesel Firewater Pump Miscellaneous Users B</t>
  </si>
  <si>
    <t>70-HF-01-0001C</t>
  </si>
  <si>
    <t>Diesel Firewater Pump Miscellaneous Users C</t>
  </si>
  <si>
    <t>70-HF-01-0002</t>
  </si>
  <si>
    <t>Fire water pump control panel</t>
  </si>
  <si>
    <t>3.80</t>
  </si>
  <si>
    <t>70-DM-01-0003B</t>
  </si>
  <si>
    <t>Fire Water Jockey Pump Motor B</t>
  </si>
  <si>
    <t>70-DM-28-0001B</t>
  </si>
  <si>
    <t>Closed Drains Drum Booster Pump B</t>
  </si>
  <si>
    <t>70-DM-28-0003B</t>
  </si>
  <si>
    <t>Open Drains Treatment Oil Pump B</t>
  </si>
  <si>
    <t>0</t>
  </si>
  <si>
    <t>0.00</t>
  </si>
  <si>
    <t>70-DM-28-0004B</t>
  </si>
  <si>
    <t>OffSpec Water Recycle Pump B</t>
  </si>
  <si>
    <t>1st Stage FGC Suction Scrubber Pump (Parent tag - 70-PR-31-2001)</t>
  </si>
  <si>
    <t>70-EA-31-2011</t>
  </si>
  <si>
    <t>Export Compressor Train 2 Aftercooler Bay 1 Fan № 1</t>
  </si>
  <si>
    <t>70-EA-31-2012</t>
  </si>
  <si>
    <t>Export Compressor Train 2 Aftercooler Bay 1 Fan № 2</t>
  </si>
  <si>
    <t>70-EA-31-2013</t>
  </si>
  <si>
    <t>Export Compressor Train 2 Aftercooler Bay 1 Fan № 3</t>
  </si>
  <si>
    <t>70-EA-31-2021</t>
  </si>
  <si>
    <t>Export Compressor Train 2 Aftercooler Bay 2 Fan № 1</t>
  </si>
  <si>
    <t>70-EA-31-2022</t>
  </si>
  <si>
    <t>Export Compressor Train 2 Aftercooler</t>
  </si>
  <si>
    <t>70-EA-31-2023</t>
  </si>
  <si>
    <t>70-DM-31-1113</t>
  </si>
  <si>
    <t>1st Stage FGC Recycle Cooler 1 Bay Fan № 3</t>
  </si>
  <si>
    <t>70-DM-31-1213</t>
  </si>
  <si>
    <t>2nd Stage FGC Suction Cooler 1 Bay Fan № 3</t>
  </si>
  <si>
    <t>70-UZ-43-0001</t>
  </si>
  <si>
    <t>Subsea MEG Injection Package</t>
  </si>
  <si>
    <t>148.00</t>
  </si>
  <si>
    <t>185.00</t>
  </si>
  <si>
    <t>70-DM-43-0001B</t>
  </si>
  <si>
    <t>Rich MEG Pump Motor B</t>
  </si>
  <si>
    <t>MEG Regeneration Package (MEG Pump Motor No.2)</t>
  </si>
  <si>
    <t>MEG Regeneration Package (MEG Reflux Pump Motor No. 2)</t>
  </si>
  <si>
    <t>MEG Regeneration Package (HC Drain pump No. 2)</t>
  </si>
  <si>
    <t>70-DM-43-0003B</t>
  </si>
  <si>
    <t>Lean MEG Transfer Pump Motor B</t>
  </si>
  <si>
    <t>70-DM-43-0004</t>
  </si>
  <si>
    <t>MEG Offloading Pump Motor</t>
  </si>
  <si>
    <t>3.63</t>
  </si>
  <si>
    <t>70-IG-62-0056B</t>
  </si>
  <si>
    <t>400/230V Normal L &amp; SP DB - Control Building - Indoor B</t>
  </si>
  <si>
    <t>29.00</t>
  </si>
  <si>
    <t>70-IG-62-0057B</t>
  </si>
  <si>
    <t>400/230V Normal L &amp; SP DB - Warehouse - Indoor B</t>
  </si>
  <si>
    <t>70-IG-62-0059B</t>
  </si>
  <si>
    <t>400/230V Normal L &amp; SP DB - Workshop - Indoor B</t>
  </si>
  <si>
    <t>26.00</t>
  </si>
  <si>
    <t>70-IG-62-0060</t>
  </si>
  <si>
    <t>400/230V Normal L &amp; SP DB - Adminstration Building - Indoor</t>
  </si>
  <si>
    <t>1.80</t>
  </si>
  <si>
    <t>70-IG-62-0062B</t>
  </si>
  <si>
    <t>400/230V Normal L &amp; SP DB - Main Substation - Indoor B</t>
  </si>
  <si>
    <t>24.00</t>
  </si>
  <si>
    <t>70-IG-62-0063</t>
  </si>
  <si>
    <t>400/230V Normal L &amp; SP DB - Fire Station - Indoor</t>
  </si>
  <si>
    <t>70-IG-62-0064B</t>
  </si>
  <si>
    <t>400/230V Normal L &amp; SP DB - ITR East-Utilities - Indoor B</t>
  </si>
  <si>
    <t>70-IG-62-0065B</t>
  </si>
  <si>
    <t>400/230V Normal L &amp; SP DB - ITR West-Process - Indoor B</t>
  </si>
  <si>
    <t>70-IG-65-0084</t>
  </si>
  <si>
    <t>400/230V Heat Tracing - Booster and Flash Gas Compressor area - Outdoor</t>
  </si>
  <si>
    <t>Note-9 / Fed via 400/420V
Isolation Transformer.</t>
  </si>
  <si>
    <t>70-IG-65-0085</t>
  </si>
  <si>
    <t>400/230V Heat Tracing - Slug Catcher Vapour recovery area - Outdoor</t>
  </si>
  <si>
    <t>70-DM-71-0001B</t>
  </si>
  <si>
    <t>Diesel Transfer and Filtration Package Pump Motor B</t>
  </si>
  <si>
    <t>70-EA-72-0001</t>
  </si>
  <si>
    <t>Heating Medium Dump Cooler Fan 1</t>
  </si>
  <si>
    <t>23.15</t>
  </si>
  <si>
    <t>70-EA-72-0002</t>
  </si>
  <si>
    <t>Heating Medium Dump Cooler Fan 2</t>
  </si>
  <si>
    <t>70-DM-72-0001B</t>
  </si>
  <si>
    <t>Heating Medium Circulation Pump B</t>
  </si>
  <si>
    <t>70-HF-72-0001B</t>
  </si>
  <si>
    <t>Fired Heater Auxiliaries B</t>
  </si>
  <si>
    <t>70-HF-74-0001</t>
  </si>
  <si>
    <t>Nitrogen Generation Package Auxiliaries</t>
  </si>
  <si>
    <t>70-UI-75-0002</t>
  </si>
  <si>
    <t>Corrosion Inhibitor Injection Package</t>
  </si>
  <si>
    <t>70-UI-75-0004</t>
  </si>
  <si>
    <t>Oxygen Scavenger Injection Package</t>
  </si>
  <si>
    <t>70-UZ-75-0001</t>
  </si>
  <si>
    <t>MEG injection package</t>
  </si>
  <si>
    <t>70-DM-85-0001A</t>
  </si>
  <si>
    <t>Utility Water Pump A</t>
  </si>
  <si>
    <t>5.80</t>
  </si>
  <si>
    <t>70-DM-85-0001B</t>
  </si>
  <si>
    <t>Utility Water Pump B</t>
  </si>
  <si>
    <t>94</t>
  </si>
  <si>
    <t>70-EA-72-0003</t>
  </si>
  <si>
    <t>Heating Medium Dump Cooler Fan 3</t>
  </si>
  <si>
    <t>70-DM-31-2111</t>
  </si>
  <si>
    <t>1st Stage FGC Recycle Cooler 1 Bay Fan No 1</t>
  </si>
  <si>
    <t>1.20</t>
  </si>
  <si>
    <t>95</t>
  </si>
  <si>
    <t>70-DM-31-2112</t>
  </si>
  <si>
    <t>1st Stage FGC Recycle Cooler 1 Bay Fan No 2</t>
  </si>
  <si>
    <t>96</t>
  </si>
  <si>
    <t>70-DM-31-2113</t>
  </si>
  <si>
    <t>1st Stage FGC Recycle Cooler 1 Bay Fan No 3</t>
  </si>
  <si>
    <t>97</t>
  </si>
  <si>
    <t>70-DM-31-2211</t>
  </si>
  <si>
    <t>98</t>
  </si>
  <si>
    <t>70-DM-31-2212</t>
  </si>
  <si>
    <t>99</t>
  </si>
  <si>
    <t>70-DM-31-2213</t>
  </si>
  <si>
    <t>70-DM-28-0007A</t>
  </si>
  <si>
    <t>Closed Drains Pump A</t>
  </si>
  <si>
    <t>11.30</t>
  </si>
  <si>
    <t>70-DM-28-0007B</t>
  </si>
  <si>
    <t>Closed Drains Pump B</t>
  </si>
  <si>
    <t>SWGR/MCC No.</t>
  </si>
  <si>
    <t>Bus</t>
  </si>
  <si>
    <t>SWGR/MCC No. &amp; Bus</t>
  </si>
  <si>
    <t>Equipment Tag No.</t>
  </si>
  <si>
    <t>EQUIPMENT Description</t>
  </si>
  <si>
    <t>Type of Service
N-Normal, 
Em-Emergency, 
SA-UPS Power</t>
  </si>
  <si>
    <t>Load Type</t>
  </si>
  <si>
    <t>Voltage
[KV]</t>
  </si>
  <si>
    <t>70-IJ-61-0001A</t>
  </si>
  <si>
    <t>70-KA-31-1003
Main Motor</t>
  </si>
  <si>
    <t>Export Compressor _ Main Motor</t>
  </si>
  <si>
    <t>70-IJ-61-0001B</t>
  </si>
  <si>
    <t>70-KA-31-2003
Main Motor</t>
  </si>
  <si>
    <t>81-IK-61-0001</t>
  </si>
  <si>
    <t>11/0.42kV Dry type Transformer for 400/230 Normal L &amp; SP DB for Beach Valve Substation (81-IG-62-0001)</t>
  </si>
  <si>
    <t>70-A-20-0002A -Main Motor</t>
  </si>
  <si>
    <t>70-A-20-0002B -Main Motor</t>
  </si>
  <si>
    <t>70-KA-31-1001/1002-Main Motor</t>
  </si>
  <si>
    <t>Main Motor for Flash Gas Compressor</t>
  </si>
  <si>
    <t>70-PA-01-0002 Panel(Main Motor Power)</t>
  </si>
  <si>
    <t>Electric Firewater Pump UCP</t>
  </si>
  <si>
    <t>11/0.72kV Transformer for MEG Regeneration Package -  Electic Reboiler (2 x 100%)</t>
  </si>
  <si>
    <t>70-UZ-43-0002-SP</t>
  </si>
  <si>
    <t>11/0.72kV Transformer for MEG Regeneration Package -  Electic Reboiler (2 x 100%) - Spare</t>
  </si>
  <si>
    <t>70-IK-61-0001C</t>
  </si>
  <si>
    <t>PDB</t>
  </si>
  <si>
    <t>70-IK-61-0001A</t>
  </si>
  <si>
    <t>70-IK-61-0001B</t>
  </si>
  <si>
    <t>70-IV-09-0003A</t>
  </si>
  <si>
    <t>0.69/0.42kV Dry type Transformer for 400/230 HVAC MCC for Control Building Incomer A</t>
  </si>
  <si>
    <t>HVAC MCC</t>
  </si>
  <si>
    <t>70-IV-09-0003B</t>
  </si>
  <si>
    <t>0.69/0.42kV Dry type Transformer for 400/230 HVAC MCC for Control Building Incomer B</t>
  </si>
  <si>
    <t>70-IV-09-0005A</t>
  </si>
  <si>
    <t>0.69/0.42kV Dry type Transformer for 400/230 HVAC MCC for Main Substation Incomer A</t>
  </si>
  <si>
    <t>70-IV-09-0005B</t>
  </si>
  <si>
    <t>0.69/0.42kV Dry type Transformer for 400/230 HVAC MCC for Main Substation Incomer B</t>
  </si>
  <si>
    <t>70-IV-09-0006A</t>
  </si>
  <si>
    <t>0.69/0.42kV Dry type Transformer for 400/230 HVAC MCC for ITR East-Utilities Incomer A</t>
  </si>
  <si>
    <t>70-IV-09-0006B</t>
  </si>
  <si>
    <t>0.69/0.42kV Dry type Transformer for 400/230 HVAC MCC for ITR East-Utilities Incomer B</t>
  </si>
  <si>
    <t>70-IV-09-0007A</t>
  </si>
  <si>
    <t>0.69/0.42kV Dry type Transformer for 400/230 HVAC MCC for ITR West-Process Incomer A</t>
  </si>
  <si>
    <t>70-IV-09-0007B</t>
  </si>
  <si>
    <t>0.69/0.42kV Dry type Transformer for 400/230 HVAC MCC for ITR West-Process Incomer B</t>
  </si>
  <si>
    <t>H2</t>
  </si>
  <si>
    <t>70-IV-62-0001</t>
  </si>
  <si>
    <t>0.69/0.42kV Dry type Transformer for 400/230V Emergency L &amp; SP DB - Main Gate house - Indoor (70-IG-62-0001)</t>
  </si>
  <si>
    <t>70-IV-62-0002</t>
  </si>
  <si>
    <t>0.69/0.42kV Dry type Transformer for 400/230V Emergency L &amp; SP DB - Access control building Security HUT 02 - Indoor (70-IG-62-0002)</t>
  </si>
  <si>
    <t>70-IV-62-0003</t>
  </si>
  <si>
    <t>0.69/0.42kV Dry type Transformer for 400/230V Emergency L &amp; SP DB - Control Building - Indoor (70-IG-62-0003)</t>
  </si>
  <si>
    <t>70-IV-62-0006</t>
  </si>
  <si>
    <t>0.69/0.42kV Dry type Transformer for 400/230V Emergency L &amp; SP DB - Workshop &amp; Warehouse - Indoor (70-IG-62-0006)</t>
  </si>
  <si>
    <t>70-IV-62-0007</t>
  </si>
  <si>
    <t>0.69/0.42kV Dry type Transformer for 400/230V Emergency L &amp; SP DB - Adminstration Building - Indoor (70-IG-62-0007)</t>
  </si>
  <si>
    <t>70-IV-62-0009</t>
  </si>
  <si>
    <t>0.69/0.42kV Dry type Transformer for 400/230V Emergency L &amp; SP DB - Main Substation - Indoor A (70-IG-62-0009)</t>
  </si>
  <si>
    <t>70-IV-62-0011</t>
  </si>
  <si>
    <t>0.69/0.42kV Dry type Transformer for 400/230V Emergency L &amp; SP DB - ITR East-Utilities - Indoor A (70-IG-62-0011)</t>
  </si>
  <si>
    <t>70-IV-62-0013</t>
  </si>
  <si>
    <t>0.69/0.42kV Dry type Transformer for 400/230V Emergency L &amp; SP DB - Fence Outdoor (70-IG-62-0013)</t>
  </si>
  <si>
    <t>70-IV-62-0014</t>
  </si>
  <si>
    <t>0.69/0.42kV Dry type Transformer for 400/230V Emergency L &amp; SP DB - Fence Outdoor (70-IG-62-0014)</t>
  </si>
  <si>
    <t>70-IV-62-0015</t>
  </si>
  <si>
    <t>0.69/0.42kV Dry type Transformer for 400/230V Emergency L &amp; SP DB - Fence Outdoor (70-IG-62-0015)</t>
  </si>
  <si>
    <t>70-IV-62-0051</t>
  </si>
  <si>
    <t>0.69/0.42kV Dry type Transformer for 400/230V Emergency L &amp; SP DB - Main Substation - Indoor B (70-IG-62-0051)</t>
  </si>
  <si>
    <t>70-IV-62-0052</t>
  </si>
  <si>
    <t>0.69/0.42kV Dry type Transformer for 400/230V Emergency L &amp; SP DB - ITR East-Utilities - Indoor B (70-IG-62-0052)</t>
  </si>
  <si>
    <t>70-IV-65-0080</t>
  </si>
  <si>
    <t>0.69/0.42kV Dry type Transformer for 400/230V Emergency Heat Tracing DB - Main Substation - Indoor (70-IG-65-0080)</t>
  </si>
  <si>
    <t>70-IV-62-0094</t>
  </si>
  <si>
    <t>0.69/0.42kV Dry type Transformer for 400/230V Emergency L &amp; SP Main Distribution Board (70-IG-62-0094)</t>
  </si>
  <si>
    <t>70-UA-07-0001A-Main Motor</t>
  </si>
  <si>
    <t>Main Motor for Air Compressor Package</t>
  </si>
  <si>
    <t>M-E1 (SS)</t>
  </si>
  <si>
    <t>70-UA-07-0001B-Main Motor</t>
  </si>
  <si>
    <t>70-UA-07-0001C-Main Motor</t>
  </si>
  <si>
    <t>70-UA-07-0001A-Cooling Fan Motor 1 (100% x 2)</t>
  </si>
  <si>
    <t>Cooling Fan Motor 1 for Air Compressor Package</t>
  </si>
  <si>
    <t>70-UA-07-0001A-Cooling Fan Motor 2 (100% x 2)</t>
  </si>
  <si>
    <t>Cooling Fan Motor 2 for Air Compressor Package</t>
  </si>
  <si>
    <t>70-UA-07-0001A-Container Fan Motor 1 (100% x 2)</t>
  </si>
  <si>
    <t>Container Fan Motor 1 for Air Compressor Package</t>
  </si>
  <si>
    <t>70-UA-07-0001A-Container Fan Motor 2 (100% x 2)</t>
  </si>
  <si>
    <t>Container Fan Motor 2 for Air Compressor Package</t>
  </si>
  <si>
    <t>70-UA-07-0001B-Cooling Fan Motor 1 (100% x 2)</t>
  </si>
  <si>
    <t>70-UA-07-0001B-Cooling Fan Motor 2 (100% x 2)</t>
  </si>
  <si>
    <t>70-UA-07-0001B-Container Fan Motor 1 (100% x 2)</t>
  </si>
  <si>
    <t>70-UA-07-0001B-Container Fan Motor 2 (100% x 2)</t>
  </si>
  <si>
    <t>70-UA-07-0001C-Cooling Fan Motor 1 (100% x 2)</t>
  </si>
  <si>
    <t>70-UA-07-0001C-Cooling Fan Motor 2 (100% x 2)</t>
  </si>
  <si>
    <t>70-UA-07-0001C-Container Fan Motor 1 (100% x 2)</t>
  </si>
  <si>
    <t>70-UA-07-0001C-Container Fan Motor 2 (100% x 2)</t>
  </si>
  <si>
    <t>70-PA-36-0001A Motor</t>
  </si>
  <si>
    <t>Motor for HP Flare KO Drum Pump</t>
  </si>
  <si>
    <t>70-PA-36-0001B Motor</t>
  </si>
  <si>
    <t>70-PA-36-0004A Motor</t>
  </si>
  <si>
    <t>Motor for LP Flare KO Drum Pump</t>
  </si>
  <si>
    <t>70-PA-36-0004B Motor</t>
  </si>
  <si>
    <t>70-IK-61-0003B</t>
  </si>
  <si>
    <t>Thyristor panel for Start up Gas Heater</t>
  </si>
  <si>
    <t>H1</t>
  </si>
  <si>
    <t>70-IK-61-0003A</t>
  </si>
  <si>
    <t>70-IV-09-0002A</t>
  </si>
  <si>
    <t>0.69/0.42kV Dry type Transformer for 400/230 HVAC MCC for Workshop &amp; Warehouse Incomer A</t>
  </si>
  <si>
    <t>70-IV-09-0004A</t>
  </si>
  <si>
    <t>0.69/0.42kV Dry type Transformer for 400/230 HVAC MCC for Adminstration Building Incomer A</t>
  </si>
  <si>
    <t>70-IV-09-0010A</t>
  </si>
  <si>
    <t>0.69/0.42kV Dry type Transformer for 400/230 HVAC MCC for Main Gate House Incomer A</t>
  </si>
  <si>
    <t>70-IV-09-0011A</t>
  </si>
  <si>
    <t>0.69/0.42kV Dry type Transformer for 400/230 HVAC MCC for HUT 02 Incomer A</t>
  </si>
  <si>
    <t>Main Motor for Liquid Ring Compressor (70-KG-36-0003A)</t>
  </si>
  <si>
    <t>Main Motor for Liquid Ring Compressor (70-KG-36-0006A)</t>
  </si>
  <si>
    <t>70-PA-25-0001A Motor</t>
  </si>
  <si>
    <t>Motor for Condensate Export Pump</t>
  </si>
  <si>
    <t>70-PA-25-0001B Motor</t>
  </si>
  <si>
    <t>70-HE-70-0001 A</t>
  </si>
  <si>
    <t>Thyristor panel for Fuel Gas Heater</t>
  </si>
  <si>
    <t>70-HE-70-0001 B</t>
  </si>
  <si>
    <t>70-PA-20-0001A Motor</t>
  </si>
  <si>
    <t>Motor for Condensate Recycle Pump</t>
  </si>
  <si>
    <t>70-PA-20-0001B Motor</t>
  </si>
  <si>
    <t>1st Stage FGC Recycle Cooler 1 Bay - Electric Heater</t>
  </si>
  <si>
    <t>2nd Stage FGC Suction Cooler 1 Bay - Electric Heater</t>
  </si>
  <si>
    <t>Motor for Subsea MEG Injection Package</t>
  </si>
  <si>
    <t>70-DM-43-0001C</t>
  </si>
  <si>
    <t>Main Motor for Liquid Ring Compressor (70-KG-36-0003B)</t>
  </si>
  <si>
    <t>Main Motor for Liquid Ring Compressor (70-KG-36-0006B)</t>
  </si>
  <si>
    <t>70-EA-31-1004-A</t>
  </si>
  <si>
    <t>Export Compressor Aftercooler (Bay 1 Fan 1)</t>
  </si>
  <si>
    <t>70-EA-31-1004-B</t>
  </si>
  <si>
    <t>Export Compressor Aftercooler (Bay 1 Fan 2)</t>
  </si>
  <si>
    <t>70-EA-31-1004-C</t>
  </si>
  <si>
    <t>Export Compressor Aftercooler (Bay 1 Fan 3)</t>
  </si>
  <si>
    <t>70-EA-31-1004-D</t>
  </si>
  <si>
    <t>Export Compressor Aftercooler (Bay 2 Fan 1)</t>
  </si>
  <si>
    <t>70-EA-31-1004-E</t>
  </si>
  <si>
    <t>Export Compressor Aftercooler (Bay 2 Fan 2)</t>
  </si>
  <si>
    <t>70-EA-31-1004-F</t>
  </si>
  <si>
    <t>Export Compressor Aftercooler (Bay 2 Fan 3)</t>
  </si>
  <si>
    <t>70-EA-31-2004-A</t>
  </si>
  <si>
    <t>70-EA-31-2004-B</t>
  </si>
  <si>
    <t>70-EA-31-2004-C</t>
  </si>
  <si>
    <t>70-EA-31-2004-D</t>
  </si>
  <si>
    <t>70-EA-31-2004-E</t>
  </si>
  <si>
    <t>70-EA-31-2004-F</t>
  </si>
  <si>
    <t>70-EA-31-1001-A</t>
  </si>
  <si>
    <t>1st Stage FGC Recycle Cooler (Bay 1 Fan 1)</t>
  </si>
  <si>
    <t>70-EA-31-1001-B</t>
  </si>
  <si>
    <t>1st Stage FGC Recycle Cooler (Bay 1 Fan 2)</t>
  </si>
  <si>
    <t>70-EA-31-1001-C</t>
  </si>
  <si>
    <t>1st Stage FGC Recycle Cooler (Bay 1 Fan 3)</t>
  </si>
  <si>
    <t>70-EA-31-1002-A</t>
  </si>
  <si>
    <t>2nd Stage FGC Suction Cooler (Bay 1 Fan 1)</t>
  </si>
  <si>
    <t>70-EA-31-1002-B</t>
  </si>
  <si>
    <t>2nd Stage FGC Suction Cooler (Bay 1 Fan 2)</t>
  </si>
  <si>
    <t>70-EA-31-1002-C</t>
  </si>
  <si>
    <t>2nd Stage FGC Suction Cooler (Bay 1 Fan 3)</t>
  </si>
  <si>
    <t>70-EA-72-0001-A</t>
  </si>
  <si>
    <t>Heating Medium Dump Cooler (Bay 1 Fan 1)</t>
  </si>
  <si>
    <t>70-EA-72-0001-B</t>
  </si>
  <si>
    <t>Heating Medium Dump Cooler (Bay 1 Fan 2)</t>
  </si>
  <si>
    <t>70-EA-72-0001-C</t>
  </si>
  <si>
    <t>Heating Medium Dump Cooler (Bay 1 Fan 3)</t>
  </si>
  <si>
    <t>70-UZ-43-0002-A</t>
  </si>
  <si>
    <t>MEG Regeneration Package 
- Overhead Condenser (Air cooler)</t>
  </si>
  <si>
    <t>70-UZ-43-0002-B</t>
  </si>
  <si>
    <t>MEG Regeneration Package
- Lean MEG Cooler (Air cooler)</t>
  </si>
  <si>
    <t>70-IK-61-0002A</t>
  </si>
  <si>
    <t>70-KA-31-1003 
Main Lube Oil Pump Motor</t>
  </si>
  <si>
    <t>Export Compressor _ Main LO Pump Motor</t>
  </si>
  <si>
    <t>70-IK-61-0002B</t>
  </si>
  <si>
    <t>70-KA-31-1003 
S/b Lube Oil Pump Motor</t>
  </si>
  <si>
    <t>Export Compressor _ Standby LO Pump Motor</t>
  </si>
  <si>
    <t>70-KA-31-1003
LO reservoir Heater</t>
  </si>
  <si>
    <t>LO Heater for Export Compressor</t>
  </si>
  <si>
    <t>70-KA-31-1003
LO Cooler Fan Motor 1</t>
  </si>
  <si>
    <t>Export Compressor _ LO cooler Fan Motor 1</t>
  </si>
  <si>
    <t>70-KA-31-1003
LO Cooler Fan Motor 2</t>
  </si>
  <si>
    <t>Export Compressor _ LO cooler Fan Motor 2</t>
  </si>
  <si>
    <t>70-KA-31-1003
LO Cooler Fan Motor 3</t>
  </si>
  <si>
    <t>Export Compressor _ LO cooler Fan Motor 3</t>
  </si>
  <si>
    <t>70-KA-31-1003
Oil Mist Eliminator Fan Motor</t>
  </si>
  <si>
    <t>Export Compressor _ Oil Mist Eliminator Fan Motor</t>
  </si>
  <si>
    <t>70-KA-31-1003
VFD</t>
  </si>
  <si>
    <t>Export Compressor _ VFD (Control &amp; Fan power)</t>
  </si>
  <si>
    <t>70-KA-31-2003 
Main Lube Oil Pump Motor</t>
  </si>
  <si>
    <t>70-KA-31-2003 
S/b Lube Oil Pump Motor</t>
  </si>
  <si>
    <t>70-KA-31-2003
LO reservoir Heater</t>
  </si>
  <si>
    <t>70-KA-31-2003
LO Cooler Fan Motor 1</t>
  </si>
  <si>
    <t>70-KA-31-2003
LO Cooler Fan Motor 2</t>
  </si>
  <si>
    <t>70-KA-31-2003
LO Cooler Fan Motor 3</t>
  </si>
  <si>
    <t>70-KA-31-2003
Oil Mist Eliminator Fan Motor</t>
  </si>
  <si>
    <t>70-KA-31-2003
VFD</t>
  </si>
  <si>
    <t>70-KA-31-1001/1002-Aux Lube Oil Pump Motor</t>
  </si>
  <si>
    <t>Aux LO Pump for Flash Gas Compressor</t>
  </si>
  <si>
    <t>70-KA-31-1001/1002-Main CW Pump Motor</t>
  </si>
  <si>
    <t>Main CW Pump Motor for Flash Gas Compressor</t>
  </si>
  <si>
    <t>70-KA-31-1001/1002-Aux CW Pump Motor</t>
  </si>
  <si>
    <t>Aux CW Pump Motor for Flash Gas Compressor</t>
  </si>
  <si>
    <t>70-KA-31-1001/1002-LO Heater</t>
  </si>
  <si>
    <t>LO Heater for Flash Gas Compressor</t>
  </si>
  <si>
    <t>70-KA-31-1001/1002-Coolant Heater</t>
  </si>
  <si>
    <t>Coolant Heater for Flash Gas Compressor</t>
  </si>
  <si>
    <t>70-KA-31-1001/1002-Electric Barring Device Motor</t>
  </si>
  <si>
    <t>Electric Barring Device Motor for Flash Gas Compressor</t>
  </si>
  <si>
    <t>70-KA-31-1001/1002-LO Cooler Fan Motor 1</t>
  </si>
  <si>
    <t>LO Cooler Fan Motor 1 for Flash Gas Compressor</t>
  </si>
  <si>
    <t>70-KA-31-1001/1002-LO Cooler Fan Motor 2</t>
  </si>
  <si>
    <t>70-KA-31-1001/1002-CW Console Cooler Fan Motor 1</t>
  </si>
  <si>
    <t>CW Console Cooler Fan Motor 1 for Flash Gas Compressor</t>
  </si>
  <si>
    <t>70-KA-31-1001/1002-CW Console Cooler Fan Motor 2</t>
  </si>
  <si>
    <t>CW Console Cooler Fan Motor 2 for Flash Gas Compressor</t>
  </si>
  <si>
    <t>70-PA-01-0001A Hydraulic Motor</t>
  </si>
  <si>
    <t>Diesel Firewater Pump A Hydraulic Motor</t>
  </si>
  <si>
    <t>70-PA-01-0001B Hydraulic Motor</t>
  </si>
  <si>
    <t>Diesel Firewater Pump B Hydraulic Motor</t>
  </si>
  <si>
    <t>70-PA-01-0001C Hydraulic Motor</t>
  </si>
  <si>
    <t>Diesel Firewater Pump C Hydraulic Motor</t>
  </si>
  <si>
    <t>70-PA-01-0003A(Main Motor Power)</t>
  </si>
  <si>
    <t>Firewater Jockey Pump A UCP</t>
  </si>
  <si>
    <t>70-PA-01-0003B(Main Motor Power)</t>
  </si>
  <si>
    <t>Firewater Jockey Pump B UCP</t>
  </si>
  <si>
    <t>70-PS-28-0001A Motor</t>
  </si>
  <si>
    <t>Motor for Closed Drains Drum Booster Pump</t>
  </si>
  <si>
    <t>70-PS-28-0001A Seal Motor</t>
  </si>
  <si>
    <t>Motor for Closed Drains Drum Booster Pump- Seal Circulation Pump</t>
  </si>
  <si>
    <t>70-PS-28-0001B Motor</t>
  </si>
  <si>
    <t>70-PS-28-0001B Seal Motor</t>
  </si>
  <si>
    <t>70-PS-28-0004A Motor</t>
  </si>
  <si>
    <t>Motor for Off spec Water Recycle Pump</t>
  </si>
  <si>
    <t>70-PS-28-0004B Motor</t>
  </si>
  <si>
    <t>70-PS-28-0005A Motor</t>
  </si>
  <si>
    <t>Motor for Open Drains Treatment Pump</t>
  </si>
  <si>
    <t>70-PS-28-0005B Motor</t>
  </si>
  <si>
    <t>1st Stage FGC Suction Scrubber Pump Motor - Train 1</t>
  </si>
  <si>
    <t>70-PA-43-0001A</t>
  </si>
  <si>
    <t>Rich MEG Pump</t>
  </si>
  <si>
    <t>70-PA-43-0001B</t>
  </si>
  <si>
    <t>70-UZ-43-0002-C</t>
  </si>
  <si>
    <t>MEG Regeneration Package
- Lean MEG Pump A</t>
  </si>
  <si>
    <t>70-UZ-43-0002-D</t>
  </si>
  <si>
    <t>MEG Regeneration Package
- Lean MEG Pump B</t>
  </si>
  <si>
    <t>70-UZ-43-0002-E</t>
  </si>
  <si>
    <t>MEG Regeneration Package
- Reflux Pump A</t>
  </si>
  <si>
    <t>70-UZ-43-0002-F</t>
  </si>
  <si>
    <t>MEG Regeneration Package
- Reflux Pump B</t>
  </si>
  <si>
    <t>70-UZ-43-0002-G</t>
  </si>
  <si>
    <t>MEG Regeneration Package
- Hydrocarbon Recovery Pump A</t>
  </si>
  <si>
    <t>70-UZ-43-0002-H</t>
  </si>
  <si>
    <t>MEG Regeneration Package
- Hydrocarbon Recovery Pump B</t>
  </si>
  <si>
    <t>70-PA-43-0003A</t>
  </si>
  <si>
    <t>Lean MEG Transfer Pump</t>
  </si>
  <si>
    <t>70-PA-43-0003B</t>
  </si>
  <si>
    <t>70-PA-43-0004</t>
  </si>
  <si>
    <t>MEG Offloading Pump</t>
  </si>
  <si>
    <t>70-IV-62-0054</t>
  </si>
  <si>
    <t>0.4/0.42kV Dry type Transformer for 400/230V Normal L &amp; SP DB - Main Gate house - Indoor (70-IG-62-0054)</t>
  </si>
  <si>
    <t>70-IV-62-0055</t>
  </si>
  <si>
    <t>0.4/0.42kV Dry type Transformer for 400/230V Normal L &amp; SP DB - Access control building Security HUT 02 - Indoor (70-IG-62-0055)</t>
  </si>
  <si>
    <t>70-IV-62-0056A</t>
  </si>
  <si>
    <t>0.4/0.42kV Dry type Transformer for 400/230V Normal L &amp; SP DB - Control Building - Indoor A (70-IG-62-0056A)</t>
  </si>
  <si>
    <t>70-IV-62-0056B</t>
  </si>
  <si>
    <t>0.4/0.42kV Dry type Transformer for 400/230V Normal L &amp; SP DB - Control Building - Indoor B (70-IG-62-0056B)</t>
  </si>
  <si>
    <t>70-IV-62-0059A</t>
  </si>
  <si>
    <t>0.4/0.42kV Dry type Transformer for 400/230V Normal L &amp; SP DB - Workshop &amp; Warehouse - Indoor A (70-IG-62-0059A)</t>
  </si>
  <si>
    <t>70-IV-62-0059B</t>
  </si>
  <si>
    <t>0.4/0.42kV Dry type Transformer for 400/230V Normal L &amp; SP DB - Workshop &amp; Warehouse - Indoor B (70-IG-62-0059B)</t>
  </si>
  <si>
    <t>70-IV-62-0060</t>
  </si>
  <si>
    <t>0.4/0.42kV Dry type Transformer for 400/230V Normal L &amp; SP DB - Adminstration Building - Indoor (70-IG-62-0060)</t>
  </si>
  <si>
    <t>70-IV-62-0061</t>
  </si>
  <si>
    <t>0.4/0.42kV Dry type Transformer for 400/230V Normal L &amp; SP DB - Control Building (Laboratory room) - Indoor (70-IG-62-0061)</t>
  </si>
  <si>
    <t>70-IV-62-0062A</t>
  </si>
  <si>
    <t>0.4/0.42kV Dry type Transformer for 400/230V Normal L &amp; SP DB - Main Substation - Indoor A (70-IG-62-0062A)</t>
  </si>
  <si>
    <t>70-IV-62-0062B</t>
  </si>
  <si>
    <t>0.4/0.42kV Dry type Transformer for 400/230V Normal L &amp; SP DB - Main Substation - Indoor B (70-IG-62-0062B)</t>
  </si>
  <si>
    <t>70-IV-62-0064A</t>
  </si>
  <si>
    <t>0.4/0.42kV Dry type Transformer for 400/230V Normal L &amp; SP DB - ITR East-Utilities - Indoor A (70-IG-62-0064A)</t>
  </si>
  <si>
    <t>70-IV-62-0064B</t>
  </si>
  <si>
    <t>0.4/0.42kV Dry type Transformer for 400/230V Normal L &amp; SP DB - ITR East-Utilities - Indoor B (70-IG-62-0064B)</t>
  </si>
  <si>
    <t>70-IV-66-0002</t>
  </si>
  <si>
    <t>0.4/0.42kV Dry type Transformer for 400V Normal Welding Outlet DB- Outdoor A (70-IG-66-0002)</t>
  </si>
  <si>
    <t>70-IV-62-0093</t>
  </si>
  <si>
    <t>0.4/0.42kV Dry type Transformer for 400/230V Normal L &amp; SP Main Distribution Board (70-IG-62-0093)</t>
  </si>
  <si>
    <t>70-IV-62-0099</t>
  </si>
  <si>
    <t>0.4/0.42kV Dry type Transformer for 400/230V Normal DB for EV Charging (70-IG-62-0099)</t>
  </si>
  <si>
    <t>70-UZ-71-0001-A</t>
  </si>
  <si>
    <t>70-UZ-71-0001-B</t>
  </si>
  <si>
    <t>70-PA-72-0001A</t>
  </si>
  <si>
    <t>Heating Medium Circulation Pump</t>
  </si>
  <si>
    <t>70-PA-72-0001B</t>
  </si>
  <si>
    <t>70-UZ-72--0001A
(70-HF-72-0001A)</t>
  </si>
  <si>
    <t>Fired Heater A FD Fan</t>
  </si>
  <si>
    <t>70-UZ-72--0001B
(70-HF-72-0001B)</t>
  </si>
  <si>
    <t>Fired Heater B FD Fan</t>
  </si>
  <si>
    <t>70-UB-74-0001 Elec Heater A</t>
  </si>
  <si>
    <t>Electric Heater for N2 Generation Package</t>
  </si>
  <si>
    <t>70-UB-74-0001 Elec. Heater B</t>
  </si>
  <si>
    <t>70-UI-75-0001-Pump A</t>
  </si>
  <si>
    <t>Motor for Pour Point Depressant Injection Package</t>
  </si>
  <si>
    <t>70-UI-75-0001-Pump B</t>
  </si>
  <si>
    <t>70-UI-75-0001-Agitator</t>
  </si>
  <si>
    <t>Motor for Agitator</t>
  </si>
  <si>
    <t>70-UI-75-0001-Filling Pump</t>
  </si>
  <si>
    <t>Motor for Filling Pump</t>
  </si>
  <si>
    <t>70-UI-75-0002-Pump A</t>
  </si>
  <si>
    <t>Motor for Corrosion Inhibitor Injection Package</t>
  </si>
  <si>
    <t>70-UI-75-0002-Pump B</t>
  </si>
  <si>
    <t>70-UI-75-0002-Agitator</t>
  </si>
  <si>
    <t>70-UI-75-0002-Filling Pump</t>
  </si>
  <si>
    <t>70-UZ-75-0001-Pump A</t>
  </si>
  <si>
    <t>Motor for MEG Injection Package</t>
  </si>
  <si>
    <t>70-UZ-75-0001-Pump B</t>
  </si>
  <si>
    <t>Utility Water Pump A Motor</t>
  </si>
  <si>
    <t>Utility Water Pump B Motor</t>
  </si>
  <si>
    <t>70-PA-28-0007A</t>
  </si>
  <si>
    <t>Closed Drains Pump</t>
  </si>
  <si>
    <t>70-PA-28-0007B</t>
  </si>
  <si>
    <t>70-UZ-36-0003-Liquid Ring Recirculation Pump</t>
  </si>
  <si>
    <t>Motor for Liquid Ring Recirculation Pump</t>
  </si>
  <si>
    <t>70-UZ-36-0003-Liquid Ring Air Cooler</t>
  </si>
  <si>
    <t>Motor for Liquid Ring Air Cooler</t>
  </si>
  <si>
    <t>70-UZ-36-0003-LO Heater for 70-KG-36-0003A</t>
  </si>
  <si>
    <t>LO Heater for Liquid Ring Compressor (70-KG-36-0003A)</t>
  </si>
  <si>
    <t>70-UZ-36-0003-LO Heater for 70-KG-36-0003B</t>
  </si>
  <si>
    <t>LO Heater for Liquid Ring Compressor (70-KG-36-0003B)</t>
  </si>
  <si>
    <t>70-UZ-36-0006-Liquid Ring Recirculation Pump</t>
  </si>
  <si>
    <t>70-UZ-36-0006-Liquid Ring Air Cooler</t>
  </si>
  <si>
    <t>70-UZ-36-0006-LO Heater for 70-KG-36-0006A</t>
  </si>
  <si>
    <t>LO Heater for Liquid Ring Compressor (70-KG-36-0006A)</t>
  </si>
  <si>
    <t>70-UZ-36-0006-LO Heater for 70-KG-36-0006B</t>
  </si>
  <si>
    <t>LO Heater for Liquid Ring Compressor (70-KG-36-0006B)</t>
  </si>
  <si>
    <t>70-UU-85-0001_Sub item_3</t>
  </si>
  <si>
    <t>UV sterilisers includig LOP</t>
  </si>
  <si>
    <t>70-UU-28-0001_Sub Item 2.1.1</t>
  </si>
  <si>
    <t>Aeration system(Rotor) A for IAF Unit</t>
  </si>
  <si>
    <t>70-UU-28-0001_Sub Item 2.1.2</t>
  </si>
  <si>
    <t>Aeration system(Rotor) B for IAF Unit</t>
  </si>
  <si>
    <t>70-UU-28-0001_Sub Item 2.1.3</t>
  </si>
  <si>
    <t>Aeration system(Rotor) C for IAF Unit</t>
  </si>
  <si>
    <t>70-UU-28-0001_Sub Item 2.1.4</t>
  </si>
  <si>
    <t>Aeration system(Rotor) D for IAF Unit</t>
  </si>
  <si>
    <t>70-UU-28-0001_Sub Item 2.1.5</t>
  </si>
  <si>
    <t>Skimmer for IAF Unit</t>
  </si>
  <si>
    <t>70-UU-28-0001_Sub Item 2.2</t>
  </si>
  <si>
    <t>FLOAT OILY SLUDGE PUMP (included in 70-UU-28-0001)</t>
  </si>
  <si>
    <t>70-UU-28-0001_Sub Item 3.1</t>
  </si>
  <si>
    <t>Dosing Pump_A_Demulsifying Chemical Dosing System</t>
  </si>
  <si>
    <t>70-UU-28-0001_Sub Item 3.2</t>
  </si>
  <si>
    <t>Dosing Pump_B_Demulsifying Chemical Dosing System</t>
  </si>
  <si>
    <t>70-UU-28-0001_Sub Item 4</t>
  </si>
  <si>
    <t>Agitator_Demulsifying Chemical Dosing System</t>
  </si>
  <si>
    <t>70-JC-78-0002</t>
  </si>
  <si>
    <t>Overhead Crane - Flash Gas Compressor Shelter ( 10 Te SWL)</t>
  </si>
  <si>
    <t>70-JC-78-0003</t>
  </si>
  <si>
    <t>Overhead Crane - Workshop Building (10 Te SWL)</t>
  </si>
  <si>
    <t>70-JH-78-0001</t>
  </si>
  <si>
    <t>Power Hoists (various capacities)</t>
  </si>
  <si>
    <t>70-JH-78-0002</t>
  </si>
  <si>
    <t>70-JH-78-0003</t>
  </si>
  <si>
    <t>70-JH-78-0004</t>
  </si>
  <si>
    <t>EV-0001 (Temp)</t>
  </si>
  <si>
    <t>Elevator</t>
  </si>
  <si>
    <t>70-CEMS-72-0001A (HOLD)</t>
  </si>
  <si>
    <t>CEMS (Continuos Emission Management System) Shelter for Fired Heater (70-UZ-72-0001A)</t>
  </si>
  <si>
    <t>70-CEMS-72-0001B (HOLD)</t>
  </si>
  <si>
    <t>CEMS (Continuos Emission Management System) Shelter for Fired Heater (70-UZ-72-0001B)</t>
  </si>
  <si>
    <t>70-UN-26-0001</t>
  </si>
  <si>
    <t>Condensate Export Metering Package (Lighting &amp; etc.)</t>
  </si>
  <si>
    <t>70-UN-35-0002</t>
  </si>
  <si>
    <t>SCP Export Metering Package (Lighting &amp; etc.)</t>
  </si>
  <si>
    <t>70-UN-35-0003</t>
  </si>
  <si>
    <t>DGN Export Metering Package (Lighting &amp; etc.)</t>
  </si>
  <si>
    <t>70-UN-35-0004</t>
  </si>
  <si>
    <t>Buy-back Gas Metering Package (Lighting &amp; etc.)</t>
  </si>
  <si>
    <t>82-TRU-87-0001</t>
  </si>
  <si>
    <t>Cathodic Protection Transformer/Rectifier for Onshore Pipelines - Production Inlet</t>
  </si>
  <si>
    <t>83-TRU-87-0001</t>
  </si>
  <si>
    <t>Cathodic Protection Transformer/Rectifier for Onshore Pipelines - Gas Export</t>
  </si>
  <si>
    <t>84-TRU-87-0001</t>
  </si>
  <si>
    <t>Cathodic Protection Transformer/Rectifier for Onshore Pipelines - Condensate</t>
  </si>
  <si>
    <t>86-TRU-87-0001</t>
  </si>
  <si>
    <t>Cathodic Protection Transformer/Rectifier for Onshore Pipelines - MEG</t>
  </si>
  <si>
    <t>87-TRU-87-0001</t>
  </si>
  <si>
    <t>Cathodic Protection Transformer/Rectifier for Onshore Pipelines - Domestic Gas Export</t>
  </si>
  <si>
    <t>70-TRU-87-1001</t>
  </si>
  <si>
    <t>Cathodic Protection Transformer/Rectifier for In Plant Facilities - Unit 05 Pipelines</t>
  </si>
  <si>
    <t>70-TRU-87-1002</t>
  </si>
  <si>
    <t>70-TRU-87-1011</t>
  </si>
  <si>
    <t>Cathodic Protection Transformer/Rectifier for In Plant Facilities - Unit 04 Tank</t>
  </si>
  <si>
    <t>70-TRU-87-1012</t>
  </si>
  <si>
    <t>70-TRU-87-1013</t>
  </si>
  <si>
    <t>70-TRU-87-1014</t>
  </si>
  <si>
    <t>70-TRU-87-1003</t>
  </si>
  <si>
    <t>Cathodic Protection Transformer/Rectifier for In Plant Facilities - Unit 04 Pipelines</t>
  </si>
  <si>
    <t>70-TRU-87-1004</t>
  </si>
  <si>
    <t>70-TRU-87-1005</t>
  </si>
  <si>
    <t>Cathodic Protection Transformer/Rectifier for In Plant Facilities - Unit 03 Pipelines</t>
  </si>
  <si>
    <t>70-TRU-87-1006</t>
  </si>
  <si>
    <t>70-TRU-87-1007</t>
  </si>
  <si>
    <t>Cathodic Protection Transformer/Rectifier for In Plant Facilities - Unit 02 Pipelines</t>
  </si>
  <si>
    <t>70-TRU-87-1008</t>
  </si>
  <si>
    <t>70-TRU-87-1009</t>
  </si>
  <si>
    <t>Cathodic Protection Transformer/Rectifier for In Plant Facilities - Unit 01 Pipelines</t>
  </si>
  <si>
    <t>70-TRU-87-1010</t>
  </si>
  <si>
    <t>70-TRU-87-1015</t>
  </si>
  <si>
    <t>Cathodic Protection Transformer/Rectifier for In Plant Facilities - Unit 05 Tank</t>
  </si>
  <si>
    <t>70-TRU-87-1016</t>
  </si>
  <si>
    <t>70-IG-62-0099</t>
  </si>
  <si>
    <t>EV Charging - 1</t>
  </si>
  <si>
    <t>EV Charging - 2</t>
  </si>
  <si>
    <t>EV Charging - 3</t>
  </si>
  <si>
    <t>EV Charging - 4</t>
  </si>
  <si>
    <t>EV Charging - 5</t>
  </si>
  <si>
    <t>EV Charging - 6</t>
  </si>
  <si>
    <t>70-MOV-26-1001</t>
  </si>
  <si>
    <t>MOV (Motor Operated Valve) for 70-UN-26-0001 Metering SBB (1 of 7)</t>
  </si>
  <si>
    <t>70-MOV-26-1002</t>
  </si>
  <si>
    <t>MOV (Motor Operated Valve) for 70-UN-26-0001 Metering SBB (2 of 7)</t>
  </si>
  <si>
    <t>70-MOV-26-1003</t>
  </si>
  <si>
    <t>MOV (Motor Operated Valve) for 70-UN-26-0001 Metering SBB (3 of 7)</t>
  </si>
  <si>
    <t>70-MOV-26-1004</t>
  </si>
  <si>
    <t>MOV (Motor Operated Valve) for 70-UN-26-0001 Metering SBB (4 of 7)</t>
  </si>
  <si>
    <t>70-MOV-26-1005</t>
  </si>
  <si>
    <t>MOV (Motor Operated Valve) for 70-UN-26-0001 Metering SBB (5 of 7)</t>
  </si>
  <si>
    <t>70-MOV-26-1006</t>
  </si>
  <si>
    <t>MOV (Motor Operated Valve) for 70-UN-26-0001 Metering SBB (6 of 7)</t>
  </si>
  <si>
    <t>70-MOV-26-1007</t>
  </si>
  <si>
    <t>MOV (Motor Operated Valve) for 70-UN-26-0001 Metering SBB (7 of 7)</t>
  </si>
  <si>
    <t>70-MOV-35-2001</t>
  </si>
  <si>
    <t>MOV (Motor Operated Valve) for 70-UN-35-0002 Metering DBB (1 of 10)</t>
  </si>
  <si>
    <t>70-MOV-35-2002</t>
  </si>
  <si>
    <t>MOV (Motor Operated Valve) for 70-UN-35-0002 Metering DBB (2 of 10)</t>
  </si>
  <si>
    <t>70-MOV-35-2003</t>
  </si>
  <si>
    <t>MOV (Motor Operated Valve) for 70-UN-35-0002 Metering DBB (3 of 10)</t>
  </si>
  <si>
    <t>70-MOV-35-2004</t>
  </si>
  <si>
    <t>MOV (Motor Operated Valve) for 70-UN-35-0002 Metering DBB (4 of 10)</t>
  </si>
  <si>
    <t>70-MOV-35-2005</t>
  </si>
  <si>
    <t>MOV (Motor Operated Valve) for 70-UN-35-0002 Metering DBB (5 of 10)</t>
  </si>
  <si>
    <t>70-MOV-35-2006</t>
  </si>
  <si>
    <t>MOV (Motor Operated Valve) for 70-UN-35-0002 Metering DBB (6 of 10)</t>
  </si>
  <si>
    <t>70-MOV-35-2007</t>
  </si>
  <si>
    <t>MOV (Motor Operated Valve) for 70-UN-35-0002 Metering DBB (7 of 10)</t>
  </si>
  <si>
    <t>70-MOV-35-2008</t>
  </si>
  <si>
    <t>MOV (Motor Operated Valve) for 70-UN-35-0002 Metering DBB (8 of 10)</t>
  </si>
  <si>
    <t>70-MOV-35-2009</t>
  </si>
  <si>
    <t>MOV (Motor Operated Valve) for 70-UN-35-0002 Metering DBB (9 of 10)</t>
  </si>
  <si>
    <t>70-MOV-35-2010</t>
  </si>
  <si>
    <t>MOV (Motor Operated Valve) for 70-UN-35-0002 Metering DBB (10 of 10)</t>
  </si>
  <si>
    <t>70-MOV-35-3001</t>
  </si>
  <si>
    <t>MOV (Motor Operated Valve) for 70-UN-35-0003 Metering DBB (1 of 10)</t>
  </si>
  <si>
    <t>70-MOV-35-3002</t>
  </si>
  <si>
    <t>MOV (Motor Operated Valve) for 70-UN-35-0003 Metering DBB (2 of 10)</t>
  </si>
  <si>
    <t>70-MOV-35-3003</t>
  </si>
  <si>
    <t>MOV (Motor Operated Valve) for 70-UN-35-0003 Metering DBB (3 of 10)</t>
  </si>
  <si>
    <t>70-MOV-35-3004</t>
  </si>
  <si>
    <t>MOV (Motor Operated Valve) for 70-UN-35-0003 Metering DBB (4 of 10)</t>
  </si>
  <si>
    <t>70-MOV-35-3005</t>
  </si>
  <si>
    <t>MOV (Motor Operated Valve) for 70-UN-35-0003 Metering DBB (5 of 10)</t>
  </si>
  <si>
    <t>70-MOV-35-3006</t>
  </si>
  <si>
    <t>MOV (Motor Operated Valve) for 70-UN-35-0003 Metering DBB (6 of 10)</t>
  </si>
  <si>
    <t>70-MOV-35-3007</t>
  </si>
  <si>
    <t>MOV (Motor Operated Valve) for 70-UN-35-0003 Metering DBB (7 of 10)</t>
  </si>
  <si>
    <t>70-MOV-35-3008</t>
  </si>
  <si>
    <t>MOV (Motor Operated Valve) for 70-UN-35-0003 Metering DBB (8 of 10)</t>
  </si>
  <si>
    <t>70-MOV-35-3009</t>
  </si>
  <si>
    <t>MOV (Motor Operated Valve) for 70-UN-35-0003 Metering DBB (9 of 10)</t>
  </si>
  <si>
    <t>70-MOV-35-3010</t>
  </si>
  <si>
    <t>MOV (Motor Operated Valve) for 70-UN-35-0003 Metering DBB (10 of 10)</t>
  </si>
  <si>
    <t>70-MOV-35-4001</t>
  </si>
  <si>
    <t>MOV (Motor Operated Valve) for 70-UN-35-0004 Metering DBB (1 of 4)</t>
  </si>
  <si>
    <t>70-MOV-35-4002</t>
  </si>
  <si>
    <t>MOV (Motor Operated Valve) for 70-UN-35-0004 Metering DBB (2 of 4)</t>
  </si>
  <si>
    <t>70-MOV-35-4003</t>
  </si>
  <si>
    <t>MOV (Motor Operated Valve) for 70-UN-35-0004 Metering DBB (3 of 4)</t>
  </si>
  <si>
    <t>70-MOV-35-4004</t>
  </si>
  <si>
    <t>MOV (Motor Operated Valve) for 70-UN-35-0004 Metering DBB (4 of 4)</t>
  </si>
  <si>
    <t>70-MOV-36-1001</t>
  </si>
  <si>
    <t>MOV (Motor Operated Valve) for 70-UN-36-0001 Metering DBB (1 of 4)</t>
  </si>
  <si>
    <t>70-MOV-36-1002</t>
  </si>
  <si>
    <t>MOV (Motor Operated Valve) for 70-UN-36-0001 Metering DBB (2 of 4)</t>
  </si>
  <si>
    <t>70-MOV-36-1003</t>
  </si>
  <si>
    <t>MOV (Motor Operated Valve) for 70-UN-36-0001 Metering DBB (3 of 4)</t>
  </si>
  <si>
    <t>70-MOV-36-1004</t>
  </si>
  <si>
    <t>MOV (Motor Operated Valve) for 70-UN-36-0001 Metering DBB (4 of 4)</t>
  </si>
  <si>
    <t>70-MOV-36-2001</t>
  </si>
  <si>
    <t>MOV (Motor Operated Valve) for 70-UN-36-0002 Metering DBB (1 of 4)</t>
  </si>
  <si>
    <t>70-MOV-36-2002</t>
  </si>
  <si>
    <t>MOV (Motor Operated Valve) for 70-UN-36-0002 Metering DBB (2 of 4)</t>
  </si>
  <si>
    <t>70-MOV-36-2003</t>
  </si>
  <si>
    <t>MOV (Motor Operated Valve) for 70-UN-36-0002 Metering DBB (3 of 4)</t>
  </si>
  <si>
    <t>70-MOV-36-2004</t>
  </si>
  <si>
    <t>MOV (Motor Operated Valve) for 70-UN-36-0002 Metering DBB (4 of 4)</t>
  </si>
  <si>
    <t>70-MOV-10-0001</t>
  </si>
  <si>
    <t>MOV (Motor Operated Valve)</t>
  </si>
  <si>
    <t>70-MOV-10-0002</t>
  </si>
  <si>
    <t>70-MOV-10-0003</t>
  </si>
  <si>
    <t>70-MOV-10-0004</t>
  </si>
  <si>
    <t>70-MOV-10-0005</t>
  </si>
  <si>
    <t>70-MOV-25-0021</t>
  </si>
  <si>
    <t>70-MOV-25-0022</t>
  </si>
  <si>
    <t>70-IG-66-0001</t>
  </si>
  <si>
    <t>01-WO-0001</t>
  </si>
  <si>
    <t>Welding Socket Outlet X 2EA (01-WO-01 &amp; 01-WO-02)</t>
  </si>
  <si>
    <t>01-WO-0002</t>
  </si>
  <si>
    <t xml:space="preserve">Welding Socket Outlet X 2EA (01-WO-03 &amp; 01-WO-04) </t>
  </si>
  <si>
    <t>02-WO-0001</t>
  </si>
  <si>
    <t>Welding Socket Outlet X 2EA (02-WO-01 &amp; 02-WO-02)</t>
  </si>
  <si>
    <t>02-WO-0002</t>
  </si>
  <si>
    <t>Welding Socket Outlet X 2EA (02-WO-03 &amp; 02-WO-04)</t>
  </si>
  <si>
    <t>03-WO-0001</t>
  </si>
  <si>
    <t>Welding Socket Outlet X 2EA (03-WO-01 &amp; 03-WO-02)</t>
  </si>
  <si>
    <t>03-WO-0002</t>
  </si>
  <si>
    <t>Welding Socket Outlet X 2EA (03-WO-03 &amp; 03-WO-04)</t>
  </si>
  <si>
    <t>03-WO-0003</t>
  </si>
  <si>
    <t>Welding Socket Outlet X 2EA (03-WO-05 &amp; 03-WO-06)</t>
  </si>
  <si>
    <t>04-WO-0001</t>
  </si>
  <si>
    <t>Welding Socket Outlet X 2EA (04-WO-01 &amp; 04-WO-02)</t>
  </si>
  <si>
    <t>04-WO-0002</t>
  </si>
  <si>
    <t>Welding Socket Outlet X 2EA (04-WO-03 &amp; 04-WO-04)</t>
  </si>
  <si>
    <t>04-WO-0003</t>
  </si>
  <si>
    <t>Welding Socket Outlet X 2EA (04-WO-05 &amp; 04-WO-06)</t>
  </si>
  <si>
    <t>04-WO-0004</t>
  </si>
  <si>
    <t>Welding Socket Outlet X 2EA (04-WO-07 &amp; 04-WO-08)</t>
  </si>
  <si>
    <t>70-IG-66-0002</t>
  </si>
  <si>
    <t>05-WO-0001</t>
  </si>
  <si>
    <t>Welding Socket Outlet X 2EA (05-WO-01 &amp; 05-WO-02)</t>
  </si>
  <si>
    <t>05-WO-0002</t>
  </si>
  <si>
    <t>Welding Socket Outlet X 2EA (05-WO-03 &amp; 05-WO-04)</t>
  </si>
  <si>
    <t>06-WO-0001</t>
  </si>
  <si>
    <t>Welding Socket Outlet X 2EA (06-WO-01 &amp; 06-WO-02)</t>
  </si>
  <si>
    <t>06-WO-0002</t>
  </si>
  <si>
    <t>Welding Socket Outlet X 2EA (06-WO-03 &amp; 06-WO-04)</t>
  </si>
  <si>
    <t>06-WO-0003</t>
  </si>
  <si>
    <t>Welding Socket Outlet X 1EA (06-WO-05)</t>
  </si>
  <si>
    <t>07-WO-0001</t>
  </si>
  <si>
    <t>Welding Socket Outlet X 2EA (07-WO-01 &amp; 07-WO-02)</t>
  </si>
  <si>
    <t>08-WO-0001</t>
  </si>
  <si>
    <t>Welding Socket Outlet X 2EA (08-WO-01 &amp; 08-WO-02)</t>
  </si>
  <si>
    <t>70-IG-62-0093</t>
  </si>
  <si>
    <t>70-IG-62-0066</t>
  </si>
  <si>
    <t>400/230V Normal L &amp; SP DB - Process - Outdoor</t>
  </si>
  <si>
    <t>400V Normal Welding Outlet DB- Outdoor B</t>
  </si>
  <si>
    <t>70-IG-62-0094</t>
  </si>
  <si>
    <t xml:space="preserve">400/230V Emergency L &amp; SP DB - ITR West-Process - Indoor A </t>
  </si>
  <si>
    <t xml:space="preserve">400/230V Emergency L &amp; SP DB - ITR West-Process - Indoor B </t>
  </si>
  <si>
    <t>70-IG-62-0019</t>
  </si>
  <si>
    <t>400/230V Emergency L &amp; SP DB - Process - Outdoor</t>
  </si>
  <si>
    <t>400/230V Emergency Heat Tracing DB - Booster and Flash Gas Compressor area - Outdoor</t>
  </si>
  <si>
    <t>400/230V Emergency Heat Tracing DB - Slug Catcher Vapour recovery area - Outdoor</t>
  </si>
  <si>
    <t>400/230V Emergency Heat Tracing DB - Chemical &amp; Utilities area - Outdoor</t>
  </si>
  <si>
    <t>MOV DB - CPF - Outdoor - Booster compressor</t>
  </si>
  <si>
    <t>MOV DB - CPF - Outdoor - Slug Catcher</t>
  </si>
  <si>
    <t>81-IG-62-0001</t>
  </si>
  <si>
    <t>09-WO-0001</t>
  </si>
  <si>
    <t xml:space="preserve">Welding Socket Outlet X 1EA (09-WO-01) </t>
  </si>
  <si>
    <t>FEEDER_CODE</t>
  </si>
  <si>
    <t>VOLTAGE</t>
  </si>
  <si>
    <t>Rev</t>
  </si>
  <si>
    <t>Disc.</t>
  </si>
  <si>
    <t>Unit</t>
  </si>
  <si>
    <t>Load Duty</t>
  </si>
  <si>
    <t>Absorbed Power 
(kW)
[A]</t>
  </si>
  <si>
    <t>Rated Power
(kW)
[B]</t>
  </si>
  <si>
    <t>Full Load Current</t>
  </si>
  <si>
    <t>DUTY
Load Factor
[A/B]</t>
  </si>
  <si>
    <t>Efficiency (%)
[C]</t>
  </si>
  <si>
    <t>Power Factor
[D]</t>
  </si>
  <si>
    <t>UTILIZATION (UF) 
(%)
[E]</t>
  </si>
  <si>
    <t>Consumed Load</t>
  </si>
  <si>
    <t>세로 막대형1</t>
  </si>
  <si>
    <t>세로 막대형2</t>
  </si>
  <si>
    <t>세로 막대형3</t>
  </si>
  <si>
    <t>세로 막대형4</t>
  </si>
  <si>
    <t>세로 막대형5</t>
  </si>
  <si>
    <t>Variation from FEED
(Added/Deleted/Increased/
Decreased/No Change)</t>
  </si>
  <si>
    <t>Variation from FEED Detail</t>
  </si>
  <si>
    <t>Remarks</t>
  </si>
  <si>
    <t>Location (Building)</t>
  </si>
  <si>
    <t>History</t>
  </si>
  <si>
    <t>세로 막대형6</t>
  </si>
  <si>
    <t>kW=(B/C)*E,  kVAr=(B/C)*TAN(ACOS(D))*(F)</t>
  </si>
  <si>
    <t>Continuous [F]</t>
  </si>
  <si>
    <t>Intermittent [G]</t>
  </si>
  <si>
    <t>Standby [H]</t>
  </si>
  <si>
    <t>[kW]</t>
  </si>
  <si>
    <t>[kVAr]</t>
  </si>
  <si>
    <t>C1</t>
  </si>
  <si>
    <t>MR</t>
  </si>
  <si>
    <t>VVVF</t>
  </si>
  <si>
    <t>Increased</t>
  </si>
  <si>
    <t>8000KW -&gt; 11000KW</t>
  </si>
  <si>
    <t xml:space="preserve">20251202 IOM-ME(MR)-0003 수정
20260108 IOM-ECI(EL)-0007 CPR 답변 반영
20260128 IOM-ME(MR)-0010 수정 </t>
  </si>
  <si>
    <t>EL</t>
  </si>
  <si>
    <t>05</t>
  </si>
  <si>
    <t>MAIN SUBSTATION</t>
  </si>
  <si>
    <t>FEED</t>
  </si>
  <si>
    <t>D3</t>
  </si>
  <si>
    <t>D4</t>
  </si>
  <si>
    <t>No Change Increased</t>
  </si>
  <si>
    <t>600KW -&gt; 720KW</t>
  </si>
  <si>
    <t>20251202 IOM-ME(MR)-0003 수정
20260317 IOM-ME(MR)-0016 Rating 수정</t>
  </si>
  <si>
    <t>No Change</t>
  </si>
  <si>
    <t>20251202 IOM-ME(MR)-0003 수정</t>
  </si>
  <si>
    <t>Electric Firewater Pump Motor</t>
  </si>
  <si>
    <t>Decreased</t>
  </si>
  <si>
    <t>560KW -&gt; 400KW</t>
  </si>
  <si>
    <t>20251202 IOM-ME(MR)-0003 수정
20260105 IOM-ME(MR)-0007 (VVVF-&gt;SS) 수정
20260130 VE SS 삭제, Normal 변경
20260225 IOM-ME(MR)-0014 Description / Rating 수정</t>
  </si>
  <si>
    <t>MS</t>
  </si>
  <si>
    <t>04</t>
  </si>
  <si>
    <t>11/0.72kV Transformer for MEG Regeneration Package -  Electric Reboiler (2 x 100%)</t>
  </si>
  <si>
    <t>3000KW -&gt; 3100KW</t>
  </si>
  <si>
    <t>Dedicated TR (4MVA)</t>
  </si>
  <si>
    <t>20250105 IOM-ME(MS)-0005 Description 수정
20260129 IOM-ME(MS)-0011 Dedicated TR 추가
20260225 IOM-ME(MS)-0026 Rating 수정
20260317 IOM-ME(MS)-0032 Description 오타 수정</t>
  </si>
  <si>
    <t>11/0.72kV Transformer for MEG Regeneration Package -  Electric Reboiler (2 x 100%) - Spare</t>
  </si>
  <si>
    <t>Added</t>
  </si>
  <si>
    <t>Spare for MEG PKG Electric Heater
20260225 IOM-ME(MS)-0026 Rating 수정
20260317 IOM-ME(MS)-0032 Description 오타 수정</t>
  </si>
  <si>
    <t>70-HE-35-0001-TR</t>
  </si>
  <si>
    <t>11/0.72kV Transformer for Start up Gas Heater</t>
  </si>
  <si>
    <t>Dedicated TR (750kVA)</t>
  </si>
  <si>
    <t>20260303 추가 (TQ-720)</t>
  </si>
  <si>
    <t>D</t>
  </si>
  <si>
    <t>FF</t>
  </si>
  <si>
    <t>20260105 IOM-ME(MR)-0007 기준 Deleted (FEED에만 있음)
20260206 복구함 (by FF)
20260306 consumed load 수식 복구</t>
  </si>
  <si>
    <t>50KW -&gt; 65KW</t>
  </si>
  <si>
    <t>FEED
20251216 Load Type 수정</t>
  </si>
  <si>
    <t>20260114 UPS 수정</t>
  </si>
  <si>
    <t>10kVA -&gt; 25kVA</t>
  </si>
  <si>
    <t>D5</t>
  </si>
  <si>
    <t>50kVA -&gt; 100kVA</t>
  </si>
  <si>
    <t>10kVA -&gt; 15kVA</t>
  </si>
  <si>
    <t>50kVA -&gt; 80kVA</t>
  </si>
  <si>
    <t>60kVA -&gt; 100kVA</t>
  </si>
  <si>
    <t>70kVA -&gt; 100kVA</t>
  </si>
  <si>
    <t>10kVA -&gt; 20kVA</t>
  </si>
  <si>
    <t>40kVA -&gt; 60kVA</t>
  </si>
  <si>
    <t>CONTROL BUILDING</t>
  </si>
  <si>
    <t>FEED
20251216 Description / Load Type 수정</t>
  </si>
  <si>
    <t>ITR EAST</t>
  </si>
  <si>
    <t xml:space="preserve">ITR WEST  </t>
  </si>
  <si>
    <t>20250105 IOM-ME(MS)-0005 기준 Deleted (FEED에만 있음)
20260129 IOM-ME(MS)-0011 추가 (FEED 기준)</t>
  </si>
  <si>
    <t>C5</t>
  </si>
  <si>
    <t>07</t>
  </si>
  <si>
    <t>MAIN GATE HOUSE</t>
  </si>
  <si>
    <t>20251216 FEED EQ LIST Added</t>
  </si>
  <si>
    <t>SECURITY HUT 02</t>
  </si>
  <si>
    <t>06</t>
  </si>
  <si>
    <t>WORKSHOP &amp; WAREHOUSE</t>
  </si>
  <si>
    <t>ADMINISTRATION BUILDING</t>
  </si>
  <si>
    <t>C3</t>
  </si>
  <si>
    <t>00</t>
  </si>
  <si>
    <t>ITR West</t>
  </si>
  <si>
    <t>20260203 MDB 추가</t>
  </si>
  <si>
    <t>SS</t>
  </si>
  <si>
    <t>315KW -&gt; 400KW</t>
  </si>
  <si>
    <t>20251202 IOM-ME(MR)-0003 수정 (690-&gt;400)
20250105 IOM-ME(MR)-0007 수정 (400-&gt;690)
20260108 IOM-ECI(EL)-0007 CPR 답변 반영
20260109 Bus 수정
20260128 IOM-ME(MR)-0010 Rating 수정</t>
  </si>
  <si>
    <t>70-UA-07-0001A-Cooling Fan Motor 1</t>
  </si>
  <si>
    <t>20251202 IOM-ME(MR)-0003 Added
20260105 IOM-ME(MR)-0007 Tag, Rating 수정
20260109 RE: [AGSA] Load List 확인 요청 건 / IOM-ME(MR)-0007
20260225 IOM-ME(MR)-0014 Description 수정</t>
  </si>
  <si>
    <t>70-UA-07-0001A-Cooling Fan Motor 2</t>
  </si>
  <si>
    <t>20251202 IOM-ME(MR)-0003 Added
20260105 IOM-ME(MR)-0007 Tag, Rating 수정
20260109 RE: [AGSA] Load List 확인 요청 건 / IOM-ME(MR)-0007
20260128 IOM-ME(MR)-0010 duty 수정
20260225 IOM-ME(MR)-0014 Description 수정</t>
  </si>
  <si>
    <t>70-UA-07-0001A-Container Fan Motor 1</t>
  </si>
  <si>
    <t>20251202 IOM-ME(MR)-0003 Added
20260109 RE: [AGSA] Load List 확인 요청 건 / IOM-ME(MR)-0007
20260225 IOM-ME(MR)-0014 Description 수정</t>
  </si>
  <si>
    <t>B4</t>
  </si>
  <si>
    <t>20251202 IOM-ME(MR)-0003 수정 (690-&gt;400)
20260108 IOM-ECI(EL)-0007 CPR 답변 반영
20260109 Bus 수정</t>
  </si>
  <si>
    <t>20251202 IOM-ME(MR)-0003 수정 (690-&gt;400)
20251216 Load Type 수정
20260108 IOM-ECI(EL)-0007 CPR 답변 반영
20260109 Bus 수정</t>
  </si>
  <si>
    <t>7.5KW -&gt; 11KW</t>
  </si>
  <si>
    <t>20251202 IOM-ME(MR)-0003 수정 (690-&gt;400)
20260109 RE: [AGSA] Load List 확인 요청 건 / IOM-ME(MR)-0007</t>
  </si>
  <si>
    <t>D1</t>
  </si>
  <si>
    <t>20251202 IOM-ME(MR)-0003 수정 (690-&gt;400)
20250105 IOM-ME(MR)-0007 수정 (400-&gt;690)
20260108 IOM-ECI(EL)-0007 CPR 답변 반영
20260128 IOM-ME(MR)-0010 Rating 수정</t>
  </si>
  <si>
    <t>20251202 IOM-ME(MR)-0003 수정 (690-&gt;400)
20250105 IOM-ME(MR)-0007 수정 (400-&gt;690)
20260128 IOM-ME(MR)-0010 Rating 수정</t>
  </si>
  <si>
    <t>70-UA-07-0001B-Cooling Fan Motor 1</t>
  </si>
  <si>
    <t>70-UA-07-0001B-Cooling Fan Motor 2</t>
  </si>
  <si>
    <t>70-UA-07-0001B-Container Fan Motor 1</t>
  </si>
  <si>
    <t>70-UA-07-0001C-Cooling Fan Motor 1</t>
  </si>
  <si>
    <t>70-UA-07-0001C-Cooling Fan Motor 2</t>
  </si>
  <si>
    <t>70-UA-07-0001C-Container Fan Motor 1</t>
  </si>
  <si>
    <t>20251202 IOM-ME(MR)-0003 Added
20260109 RE: [AGSA] Load List 확인 요청 건 / IOM-ME(MR)-0007
20260128 IOM-ME(MR)-0010 duty 수정
20260225 IOM-ME(MR)-0014 Description 수정</t>
  </si>
  <si>
    <t>0.4/0.42kV Dry type Transformer for 400/230 HVAC MCC for Adminstration Building Incomer A</t>
  </si>
  <si>
    <t>Moved from 70-IK-61-0003</t>
  </si>
  <si>
    <t>D2</t>
  </si>
  <si>
    <t>0.69/0.42kV Dry type Transformer for 400/230V Normal L &amp; SP Main Distribution Board (70-IG-62-0093)</t>
  </si>
  <si>
    <t>Moved from 70-IK-61-0002</t>
  </si>
  <si>
    <t>Moved to 70-IK-61-0002</t>
  </si>
  <si>
    <t>0.40/0.42kV Dry type Transformer for 400/230 HVAC MCC for HUT 02 Incomer A</t>
  </si>
  <si>
    <t>400KW -&gt; 355KW</t>
  </si>
  <si>
    <t>20251202 IOM-ME(MR)-0003 수정
20260105 IOM-ME(MR)-0007 (VVVF-&gt;SS) 수정
20260128 IOM-ME(MR)-0010 (SS-&gt;VVVF) 수정</t>
  </si>
  <si>
    <t>B2</t>
  </si>
  <si>
    <t>20251202 IOM-ME(MR)-0003 수정
20260105 IOM-ME(MR)-0007 Rating 수정
20260108 IOM-ECI(EL)-0007 CPR 답변 반영</t>
  </si>
  <si>
    <t>20251202 IOM-ME(MR)-0003 수정
20260105 IOM-ME(MR)-0007 Rating 수정
20260108 IOM-ECI(EL)-0007 CPR 답변 반영
20260109 RE: [AGSA] Load List 확인 요청 건 / IOM-ME(MR)-0007</t>
  </si>
  <si>
    <t>70-HE-70-0001A-TH</t>
  </si>
  <si>
    <t>48KW -&gt; 184KW</t>
  </si>
  <si>
    <t>20251216 Load Type 수정
20250105 IOM-ME(MS)-0005 Tag/Description 수정
20260211 VE-PR-044</t>
  </si>
  <si>
    <t>70-HE-70-0001B-TH</t>
  </si>
  <si>
    <t>20251202 IOM-ME(MR)-0003 수정
20251216 Load Type 수정
20260105 IOM-ME(MR)-0007 Rating 수정
20260129 IOM-ECI(EL)-0016 Duty 수정 (CPR)</t>
  </si>
  <si>
    <t>20251202 IOM-ME(MR)-0003 수정
20251216 Load Type 수정
20260105 IOM-ME(MR)-0007 Rating 수정</t>
  </si>
  <si>
    <t>20251216 Load Type 수정
20250105 IOM-ME(MS)-0005 Description 수정</t>
  </si>
  <si>
    <t>15KW -&gt; 25KW</t>
  </si>
  <si>
    <t>185KW -&gt; 110KW</t>
  </si>
  <si>
    <t>20251202 IOM-ME(MR)-0003 수정 (400-&gt;690)
20251216 Load Type 수정
20260225 IOM-ME(MR)-0014 Rating 수정
20260317 IOM-ME(MR)-0016 VSD 반영</t>
  </si>
  <si>
    <t>20251202 IOM-ME(MR)-0003 Added
20251216 Load Type 수정
20260225 IOM-ME(MR)-0014 Rating 수정
20260317 IOM-ME(MR)-0016 VSD 반영</t>
  </si>
  <si>
    <t>70-UB-74-0001A-TH</t>
  </si>
  <si>
    <t>Thyristor Panel for Electric Heater for N2 Generation Package</t>
  </si>
  <si>
    <t>20250105 IOM-ME(MS)-0005 Added
20260225 IOM-ME(MS)-0026 Voltage 수정 (400 -&gt; 690)</t>
  </si>
  <si>
    <t>70-UB-74-0001B-TH</t>
  </si>
  <si>
    <t>20250105 IOM-ME(MS)-0005 Added
20260129 IOM-ME(MS)-0011 Duty 수정
20260225 IOM-ME(MS)-0026 Voltage 수정 (400 -&gt; 690)</t>
  </si>
  <si>
    <t>22KW -&gt; 18.5KW</t>
  </si>
  <si>
    <t>Delta-400V, Star-690V</t>
  </si>
  <si>
    <t>20250105 IOM-ME(MS)-0005 Tag/Description 수정, Voltage 수정 (400V-&gt;690V)
Tag 수정 (by EL)
20260203 (△-Y)
20260225 IOM-ME(MS)-0026 DOL 으로 수정, Rating 수정</t>
  </si>
  <si>
    <t>4KW -&gt; 5.5KW</t>
  </si>
  <si>
    <t>20250105 IOM-ME(MS)-0005 Tag/Description 수정, Voltage 수정 (400V-&gt;690V)
Tag 수정 (by EL)
20260129 IOM-ME(MS)-0011 Rating
20260203 (△-Y)
20260225 IOM-ME(MS)-0026 DOL 으로 수정</t>
  </si>
  <si>
    <t>4KW -&gt; 7.5KW</t>
  </si>
  <si>
    <t>20250105 IOM-ME(MS)-0005 Tag/Description 수정, Voltage 수정 (400V-&gt;690V)
Tag 수정 (by EL)
20260129 IOM-ME(MS)-0011 Rating
20260203 (△-Y)
20260225 IOM-ME(MS)-0026 DOL 으로 수정, Rating 수정</t>
  </si>
  <si>
    <t>70-UZ-43-0002-A1</t>
  </si>
  <si>
    <t>50KW -&gt; 10KW</t>
  </si>
  <si>
    <t>20250105 IOM-ME(MS)-0005 Added
Tag 수정 (by EL)
20260225 IOM-ME(MS)-0026 VSD (임의 반영)
20260317 IOM-ME(MS)-0032 description 수정</t>
  </si>
  <si>
    <t>70-UZ-43-0002-A2</t>
  </si>
  <si>
    <t>20260317 IOM-ME(MS)-0032 Added</t>
  </si>
  <si>
    <t>70-UZ-43-0002-A3</t>
  </si>
  <si>
    <t>70-UZ-43-0002-A - SP</t>
  </si>
  <si>
    <t>MEG Regeneration Package 
- Overhead Condenser (Air cooler) - Spare</t>
  </si>
  <si>
    <t>20260225 IOM-ME(MS)-0026 추가 (임의 반영)
20260225 IOM-ME(MS)-0026 VSD (임의 반영)</t>
  </si>
  <si>
    <t>20251202 IOM-ME(MR)-0003 Added
20251216 Load Type 수정
20260225 IOM-ME(MR)-0014 용량 수정</t>
  </si>
  <si>
    <t>20251202 IOM-ME(MR)-0003 Added
20251216 Load Type 수정
20260105 IOM-ME(MR)-0007 Rating 수정
20260317 IOM-ME(MR)-0007 Rating 수정 (5 -&gt; 10)</t>
  </si>
  <si>
    <t>20251202 IOM-ME(MR)-0003 Added
20251216 Load Type 수정
20260105 IOM-ME(MR)-0007 Rating, Duty 수정
20260317 IOM-ME(MR)-0007 Rating 수정 (5 -&gt; 10)</t>
  </si>
  <si>
    <t>20260105 IOM-ME(MR)-0007 Added
20260317 IOM-ME(MR)-0007 Rating 수정 (5 -&gt; 10)</t>
  </si>
  <si>
    <t>20260105 IOM-ME(MR)-0007 Added</t>
  </si>
  <si>
    <t>03 (E-House)</t>
  </si>
  <si>
    <t>70-KA-31-1003
E-House (incl. VFD Panel)</t>
  </si>
  <si>
    <t>Export Compressor _ VFD (E-house Low Voltage Power Disctribution for HVAC, water circulation unit, F&amp;G)</t>
  </si>
  <si>
    <t>20260225 IOM-ME(MR)-0014 추가
20260317 IOM-ME(MR)-0016 수정</t>
  </si>
  <si>
    <t>70-KA-31-1003
VFD _ Chiller</t>
  </si>
  <si>
    <t>Export Compressor _ VFD (Cooling Systems - Chiller Package)</t>
  </si>
  <si>
    <t>20260317 IOM-ME(MR)-0016 추가</t>
  </si>
  <si>
    <t>70-KA-31-2003
E-House (incl. VFD Panel)</t>
  </si>
  <si>
    <t>70-KA-31-2003
VFD _ Chiller</t>
  </si>
  <si>
    <t>20251202 IOM-ME(MR)-0003 Added
20251216 Load Type 수정</t>
  </si>
  <si>
    <t>LO Cooler Fan Motor 2 for Flash Gas Compressor</t>
  </si>
  <si>
    <t>20251202 IOM-ME(MR)-0003 Added
20251216 Load Type 수정
20260225 IOM-ME(MR)-0014 description, duty 수정</t>
  </si>
  <si>
    <t>70-KA-31-1001/1002-LO Cooler Fan Motor 3</t>
  </si>
  <si>
    <t>LO Cooler Fan Motor 3 for Flash Gas Compressor</t>
  </si>
  <si>
    <t>20260225 IOM-ME(MR)-0014 추가</t>
  </si>
  <si>
    <t>20251202 IOM-ME(MR)-0003 Added
20251216 Load Type 수정
20260225 IOM-ME(MR)-0014 duty 수정</t>
  </si>
  <si>
    <t>70-KA-31-1001/1002-CW Console Cooler Fan Motor 3</t>
  </si>
  <si>
    <t>CW Console Cooler Fan Motor 3 for Flash Gas Compressor</t>
  </si>
  <si>
    <t>70-KA-31-1001/1002-Cylinder Lubricator Heater</t>
  </si>
  <si>
    <t>Cylinder Lubricator Heater for Flash Gas Compressor</t>
  </si>
  <si>
    <t>15KW -&gt; 5KW</t>
  </si>
  <si>
    <t>20251202 IOM-ME(MR)-0003 수정
20251216 Load Type 수정</t>
  </si>
  <si>
    <t>70-PA-01-0001A Panel</t>
  </si>
  <si>
    <t>Diesel Firewater Pump A Enclosure Ventilation Fan Motor</t>
  </si>
  <si>
    <t>70-PA-01-0001B Panel</t>
  </si>
  <si>
    <t>Diesel Firewater Pump B Enclosure Ventilation Fan Motor</t>
  </si>
  <si>
    <t>70-PA-01-0001C Panel</t>
  </si>
  <si>
    <t>Diesel Firewater Pump C Enclosure Ventilation Fan Motor</t>
  </si>
  <si>
    <t>Firewater Jockey Pump A Motor</t>
  </si>
  <si>
    <t>55KW -&gt; 75KW</t>
  </si>
  <si>
    <t>20251202 IOM-ME(MR)-0003 수정
20260105 IOM-ME(MR)-0007 Rating 수정
20260225 IOM-ME(MR)-0014 Description / Load Type 수정</t>
  </si>
  <si>
    <t>Firewater Jockey Pump B Motor</t>
  </si>
  <si>
    <t>4KW -&gt; 3.7KW</t>
  </si>
  <si>
    <t>20251202 IOM-ME(MR)-0003 수정
20260105 IOM-ME(MR)-0007 Rating 수정</t>
  </si>
  <si>
    <t>5.5KW -&gt; 7.5KW</t>
  </si>
  <si>
    <t>20251202 IOM-ME(MR)-0003 수정
20260105 IOM-ME(MR)-0007 Rating, WBS 수정
20260108 IOM-ECI(EL)-0007 CPR 답변 반영</t>
  </si>
  <si>
    <t>20251202 IOM-ME(MR)-0003 수정
20260105 IOM-ME(MR)-0007 Rating, WBS 수정</t>
  </si>
  <si>
    <t>Motor Driven Main LO Pump</t>
  </si>
  <si>
    <t>20260225 IOM-ME(MR)-0014 추가
20260317 IOM-ME(MR)-0016 Rating 수정</t>
  </si>
  <si>
    <t>Motor Driven Aux. LO Pump</t>
  </si>
  <si>
    <t>Motor Driven LO Air Cooler Fan A</t>
  </si>
  <si>
    <t>Motor Driven LO Air Cooler Fan B</t>
  </si>
  <si>
    <t>Motor Driven Lubricator</t>
  </si>
  <si>
    <t>LO Heater</t>
  </si>
  <si>
    <t>B3</t>
  </si>
  <si>
    <t>20260105 IOM-ME(MR)-0007 Description 수정
Tag 수정 (by EL)</t>
  </si>
  <si>
    <t>15KW -&gt; 30KW</t>
  </si>
  <si>
    <t>20260105 IOM-ME(MR)-0007 Description 수정
Tag 수정 (by EL)
20260225 IOM-ME(MS)-0026 Rating 수정</t>
  </si>
  <si>
    <t>4KW -&gt; 7.55KW</t>
  </si>
  <si>
    <t>20260120 Added_Franca</t>
  </si>
  <si>
    <t>C4</t>
  </si>
  <si>
    <t>20260209 추가</t>
  </si>
  <si>
    <t>20250105 IOM-ME(MS)-0005 Tag 수정
Tag 수정 (by EL)</t>
  </si>
  <si>
    <t>70-UZ-72-0001A
(70-HF-72-0001A)</t>
  </si>
  <si>
    <t>10KW -&gt; 30KW</t>
  </si>
  <si>
    <t>20250105 IOM-ME(MS)-0005 Tag/Description/Rating 수정
20260317 Tag 오류 수정
20260317 IOM-ME(MS)-0032 용량 수정</t>
  </si>
  <si>
    <t>70-UZ-72-0001B
(70-HF-72-0001B)</t>
  </si>
  <si>
    <t>Increased / Duty</t>
  </si>
  <si>
    <t>10KW -&gt; 30KW / S -&gt; C</t>
  </si>
  <si>
    <t>0.75KW -&gt; 1.5KW / I -&gt; C</t>
  </si>
  <si>
    <t>20251202 IOM-ME(MR)-0003 수정
20251216 Load Type 수정
20260128 IOM-ME(MR)-0010 Rating 수정</t>
  </si>
  <si>
    <t>20251202 IOM-ME(MR)-0003 Added
20251216 Load Type 수정
20260109 RE: [AGSA] Load List 확인 요청 건 / IOM-ME(MR)-0007_Duty 수정
20260128 IOM-ME(MR)-0010 Rating 수정</t>
  </si>
  <si>
    <t>20260128 IOM-ME(MR)-0010 추가</t>
  </si>
  <si>
    <t>0.75KW -&gt; 0.25KW</t>
  </si>
  <si>
    <t>5KW -&gt; 22KW</t>
  </si>
  <si>
    <t>Motor for Liquid Ring Recirculation Pump A</t>
  </si>
  <si>
    <t>20260128 IOM-ME(MR)-0010 추가
20260225 IOM-ME(MR)-0014 Description 수정</t>
  </si>
  <si>
    <t>Motor for Liquid Ring Recirculation Pump B</t>
  </si>
  <si>
    <t>Motor for Liquid Ring Air Cooler Fan A</t>
  </si>
  <si>
    <t>Motor for Liquid Ring Air Cooler Fan B</t>
  </si>
  <si>
    <t>20260105 IOM-ME(MR)-0007 Added
20260128 IOM-ME(MR)-0010 Rating 수정</t>
  </si>
  <si>
    <t>70-UU-28-0001_Sub Item 2.2.1</t>
  </si>
  <si>
    <t>FLOAT OILY SLUDGE PUMP A (included in 70-UU-28-0001)</t>
  </si>
  <si>
    <t>20260105 IOM-ME(MR)-0007 Added
20260317 IOM-ME(MR)-0016 Tag/Description 수정</t>
  </si>
  <si>
    <t>70-UU-28-0001_Sub Item 2.2.2</t>
  </si>
  <si>
    <t>20260317 IOM-ME(MR)-0016 Added</t>
  </si>
  <si>
    <t>20251202 IOM-ME(MR)-0003 Added</t>
  </si>
  <si>
    <t>CI</t>
  </si>
  <si>
    <t>04 (72)</t>
  </si>
  <si>
    <t>CEMS (Continuos Emission Management System) Shelter for Fired Heater (Lighting &amp; etc. for 70-UZ-72-0001A)</t>
  </si>
  <si>
    <t>CEMS SHELTER</t>
  </si>
  <si>
    <t>20260108 IOM-ECI(EL)-0007 Added</t>
  </si>
  <si>
    <t>CEMS (Continuos Emission Management System) Shelter for Fired Heater (Lighting &amp; etc. for 70-UZ-72-0001B)</t>
  </si>
  <si>
    <t>70-CEMS-72-0001C (HOLD)</t>
  </si>
  <si>
    <t>CEMS (Continuos Emission Management System) Shelter for Fired Heater (HVAC for 70-UZ-72-0001A) - Primary</t>
  </si>
  <si>
    <t>20260317 IOM-ECI(EL)-0031 Added</t>
  </si>
  <si>
    <t>70-CEMS-72-0001D (HOLD)</t>
  </si>
  <si>
    <t>CEMS (Continuos Emission Management System) Shelter for Fired Heater (HVAC for 70-UZ-72-0001B) - Primary</t>
  </si>
  <si>
    <t>70-CEMS-72-0001E (HOLD)</t>
  </si>
  <si>
    <t>CEMS (Continuos Emission Management System) Shelter for Fired Heater (HVAC for 70-UZ-72-0001A) - Redundant</t>
  </si>
  <si>
    <t>70-CEMS-72-0001F (HOLD)</t>
  </si>
  <si>
    <t>CEMS (Continuos Emission Management System) Shelter for Fired Heater (HVAC for 70-UZ-72-0001B) - Redundant</t>
  </si>
  <si>
    <t>03 (26)</t>
  </si>
  <si>
    <t>Analyser House for Condensate Export Metering Package (Lighting &amp; etc.)</t>
  </si>
  <si>
    <t>　</t>
  </si>
  <si>
    <t>26 (아래 Plotplan 상 Location 참조)</t>
  </si>
  <si>
    <t>03 (35)</t>
  </si>
  <si>
    <t>70-UN-35-0002/0003/0004</t>
  </si>
  <si>
    <t>Analyser House for SCP Export, DGN Export and Buy-back Gas Metering Package (Lighting &amp; etc.)</t>
  </si>
  <si>
    <t>35 (아래 Plotplan 상 Location 참조)</t>
  </si>
  <si>
    <t>70-UN-26-0001 (HVAC)</t>
  </si>
  <si>
    <t>Analyser House for Condensate Export Metering Package (HVAC) - Primary</t>
  </si>
  <si>
    <t>70-UN-35-0002/0003/0004 (HVAC)</t>
  </si>
  <si>
    <t>Analyser House for SCP Export, DGN Export and Buy-back Gas Metering Package (HVAC) - Primary</t>
  </si>
  <si>
    <t>Analyser House for Condensate Export Metering Package (HVAC) - Redundant</t>
  </si>
  <si>
    <t>Analyser House for SCP Export, DGN Export and Buy-back Gas Metering Package (HVAC) - Redundant</t>
  </si>
  <si>
    <t>70-MOV-26-1008</t>
  </si>
  <si>
    <t>MOV (Motor Operated Valve) for 70-UN-26-0001 Metering DBB (8 of 16)</t>
  </si>
  <si>
    <t>70-MOV-26-1009</t>
  </si>
  <si>
    <t>MOV (Motor Operated Valve) for 70-UN-26-0001 Metering DBB (9 of 16)</t>
  </si>
  <si>
    <t>70-MOV-26-1010</t>
  </si>
  <si>
    <t>MOV (Motor Operated Valve) for 70-UN-26-0001 Metering DBB (10 of 16)</t>
  </si>
  <si>
    <t>70-MOV-26-1011</t>
  </si>
  <si>
    <t>MOV (Motor Operated Valve) for 70-UN-26-0001 Metering DBB (11 of 16)</t>
  </si>
  <si>
    <t>70-MOV-26-1012</t>
  </si>
  <si>
    <t>MOV (Motor Operated Valve) for 70-UN-26-0001 Metering DBB (12 of 16)</t>
  </si>
  <si>
    <t>70-MOV-26-1013</t>
  </si>
  <si>
    <t>MOV (Motor Operated Valve) for 70-UN-26-0001 Metering DBB (13 of 16)</t>
  </si>
  <si>
    <t>70-MOV-26-1014</t>
  </si>
  <si>
    <t>MOV (Motor Operated Valve) for 70-UN-26-0001 Metering DBB (14 of 16)</t>
  </si>
  <si>
    <t>70-MOV-26-1015</t>
  </si>
  <si>
    <t>MOV (Motor Operated Valve) for 70-UN-26-0001 Metering DBB (15 of 16)</t>
  </si>
  <si>
    <t>70-MOV-26-1016</t>
  </si>
  <si>
    <t>MOV (Motor Operated Valve) for 70-UN-26-0001 Metering DBB (16 of 16)</t>
  </si>
  <si>
    <t>02 (10)</t>
  </si>
  <si>
    <t>AT THE INLET OF 70-VP-10-0001</t>
  </si>
  <si>
    <t>FROM 70-VP-10-0001 TO SLUG CATCHERS</t>
  </si>
  <si>
    <t>FROM SUBSEA PRODUCTION FLOWLINE TO CHOKE VALVES</t>
  </si>
  <si>
    <t>03 (25)</t>
  </si>
  <si>
    <t>FROM 70-UN-26-0001 TO 70-VP-25-0001</t>
  </si>
  <si>
    <t>FROM 70-UN-26-0001 TO SD2 AT SANGACHAL TERMINAL</t>
  </si>
  <si>
    <t>20251216 강동현 책임님 메일 Added
20260120 Dry TR 추가, 용량 수정</t>
  </si>
  <si>
    <t>Flare stack area에 2ea 반영</t>
  </si>
  <si>
    <t xml:space="preserve">Parking area (Plant entrance area) 1ea </t>
  </si>
  <si>
    <t>08</t>
  </si>
  <si>
    <t>20251216 Load Type 수정</t>
  </si>
  <si>
    <t>CI Inform Rating 반영</t>
  </si>
  <si>
    <t>09</t>
  </si>
  <si>
    <t>Beach Valve</t>
  </si>
  <si>
    <t>DELETE</t>
  </si>
  <si>
    <t>Tag No.</t>
  </si>
  <si>
    <t>Description</t>
  </si>
  <si>
    <t>Voltage</t>
  </si>
  <si>
    <t>Breaker Rating</t>
  </si>
  <si>
    <t>Location</t>
  </si>
  <si>
    <t>Switchgear Tag</t>
  </si>
  <si>
    <t>81-1K-61-0001</t>
  </si>
  <si>
    <t>400V Emergency Switchgear</t>
  </si>
  <si>
    <t>400V</t>
  </si>
  <si>
    <t>3P 160A MCCB</t>
  </si>
  <si>
    <t>Beach Valve Station</t>
  </si>
  <si>
    <t>81-1K-E1-0001</t>
  </si>
  <si>
    <t>400/230V Emergency L&amp;SP DB</t>
  </si>
  <si>
    <t>3P 80A MCCB</t>
  </si>
  <si>
    <t>Node E</t>
  </si>
  <si>
    <t>81-IK-09-0001A</t>
  </si>
  <si>
    <t>400V HVAC MCC Switchgear 1A</t>
  </si>
  <si>
    <t>3P 100A MCCB</t>
  </si>
  <si>
    <t>81-IK-09-0001B</t>
  </si>
  <si>
    <t>400V HVAC MCC Switchgear 1B</t>
  </si>
  <si>
    <t>81-GU-06-0001A</t>
  </si>
  <si>
    <t>230V AC UPS for Telecoms</t>
  </si>
  <si>
    <t>3P 40A MCCB</t>
  </si>
  <si>
    <t>81-GU-06-0001B</t>
  </si>
  <si>
    <t>81-GU-06-0002A</t>
  </si>
  <si>
    <t>230V AC UPS for Instrument</t>
  </si>
  <si>
    <t>81-GU-06-0002B</t>
  </si>
  <si>
    <t>SPARE</t>
  </si>
  <si>
    <t>Spare Feeder</t>
  </si>
  <si>
    <t>S.No</t>
  </si>
  <si>
    <t>Revision</t>
  </si>
  <si>
    <t>Equipment Tag
number</t>
  </si>
  <si>
    <t>Equipment designation</t>
  </si>
  <si>
    <t>Rated
current</t>
  </si>
  <si>
    <t>Rated
Power</t>
  </si>
  <si>
    <t>UOM</t>
  </si>
  <si>
    <t>Rated
voltage
(kV)</t>
  </si>
  <si>
    <t>Earthing System</t>
  </si>
  <si>
    <t>GS reference</t>
  </si>
  <si>
    <t>Equipment Data</t>
  </si>
  <si>
    <t>Equipment Description</t>
  </si>
  <si>
    <t>Reference Documents</t>
  </si>
  <si>
    <t>Overall dimensions (LxWxH)mm
Refer to Note 2</t>
  </si>
  <si>
    <t>Weight
(kq)</t>
  </si>
  <si>
    <t>Comments</t>
  </si>
  <si>
    <t>11/0.72kV Transformer</t>
  </si>
  <si>
    <t>_</t>
  </si>
  <si>
    <t>4000</t>
  </si>
  <si>
    <t>kVA</t>
  </si>
  <si>
    <t>Primary: Resistance earthed (20-50A)
Secondary: IT (fault limited to 150mA)</t>
  </si>
  <si>
    <t>GS EP ELE 141</t>
  </si>
  <si>
    <t>4000 kVA, 11/0.72 kV, Dyn11, ONAN,
DETC +/- 5% (Steps of +/- 2.5),
Z=7%</t>
  </si>
  <si>
    <t>Enclosure :Hermetically Sealed
Connection : (Primary (Cable) / Secondary (Busduct)
OLTC : Not applicable
CTs &amp; VTs : As per Typical Protection &amp; Specs of main equipment.
Protections: As per Typical Protection &amp; Specs of main equipment.
Equipped with Electrical and Mechanical Interlocks</t>
  </si>
  <si>
    <t>GS EP ELE 001 - Electrical Design Criteria
GS EP ELE 141 - Oil-immersed power transformer
AZ-AB1-70-SK02-162701 - Single Line Diagrams
AZ-AB1-70-SK02-160001 - Electrical Basis of Design
AZ-AB1-70-SK02-160002 - Specifications of Main Electrical Equipment
AZ-AB1-70-SK02-160018 - Power System Study
AZ-AB1-70-SK02-160008 - Electrical Load List</t>
  </si>
  <si>
    <t>Main Substation</t>
  </si>
  <si>
    <t>2700 X 2700 X 3050</t>
  </si>
  <si>
    <t>Note - 4</t>
  </si>
  <si>
    <t>11/0.72kV Transformer Emergency</t>
  </si>
  <si>
    <t>2500</t>
  </si>
  <si>
    <t>2500 kVA, 11/0.72 kV, Dyn11, ONAN,
DETC +/- 5% (Steps of +/- 2.5),
Z=6%</t>
  </si>
  <si>
    <t>1950 X 1350 X 2300</t>
  </si>
  <si>
    <t>11/0.42kV Transformer</t>
  </si>
  <si>
    <t>2500kVA, 11/0.42kV, Dyn11, ONAN,
DETC +/- 5% (Steps of +/- 2.5),
Z=6%</t>
  </si>
  <si>
    <t>70-IRR-61-0001A</t>
  </si>
  <si>
    <t>Neutral Earthing Resistor for
transformer 70-IV-61-0001A</t>
  </si>
  <si>
    <t>150</t>
  </si>
  <si>
    <t>mA</t>
  </si>
  <si>
    <t>0.69</t>
  </si>
  <si>
    <t>IT (Impedance limiting earth fault to 150 mA
and surge arrester)
Refer Note - 10</t>
  </si>
  <si>
    <t>GS EP ELE 190</t>
  </si>
  <si>
    <t>0.69kV, 150mA</t>
  </si>
  <si>
    <t>Enclosure : Part of Switchgear
Connection : Part of Switchgear
CTs : As per Typical Protection &amp; Specs of main equipment.</t>
  </si>
  <si>
    <t>GS EP ELE 001 - Electrical Design Criteria
GS EP ELE 190 - Neutral Earthing Resistor
AZ-AB1-70-SK02-162701 - Single Line Diagrams
AZ-AB1-70-SK02-160001 - Electrical Basis of Design
AZ-AB1-70-SK02-160018 - Power System Study
AZ-AB1-70-SK02-162001 - Substation Equipment layout</t>
  </si>
  <si>
    <t>Part of Switchgear</t>
  </si>
  <si>
    <t>Part of
Switchgear</t>
  </si>
  <si>
    <t>70-IRR-61-0001B</t>
  </si>
  <si>
    <t>Neutral Earthing Resistor for
transformer 70-IV-61-0001B</t>
  </si>
  <si>
    <t>70-IRR-61-0001C</t>
  </si>
  <si>
    <t>Neutral Earthing Resistor for
transformer 70-IV-61-0001C</t>
  </si>
  <si>
    <t>70-IRR-61-0003A</t>
  </si>
  <si>
    <t>Neutral Earthing Resistor for
transformer 70-IV-61-0003A</t>
  </si>
  <si>
    <t>70-IRR-61-0003B</t>
  </si>
  <si>
    <t>Neutral Earthing Resistor for
transformer 70-IV-61-0003B</t>
  </si>
  <si>
    <t>70-IRR-61-0002A</t>
  </si>
  <si>
    <t>Neutral Earthing Resistor for
transformer 70-IV-61-0002A</t>
  </si>
  <si>
    <t>0.4</t>
  </si>
  <si>
    <t>0.4kV, 150mA</t>
  </si>
  <si>
    <t>70-IRR-61-0002B</t>
  </si>
  <si>
    <t>Neutral Earthing Resistor for
transformer 70-IV-61-0002B</t>
  </si>
  <si>
    <t>70-BDU-61-0001A</t>
  </si>
  <si>
    <t>Busduct for 690V Switchgear - 1 A</t>
  </si>
  <si>
    <t>GS EP ELE 135</t>
  </si>
  <si>
    <t>0.72kV, 4000A, 80kA for 1 sec.</t>
  </si>
  <si>
    <t>GS EP ELE 001 - Electrical Design Criteria
AZ-AB1-70-SK02-162701 - Single Line Diagrams
AZ-AB1-70-SK02-160001 - Electrical Basis of Design
AZ-AB1-70-SK02-160002 - Specifications of Main Electrical Equipment
AZ-AB1-70-SK02-160018 - Power System Study
AZ-AB1-70-SK02-160008 - Electrical Load List
AZ-AB1-70-SK02-162001 - Substation Equipment layout</t>
  </si>
  <si>
    <t>Note - 8</t>
  </si>
  <si>
    <t>70-BDU-61-0001B</t>
  </si>
  <si>
    <t>Busduct for 690V Switchgear - 1 B</t>
  </si>
  <si>
    <t>70-BDU-61-0001C</t>
  </si>
  <si>
    <t>Busduct for 690V Switchgear - 1 C</t>
  </si>
  <si>
    <t>0.72kV, 2500A, 80kA for 1 sec.</t>
  </si>
  <si>
    <t>70-BDU-61-0003A</t>
  </si>
  <si>
    <t>Busduct for 690V Switchgear - 2 A</t>
  </si>
  <si>
    <t>70-BDU-61-0003B</t>
  </si>
  <si>
    <t>Busduct for 690V Switchgear - 2 B</t>
  </si>
  <si>
    <t>70-BDU-61-0002A</t>
  </si>
  <si>
    <t>Busduct for 400V Switchgear A</t>
  </si>
  <si>
    <t>0.42kV, 4000A, 80kA for 1 sec.</t>
  </si>
  <si>
    <t>70-BDU-61-0002B</t>
  </si>
  <si>
    <t>Busduct for 400V Switchgear B</t>
  </si>
  <si>
    <t>11kV Switchgear</t>
  </si>
  <si>
    <t>Resistance Earthed - 20-50A
(Refer Note - 10)</t>
  </si>
  <si>
    <t>GS EP ELE 131</t>
  </si>
  <si>
    <t>11kV, 4000A, 50Hz, 40kA for 1 sec.</t>
  </si>
  <si>
    <t>Insulation type : Air
IAC type : AFLR
Withdrawable - LSC2B-PM
Equipped with Electrical and Mechanical Interlocks and Surge arrestors.
Communication Protocol: Modbus + IEC 61850
Protection Relays : Digital.As per P&amp;M diagrams
Circuit details:
Incomer - 3 nos
Bus - tie - 2 Nos
Outgoing feeders - Refer - Electrical Load List</t>
  </si>
  <si>
    <t>GS EP ELE 001 - Electrical Design Criteria
GS EP ELE 131 - High Voltage Switchgear and controlgear assemblies according
to IOGP S-620
AZ-AB1-70-SK02-162701 - Single Line Diagrams
AZ-AB1-70-SK02-160001 - Electrical Basis of Design
AZ-AB1-70-SK02-160002 - Specifications of Main Electrical Equipment
AZ-AB1-70-SK02-160018 - Power System Study
AZ-AB1-70-SK02-160008 - Electrical Load List
AZ-AB1-70-SK02-162001 - Substation Equipment layout
AZ-AB1-70-SK02-162007 - Typical Protection Diagrams</t>
  </si>
  <si>
    <t>25300 x 1455 x 2696</t>
  </si>
  <si>
    <t>690V Switchgear - 1</t>
  </si>
  <si>
    <t>IT (High Impedance earthed) Impedance
limiting earth fault to 150 mA.
Refer to Note - 10</t>
  </si>
  <si>
    <t>0.69 kV, 4000A, 50Hz, 80kA for 1 sec.</t>
  </si>
  <si>
    <t>Insulation type : Air
Arcing Class B
Withdrawable - LSC2B-PM
Equipped with Electrical and Mechanical Interlocks.
Communication Protocol: Modbus + IEC 61850
Protection: As per P&amp;M diagrams
Circuit details:
Incomer - 3 nos
Bus - tie - 2 Nos
Outgoing feeders - Refer to Doc. No.AZ-AB1-70-SK02-160008 - Electrical
Load List</t>
  </si>
  <si>
    <t>GS EP ELE 001 - Electrical Design Criteria
GS EP ELE 135 - Low Voltage Switchgear and controlgear assemblies according
to IOGP S-560
AZ-AB1-70-SK02-162701 - Single Line Diagrams
AZ-AB1-70-SK02-160001 - Electrical Basis of Design
AZ-AB1-70-SK02-160002 - Specifications of Main Electrical Equipment
AZ-AB1-70-SK02-160018 - Power System Study
AZ-AB1-70-SK02-160008 - Electrical Load List
AZ-AB1-70-SK02-162001 - Substation Equipment layout
AZ-AB1-70-SK02-162007 - Typical Protection Diagrams</t>
  </si>
  <si>
    <t>21000 x 1000 x 2200</t>
  </si>
  <si>
    <t>690V Switchgear - 2</t>
  </si>
  <si>
    <t>Insulation type : Air
Arcing Class B
Withdrawable - LSC2B-PM
Equipped with Electrical and Mechanical Interlocks.
Communication Protocol: Modbus + IEC 61850
Protection: As per P&amp;M diagrams
Circuit details:
Incomer - 2 nos
Bus - tie - 1 No
Outgoing feeders - Refer to Doc. No.AZ-AB1-70-SK02-160008 - Electrical
Load List</t>
  </si>
  <si>
    <t>8600 x 1000 x 2200</t>
  </si>
  <si>
    <t>400V Switchgear</t>
  </si>
  <si>
    <t>0.4 kV, 4000A, 50Hz, 80kA for 1 sec.</t>
  </si>
  <si>
    <t>Insulation type : Air
Arcing Class B
Withdrawable - LSC2B-PM
Equipped with Electrical and Mechanical Interlocks and Surge arrestors.
Communication Protocol: Modbus + IEC 61850
Protection: As per P&amp;M diagrams
Circuit details:
Incomer - 2 nos
Bus - tie - 1 No
Outgoing feeders - Refer to Doc. No.AZ-AB1-70-SK02-160008 - Electrical
Load List</t>
  </si>
  <si>
    <t>16600 x 1000 x 2500</t>
  </si>
  <si>
    <t>0.69/0.42kV Emergency L &amp; SP
Transformer - Main Gate house -Indoor</t>
  </si>
  <si>
    <t>Primary: IT (fault limited to 150mA)
Secondary:TNS</t>
  </si>
  <si>
    <t>GS EP ELE 142</t>
  </si>
  <si>
    <t>40kVA, 0.69/0.42kV, Dyn11, AN,
Dry type Transformer,
DETC +/- 5%(Steps of +/- 2.5),
Z= 4%</t>
  </si>
  <si>
    <t>Enclosure : Encapsulated cast-resin or Vacuum Pressure impregnated
Connection : (Primary (Cable) / Secondary (Cable)
CTs &amp; VTs : As per Typical Protection &amp; Specs of main equipment.
Protections: As per Typical Protection &amp; Specs of main equipment.
Equipped with Electrical and Mechanical Interlocks</t>
  </si>
  <si>
    <t>AZ-AB1-70-SK02-162007 - Typical Protection Diagrams
AZ-AB1-70-SK02-160001 - Electrical Basis of Design
AZ-AB1-70-SK02-161000 - Typical Logic Diagrams
AZ-AB1-70-SK02-160011 - Electrical I/O List for Electrical Control System (ECS)
AZ-AB1-70-SK02-160012 - Electrical I/O List for ICSS
AZ-AB1-70-SK02-160016 - Cable Schedule
AZ-AB1-70-SK02-160002 - Specifications of Main Electrical Equipments</t>
  </si>
  <si>
    <t>Main Gate House</t>
  </si>
  <si>
    <t>Part of Lighting Distribution board</t>
  </si>
  <si>
    <t>Part of Lighting
Distribution
board</t>
  </si>
  <si>
    <t>70-IG-62-0001</t>
  </si>
  <si>
    <t>400/230V Emergency L &amp; SP DB -Main Gate house - Indoor</t>
  </si>
  <si>
    <t>TNS</t>
  </si>
  <si>
    <t>GS EP ELE 137</t>
  </si>
  <si>
    <t>63A, 50Hz, 10kA for 1 sec</t>
  </si>
  <si>
    <t>Connection: (Incomer (Cable) / Outgoing (Cable))
Protections: As per Typical Protection &amp; Specs of main equipment.
No of ways / configuration. 24Way .</t>
  </si>
  <si>
    <t>GS EP ELE 001 - Electrical Design Criteria
GS EP ELE 137 - Distribution boards
AZ-AB1-70-SK02-162701 - Single Line Diagrams
AZ-AB1-70-SK02-160001 - Electrical Basis of Design
AZ-AB1-70-SK02-160002 - Specifications of Main Electrical Equipment
AZ-AB1-70-SK02-160018 - Power System Study
AZ-AB1-70-SK02-160008 - Electrical Load List
AZ-AB1-70-SK02-162001 - Substation Equipment layout</t>
  </si>
  <si>
    <t>1600 x 600 x 2000</t>
  </si>
  <si>
    <t>0.69/0.42kV Emergency L &amp; SP
Transformer - CCR - Indoor</t>
  </si>
  <si>
    <t>CCR</t>
  </si>
  <si>
    <t>400/230V Emergency L &amp; SP DB -Control Building - Indoor</t>
  </si>
  <si>
    <t>1600 x 600 x Note - 2</t>
  </si>
  <si>
    <t>70-IV-62-0004</t>
  </si>
  <si>
    <t>0.69/0.42kV Emergency L &amp; SP
Transformer - Warehouse - Indoor</t>
  </si>
  <si>
    <t>AZ-AB1-70-SK2-162007 - Typical Protection Diagrams
AZ-AB1-70-SK02-160001 - Electrical Basis of Design
AZ-AB1-70-SK02-161000 - Typical Logic Diagrams
AZ-AB1-70-SK02-160011 - Electrical I/O List for Electrical Control System (ECS)
AZ-AB1-70-SK02-160012 - Electrical I/O List for ICSS
AZ-AB1-70-SK02-160016 - Cable Schedule
AZ-AB1-70-SK02-160002 - Specifications of Main Electrical Equipments</t>
  </si>
  <si>
    <t>Warehouse</t>
  </si>
  <si>
    <t>400/230V Emergency L &amp; SP DB -Warehouse - Indoor</t>
  </si>
  <si>
    <t>0.69/0.42kV Emergency L &amp; SP
Transformer - Workshop - Indoor</t>
  </si>
  <si>
    <t>Workshop</t>
  </si>
  <si>
    <t>400/230V Emergency L &amp; SP DB -Workshop - Indoor</t>
  </si>
  <si>
    <t>0.69/0.42kV Emergency L &amp; SP
Transformer - Adminstration Building
- Indoor</t>
  </si>
  <si>
    <t>Adminstration
Building</t>
  </si>
  <si>
    <t>400/230V Emergency L &amp; SP DB -Adminstration Building - Indoor</t>
  </si>
  <si>
    <t>70-IV-62-0008</t>
  </si>
  <si>
    <t>0.69/0.42kV Emergency L &amp; SP
Transformer - Laboratory - Indoor</t>
  </si>
  <si>
    <t>Laboratory</t>
  </si>
  <si>
    <t>400/230V Emergency L &amp; SP DB -Laboratory - Indoor</t>
  </si>
  <si>
    <t>0.69/0.42kV Emergency L &amp; SP
Transformer - Main Substation -Indoor</t>
  </si>
  <si>
    <t>400/230V Emergency L &amp; SP DB -Main Substation - Indoor</t>
  </si>
  <si>
    <t>250</t>
  </si>
  <si>
    <t>250A, 50Hz, 10kA for 1 sec</t>
  </si>
  <si>
    <t>Connection: (Incomer (Cable) / Outgoing (Cable))
Protections: As per Typical Protection &amp; Specs of main equipment.
No of ways / configuration. 48Way .</t>
  </si>
  <si>
    <t>40kVA, 0.4/0.42kV, Dyn11, AN,
Dry type Transformer,
DETC +/- 5%(Steps of +/- 2.5),
Z= 4%</t>
  </si>
  <si>
    <t>70-IV-62-0010</t>
  </si>
  <si>
    <t>0.69/0.42kV Emergency L &amp; SP
Transformer - Fire Station - Indoor</t>
  </si>
  <si>
    <t>Fire Station</t>
  </si>
  <si>
    <t>400/230V Emergency L &amp; SP DB -Fire Station - Indoor</t>
  </si>
  <si>
    <t>0.69/0.42kV Emergency L &amp; SP
Transformer - ITR East - Utilities -Indoor</t>
  </si>
  <si>
    <t>ITR East - Utilities</t>
  </si>
  <si>
    <t>400/230V Emergency L &amp; SP DB -ITR East-Utilities - Indoor</t>
  </si>
  <si>
    <t>70-IV-62-0012</t>
  </si>
  <si>
    <t>0.69/0.42kV Emergency L &amp; SP
Transformer - ITR West - Process -Indoor</t>
  </si>
  <si>
    <t>ITR West - Process</t>
  </si>
  <si>
    <t>400/230V Emergency L &amp; SP DB -ITR West-Process - Indoor</t>
  </si>
  <si>
    <t>320</t>
  </si>
  <si>
    <t>320A, 50Hz, 10kA for 1 sec</t>
  </si>
  <si>
    <t>70-IV-62-0053</t>
  </si>
  <si>
    <t>0.69/0.42kV Emergency L &amp; SP
Transformer - Fence Outdoor</t>
  </si>
  <si>
    <t>Fence Outdoor</t>
  </si>
  <si>
    <t>400/230V Emergency L &amp; SP DB -Fence Outdoor</t>
  </si>
  <si>
    <t>Connection: (Incomer (Cable) / Outgoing (Cable))
Protections: As per Typical Protection &amp; Specs of main equipment.
No of ways / configuration. 36Way .</t>
  </si>
  <si>
    <t>70-IV-62-0019</t>
  </si>
  <si>
    <t>0.69/0.42kV Emergency L &amp; SP
Transformer - Process Field</t>
  </si>
  <si>
    <t>Equipment type of protection : Ex "db", IP:55
Enclosure : Encapsulated cast-resin or Vacuum Pressure impregnated
Connection : (Primary (Cable) / Secondary (Cable)
Protections: As per Typical Protection &amp; Specs of main equipment.
Equipped with Electrical and Mechanical Interlocks</t>
  </si>
  <si>
    <t>Booster / Flash
gas compressor
area</t>
  </si>
  <si>
    <t>Part of Distribution board</t>
  </si>
  <si>
    <t>Part of
Distribution
board</t>
  </si>
  <si>
    <t>400/230V Emergency L &amp; SP DB -Process - Field</t>
  </si>
  <si>
    <t>Equipment type of protection : Ex "db", IP:55
Connection: (Incomer (Cable) / Outgoing (Cable))
Protections: As per Typical Protection &amp; Specs of main equipment.
No of ways / configuration. 36Way .</t>
  </si>
  <si>
    <t>70-IV-62-0017</t>
  </si>
  <si>
    <t>0.69/0.42kV MOV Distribution Board
Transformer - CPF Outdoor -Booster compressor</t>
  </si>
  <si>
    <t>CPF - Outdoor -Booster
compressor</t>
  </si>
  <si>
    <t>Part of MOV
Distribution
board</t>
  </si>
  <si>
    <t>MOV Distribution Board - CPF
Outdoor - Booster compressor</t>
  </si>
  <si>
    <t>70-IV-62-0018</t>
  </si>
  <si>
    <t>0.69/0.42kV MOV Distribution Board
Transformer - CPF - Outdoor - Slug
Catcher</t>
  </si>
  <si>
    <t>CPF - Outdoor -Slug Catcher</t>
  </si>
  <si>
    <t>MOV Distribution Board - CPF -Outdoor - Slug Catcher</t>
  </si>
  <si>
    <t>0.4/0.42kV Normal L &amp; SP
Transformer - Main Gate House -Indoor</t>
  </si>
  <si>
    <t>70-IG-62-0054</t>
  </si>
  <si>
    <t>400/230V Normal L &amp; SP DB - Main
Gate house - Indoor</t>
  </si>
  <si>
    <t>0.4/0.42kV Normal L &amp; SP
Transformer - CCR - Indoor</t>
  </si>
  <si>
    <t>400/230V Normal L &amp; SP DB -Control Building - Indoor A</t>
  </si>
  <si>
    <t>400/230V Normal L &amp; SP DB -Control Building - Indoor B</t>
  </si>
  <si>
    <t>70-IV-62-0057A</t>
  </si>
  <si>
    <t>0.4/0.42kV Normal L &amp; SP
Transformer - Warehouse - Indoor</t>
  </si>
  <si>
    <t>400/230V Normal L &amp; SP DB -Warehouse - Indoor A</t>
  </si>
  <si>
    <t>70-IV-62-0057B</t>
  </si>
  <si>
    <t>400/230V Normal L &amp; SP DB -Warehouse - Indoor B</t>
  </si>
  <si>
    <t>0.4/0.42kV Normal L &amp; SP
Transformer - Workshop - Indoor</t>
  </si>
  <si>
    <t>400/230V Normal L &amp; SP DB -Workshop - Indoor A</t>
  </si>
  <si>
    <t>400/230V Normal L &amp; SP DB -Workshop - Indoor B</t>
  </si>
  <si>
    <t>0.4/0.42kV Normal L &amp; SP
Transformer - Adminstration Building
- Indoor</t>
  </si>
  <si>
    <t>400/230V Normal L &amp; SP DB -Adminstration Building - Indoor</t>
  </si>
  <si>
    <t>0.4/0.42kV Normal L &amp; SP
Transformer - Laboratory - Indoor</t>
  </si>
  <si>
    <t>400/230V Normal L &amp; SP DB -Laboratory - Indoor</t>
  </si>
  <si>
    <t>0.4/0.42kV Normal L &amp; SP
Transformer - Main Substation -Indoor</t>
  </si>
  <si>
    <t>400/230V Normal L &amp; SP DB - Main
Substation - Indoor A</t>
  </si>
  <si>
    <t>400/230V Normal L &amp; SP DB - Main
Substation - Indoor B</t>
  </si>
  <si>
    <t>70-IV-62-0063</t>
  </si>
  <si>
    <t>0.4/0.42kV Normal L &amp; SP
Transformer - Fire Station - Indoor</t>
  </si>
  <si>
    <t>400/230V Normal L &amp; SP DB - Fire
Station - Indoor</t>
  </si>
  <si>
    <t>0.4/0.42kV Normal L &amp; SP
Transformer - ITR East - Utilities -Indoor</t>
  </si>
  <si>
    <t>400/230V Normal L &amp; SP DB - ITR
East-Utilities - Indoor A</t>
  </si>
  <si>
    <t>400/230V Normal L &amp; SP DB - ITR
East-Utilities - Indoor B</t>
  </si>
  <si>
    <t>70-IV-62-0065A</t>
  </si>
  <si>
    <t>0.4/0.42kV Normal L &amp; SP
Transformer - ITR West - Process -Indoor</t>
  </si>
  <si>
    <t>400/230V Normal L &amp; SP DB - ITR
West-Process - Indoor A</t>
  </si>
  <si>
    <t>70-IV-62-0065B</t>
  </si>
  <si>
    <t>400/230V Normal L &amp; SP DB - ITR
West-Process - Indoor B</t>
  </si>
  <si>
    <t>70-IV-62-0066</t>
  </si>
  <si>
    <t>0.4/0.42kV Emergency L &amp; SP
Transformer - Process Field</t>
  </si>
  <si>
    <t>0.69/0.42kV Emergency Heat
Tracing Transformer - Indoor</t>
  </si>
  <si>
    <t>Primary: IT (fault limited to 150mA)
Secondary:TT</t>
  </si>
  <si>
    <t>100kVA, 0.69/0.42kV, Dyn11, AN,
Dry type Transformer,
DETC +/- 5%(Steps of +/- 2.5),
Z= 4%</t>
  </si>
  <si>
    <t>Enclosure: Encapsulated cast-resin or Vacuum Pressure impregnated
Connection: (Primary (Cable) / Secondary (Cable)
CTs &amp; VTs: As per Typical Protection &amp; Specs of main equipment.
Protections: As per Typical Protection &amp; Specs of main equipment.
Equipped with Electrical and Mechanical Interlocks</t>
  </si>
  <si>
    <t>400/230V Emergency Heat Tracing
DB - Indoor</t>
  </si>
  <si>
    <t>160</t>
  </si>
  <si>
    <t>TT</t>
  </si>
  <si>
    <t>160A, 50Hz, 10kA for 1 sec</t>
  </si>
  <si>
    <t>70-IV-65-0081</t>
  </si>
  <si>
    <t>0.69/0.42kV Emergency Heat
Tracing Transformer - Outdoor</t>
  </si>
  <si>
    <t>Booster and Flash
Gas Compressor
area</t>
  </si>
  <si>
    <t>400/230V Emergency Heat Tracing
DB - Outdoor</t>
  </si>
  <si>
    <t>70-IV-65-0082</t>
  </si>
  <si>
    <t>Slug Catcher
Vapour recovery
area</t>
  </si>
  <si>
    <t>101</t>
  </si>
  <si>
    <t>400/230V Emergency Heat Tracing -Outdoor</t>
  </si>
  <si>
    <t>102</t>
  </si>
  <si>
    <t>70-IV-65-0083</t>
  </si>
  <si>
    <t>Chemical &amp;
Utilities area</t>
  </si>
  <si>
    <t>103</t>
  </si>
  <si>
    <t>104</t>
  </si>
  <si>
    <t>70-IV-65-0084</t>
  </si>
  <si>
    <t>0.69/0.42kV Heat Tracing
Transformer - Outdoor</t>
  </si>
  <si>
    <t>100kVA, 0.4/0.42kV, Dyn11, AN,
Dry type Transformer,
DETC +/- 5%(Steps of +/- 2.5),
Z= 4%</t>
  </si>
  <si>
    <t>105</t>
  </si>
  <si>
    <t>400/230V Heat Tracing - Outdoor</t>
  </si>
  <si>
    <t>106</t>
  </si>
  <si>
    <t>70-IV-65-0085</t>
  </si>
  <si>
    <t>0.4/0.42kV Heat Tracing
Transformer - Outdoor</t>
  </si>
  <si>
    <t>107</t>
  </si>
  <si>
    <t>108</t>
  </si>
  <si>
    <t>Note 11</t>
  </si>
  <si>
    <t>Electrical control system Panel A / B-Main Substation</t>
  </si>
  <si>
    <t>0.23</t>
  </si>
  <si>
    <t>GS EP ELE 221</t>
  </si>
  <si>
    <t>Panel A
800 X 800 X 2000
Panel B
800 X 800 X 2000</t>
  </si>
  <si>
    <t>109</t>
  </si>
  <si>
    <t>Electrical control system Panel A / B-CCR</t>
  </si>
  <si>
    <t>110</t>
  </si>
  <si>
    <t>Electrical control system Panel A/B - Process ITR</t>
  </si>
  <si>
    <t>Process ITR</t>
  </si>
  <si>
    <t>111</t>
  </si>
  <si>
    <t>Electrical control system Panel A/B - Utility ITR</t>
  </si>
  <si>
    <t>Utility ITR</t>
  </si>
  <si>
    <t>112</t>
  </si>
  <si>
    <t>110V DC UPS A System</t>
  </si>
  <si>
    <t>kW</t>
  </si>
  <si>
    <t>0.11</t>
  </si>
  <si>
    <t>Unearthed (associated with insulation monitoring)</t>
  </si>
  <si>
    <t>GS EP ELE 151</t>
  </si>
  <si>
    <t>5kW, 100A with Ni-Cd battery bank, autonomy time 30 minutes.</t>
  </si>
  <si>
    <t>Industrial Type DC UPS:
Configuration: 2B-Redundant DC UPS with separate battery
(as per spec)</t>
  </si>
  <si>
    <t>GS EP ELE 001 - Electrical Design Criteria
GS EP ELE 151 - DC Uninterruptible Power Systems (UPS)
AZ-AB1-70-SK02-162701 - Single Line Diagrams
AZ-AB1-70-SK02-160001 - Electrical Basis of Design
AZ-AB1-70-SK02-160002 - Specifications of Main Electrical Equipment
AZ-AB1-70-SK02-160018 - Power System Study
AZ-AB1-70-SK02-160008 - Electrical Load List
AZ-AB1-70-SK02-162001 - Substation Equipment layout</t>
  </si>
  <si>
    <t>DC UPS
800 x 800 x 2500
Battery
2500 x 800 x 1500</t>
  </si>
  <si>
    <t>Note - 6</t>
  </si>
  <si>
    <t>113</t>
  </si>
  <si>
    <t>110V DC UPS B System</t>
  </si>
  <si>
    <t>Unearthed (associated with insulation
monitoring)</t>
  </si>
  <si>
    <t>5kW, 100A with Ni-Cd battery bank,
autonomy time 30 minutes.</t>
  </si>
  <si>
    <t>DC UPS
800 x 800 x 2500
Battery
2500 x 800 x 1500</t>
  </si>
  <si>
    <t>114</t>
  </si>
  <si>
    <t>70-GU-06-0002A / B</t>
  </si>
  <si>
    <t>230V AC UPS A/B in
Main Substation for Telecomms</t>
  </si>
  <si>
    <t>Isolated IT System</t>
  </si>
  <si>
    <t>GS EP ELE 152</t>
  </si>
  <si>
    <t>10kVA, with Ni-Cd battery bank, autonomy
time 2 Hours.
Note : Each battery bank A / B - each sized
for 100% load</t>
  </si>
  <si>
    <t>Modular Type AC UPS:
Configuration: 3b- AC UPS without External By-pass cabinet
(as per spec)</t>
  </si>
  <si>
    <t>GS EP ELE 001 - Electrical Design Criteria
GS EP ELE 152 - AC Uninterruptible Power Systems (UPS)
AZ-AB1-70-SK02-162701 - Single Line Diagrams
AZ-AB1-70-SK02-160001 - Electrical Basis of Design
AZ-AB1-70-SK02-160002 - Specifications of Main Electrical Equipment
AZ-AB1-70-SK02-160018 - Power System Study
AZ-AB1-70-SK02-160008 - Electrical Load List
AZ-AB1-70-SK02-162001 - Substation Equipment layout</t>
  </si>
  <si>
    <t>UPS A&amp;B - 2000 x 800 x 2200
Battery A - 2500 x 800 x 1500
Battery B - 2500 x 800 x 1500</t>
  </si>
  <si>
    <t>115</t>
  </si>
  <si>
    <t>70-GU-06-0003A / B</t>
  </si>
  <si>
    <t>230V AC UPS A/B in
Process - ITR for Telecomms</t>
  </si>
  <si>
    <t>Industrial Type AC UPS:
Configuration: 3D(ii)- Redundant AC UPS with common Bypass - 3 Bus
distribution panel (with ATS for single input loads) (as per spec)</t>
  </si>
  <si>
    <t>116</t>
  </si>
  <si>
    <t>70-GU-06-0004A / B</t>
  </si>
  <si>
    <t>230V AC UPS A/B in
Process - ITR for Instruments</t>
  </si>
  <si>
    <t>50kVA, with Ni-Cd battery bank, autonomy
time 30 minutes.
Note : Each battery bank A / B - each sized
for 100% load</t>
  </si>
  <si>
    <t>UPS A&amp;B - 5600 x 800 x 2200
Battery A - 5000 x 2200 x 2200
Battery B - 5000 x 2200 x 2200
Battery Isolator A - 600 x 400 x 1000
Battery Isolator B - 600 x 400 x 1000</t>
  </si>
  <si>
    <t>117</t>
  </si>
  <si>
    <t>70-GU-06-0005A / B</t>
  </si>
  <si>
    <t>230V AC UPS A/B in
Utility - ITR for Telecomms</t>
  </si>
  <si>
    <t>118</t>
  </si>
  <si>
    <t>70-GU-06-0006A / B</t>
  </si>
  <si>
    <t>230V AC UPS A/B in
Utility - ITR for Instruments</t>
  </si>
  <si>
    <t>UPS A&amp;B - 5600 x 800 x 2200
Battery A - 5000 x 1500 x 1500
Battery B - 5000 x 1500 x 1500
Battery Isolator A - 600 x 400 x 1000
Battery Isolator B - 600 x 400 x 1000</t>
  </si>
  <si>
    <t>119</t>
  </si>
  <si>
    <t>70-GU-06-0007A / B</t>
  </si>
  <si>
    <t>230V AC UPS A/B in
Control Building for Telecomms</t>
  </si>
  <si>
    <t>60kVA, with Ni-Cd battery bank, autonomy
time 30 minutes.
Note : Each battery bank A / B - each sized
for 100% load</t>
  </si>
  <si>
    <t>120</t>
  </si>
  <si>
    <t>70-GU-06-0008A / B</t>
  </si>
  <si>
    <t>230V AC UPS A/B in
Control Building for Instruments</t>
  </si>
  <si>
    <t>70kVA, with Ni-Cd battery bank, autonomy
time 30 minutes.
Note : Each battery bank A / B - each sized
for 100% load</t>
  </si>
  <si>
    <t>121</t>
  </si>
  <si>
    <t>70-GU-06-0009A / B</t>
  </si>
  <si>
    <t>230V AC UPS A/B in
Warehouse for Telecoms</t>
  </si>
  <si>
    <t>122</t>
  </si>
  <si>
    <t>70-GU-06-0010A / B</t>
  </si>
  <si>
    <t>230V AC UPS A/B in
Workshop for Telecoms</t>
  </si>
  <si>
    <t>123</t>
  </si>
  <si>
    <t>70-GU-06-0011A / B</t>
  </si>
  <si>
    <t>230V AC UPS A/B in
Adminstration Building for Telecoms</t>
  </si>
  <si>
    <t>40kVA, with Ni-Cd battery bank, autonomy
time 2 Hours.
Note : Each battery bank A / B - each sized
for 100% load</t>
  </si>
  <si>
    <t>124</t>
  </si>
  <si>
    <t>70-GU-06-0013A / B</t>
  </si>
  <si>
    <t>230V AC UPS A/B in
Fire Station for Telecoms</t>
  </si>
  <si>
    <t>Beach Valve Substation LV
11/0.42kV Emergency Transformer</t>
  </si>
  <si>
    <t>Primary: Resistance earthed (20-50A)
Secondary:IT (High Impedance earthed)
Impedance limiting earth fault to 150 mA.</t>
  </si>
  <si>
    <t>100kVA, 11/0.42kV, Dyn11, AN,
Dry type Transformer,
DETC +/- 5%(Steps of +/- 2.5),
Z= 4%</t>
  </si>
  <si>
    <t>GS EP ELE 001 - Electrical Design Criteria
GS EP ELE 141 - Dry-Type transformer
AZ-AB1-70-SK02-162007 - Typical Protection Diagrams
AZ-AB1-81-SK02-162702 - Single Line Diagrams - Beach Valve Station
AZ-AB1-70-SK02-160001 - Electrical Basis of Design
AZ-AB1-70-SK02-161000 - Typical Logic Diagrams
AZ-AB1-70-SK02-160011 - Electrical I/O List for Electrical Control System (ECS)
AZ-AB1-70-SK02-160012 - Electrical I/O List for ICSS
AZ-AB1-70-SK02-160016 - Cable Schedule
AZ-AB1-70-SK02-160002 - Specifications of Main Electrical Equipments</t>
  </si>
  <si>
    <t>Beach Valve
Station</t>
  </si>
  <si>
    <t>1000 x 800 x 1500</t>
  </si>
  <si>
    <t>81-IRR-61-0001</t>
  </si>
  <si>
    <t>Neutral Earthing Resistor for
transformer 81-IV-61-0003</t>
  </si>
  <si>
    <t>GS EP ELE 001 - Electrical Design Criteria
GS EP ELE 190 - Neutral Earthing Resistor
AZ-AB1-81-SK02-162702 - Single Line Diagrams - Beach Valve Station
AZ-AB1-70-SK02-160001 - Electrical Basis of Design
AZ-AB1-70-SK02-160018 - Power System Study
AZ-AB1-70-SK02-162005 - Electrical Room Equipment and Power Layout
Beach Valve Station</t>
  </si>
  <si>
    <t>Beach Valve Station 400V
Emergency Switchgear</t>
  </si>
  <si>
    <t>630</t>
  </si>
  <si>
    <t>IT (High Impedance earthed) Impedance
limiting earth fault to 150 mA.</t>
  </si>
  <si>
    <t>630A, 50Hz, 25kA for 1 sec.</t>
  </si>
  <si>
    <t>Insulation type : Air
Arcing Class B
Equipped with Electrical and Mechanical Interlocks
Communication Protocol: Modbus + IEC 61850
Protection: As per P&amp;M diagrams
Circuit details:
Incomer - 1 nos
Bus - tie - No
Outgoing feeders - Refer to Doc. No.AZ-AB1-70-SK02-160008 - Electrical
Load List</t>
  </si>
  <si>
    <t>GS EP ELE 001 - Electrical Design Criteria
GS EP ELE 135 - Low Voltage Switchgear and controlgear assemblies according
to IOGP S-560
AZ-AB1-81-SK02-162702 - Single Line Diagrams - Beach Valve Station
AZ-AB1-70-SK02-160001 - Electrical Basis of Design
AZ-AB1-70-SK02-160002 - Specifications of Main Electrical Equipment
AZ-AB1-70-SK02-160018 - Power System Study
AZ-AB1-70-SK02-160008 - Electrical Load List
AZ-AB1-70-SK02-162005 - Electrical Room Equipment and Power Layout
Beach Valve Station
AZ-AB1-70-SK02-162007 - Typical Protection Diagrams</t>
  </si>
  <si>
    <t>2400 x 1000 x 2200</t>
  </si>
  <si>
    <t>81-IV-62-0001</t>
  </si>
  <si>
    <t>0.4/0.42kV Emergency L &amp; SP
Transformer - Beach Valve Station -Indoor</t>
  </si>
  <si>
    <t>GS EP ELE 001 - Electrical Design Criteria
GS EP ELE 142 - Dry-Type transformer
AZ-AB1-70-SK02-162007 - Typical Protection Diagrams
AZ-AB1-70-SK02-160001 - Electrical Basis of Design
AZ-AB1-70-SK02-161000 - Typical Logic Diagrams
AZ-AB1-70-SK02-160011 - Electrical I/O List for Electrical Control System (ECS)
AZ-AB1-70-SK02-160012 - Electrical I/O List for ICSS
AZ-AB1-70-SK02-160016 - Cable Schedule
AZ-AB1-70-SK02-160002 - Specifications of Main Electrical Equipments</t>
  </si>
  <si>
    <t>400/230V Emergency L &amp; SP DB -Beach Valve ITR - Indoor</t>
  </si>
  <si>
    <t>GS EP ELE 001 - Electrical Design Criteria
GS EP ELE 137 - Distribution boards
AZ-AB1-81-SK02-162702 - Single Line Diagrams - Beach Valve Station
AZ-AB1-70-SK02-160001 - Electrical Basis of Design
AZ-AB1-70-SK02-160002 - Specifications of Main Electrical Equipment
AZ-AB1-70-SK02-160018 - Power System Study
AZ-AB1-70-SK02-160008 - Electrical Load List
AZ-AB1-70-SK02-162005 - Electrical Room Equipment and Power Layout
Beach Valve Station</t>
  </si>
  <si>
    <t>81-GU-06-0001A / B</t>
  </si>
  <si>
    <t>230V AC UPS A/B in Beach valve
Station for Telecoms</t>
  </si>
  <si>
    <t>5kVA, with Ni-Cd battery bank, autonomy
time 2 Hours.
Note : Each battery bank A / B - each sized
for 50% load</t>
  </si>
  <si>
    <t>GS EP ELE 001 - Electrical Design Criteria
GS EP ELE 152 - AC Uninterruptible Power Systems (UPS)
AZ-AB1-70-SK02-162702 - Single Line Diagrams - Beach Valve Station
AZ-AB1-70-SK02-160001 - Electrical Basis of Design
AZ-AB1-70-SK02-160002 - Specifications of Main Electrical Equipment
AZ-AB1-70-SK02-160018 - Power System Study
AZ-AB1-70-SK02-160008 - Electrical Load List
AZ-AB1-70-SK02-162005 - Electrical Room Equipment and Power Layout
Beach Valve Station</t>
  </si>
  <si>
    <t>UPS A&amp;B - 2200 x 800 x 2200
Battery A - 2000 x 1000 x 1500
Battery B - 2000 x 1000 x 1500</t>
  </si>
  <si>
    <t>81-GU-06-0002A / B</t>
  </si>
  <si>
    <t>230V AC UPS A/B in Beach valve
Station for Instruments</t>
  </si>
  <si>
    <t>Electrical control system Panel A/B -
Beach Valve station</t>
  </si>
  <si>
    <t>Panel A
800 X 800 X 2000
Panel B
800 X 800 X 2000</t>
  </si>
  <si>
    <t>BOM DESCRIPTION</t>
  </si>
  <si>
    <t>UNIT</t>
  </si>
  <si>
    <t>QUANTITY AS PER ITB</t>
  </si>
  <si>
    <t>QUANTITY SPARE</t>
  </si>
  <si>
    <t>QUANTITY ADDED AS ASSUMED</t>
  </si>
  <si>
    <t>TOTAL QTY</t>
  </si>
  <si>
    <t>WIDTH/FEEDER</t>
  </si>
  <si>
    <t>TOTAL WIDTH</t>
  </si>
  <si>
    <t>PANEL QTY</t>
  </si>
  <si>
    <t>CODE</t>
  </si>
  <si>
    <t>1.0 Active Feeders</t>
  </si>
  <si>
    <t>11kV SWGR-1001</t>
  </si>
  <si>
    <t>Incoming Bus A</t>
  </si>
  <si>
    <t>PNL</t>
  </si>
  <si>
    <t>Incoming Bus B</t>
  </si>
  <si>
    <t>Bus Tie</t>
  </si>
  <si>
    <t>PT Panel</t>
  </si>
  <si>
    <t>11kV Steam Turbine Generator Incomer Cubicle</t>
  </si>
  <si>
    <t>11kV Transformer Feeder Cubicle (per Dwg MV1)</t>
  </si>
  <si>
    <t>11kV Spare Feeder Cubicle</t>
  </si>
  <si>
    <t>DUMMY PANEL</t>
  </si>
  <si>
    <t>6.6kV SWGR-2001</t>
  </si>
  <si>
    <t>6.6kV FVNR Motor Starter Cubicle (P ≤ 1MW, per Dwg MV2) - VCU</t>
  </si>
  <si>
    <t>6.6kV FVNR Motor Starter Cubicle (P &gt; 1MW, per Dwg MV3) - VCB</t>
  </si>
  <si>
    <t>6.6kV VSD Motor Feeder Cubicle (per Dwg MV4)</t>
  </si>
  <si>
    <t>6.6kV Spare Feeder Cubicle</t>
  </si>
  <si>
    <t xml:space="preserve">   6.6kV FVNR Motor Starter Cubicle (P ≤ 1MW, per Dwg MV2) - VCU</t>
  </si>
  <si>
    <t xml:space="preserve">   6.6kV FVNR Motor Starter Cubicle (P &gt; 1MW, per Dwg MV3) - VCB</t>
  </si>
  <si>
    <t xml:space="preserve">   6.6kV VSD Motor Feeder Cubicle (per Dwg MV4)</t>
  </si>
  <si>
    <t xml:space="preserve"> PMCC-3001 A</t>
  </si>
  <si>
    <t xml:space="preserve"> PMCC-3001 Bus A</t>
  </si>
  <si>
    <t>INCOMING BUS A</t>
  </si>
  <si>
    <t>BUS TIE</t>
  </si>
  <si>
    <t>400V Air Circuit Breaker (ACB) Feeder Cubicle (per Dwg LV1)</t>
  </si>
  <si>
    <t>ACB</t>
  </si>
  <si>
    <t>400V MCCB Feeder Cubicle (I &gt; 160A WITHOUT EARTH FAULT, per Dwg LV2)</t>
  </si>
  <si>
    <t>EACH</t>
  </si>
  <si>
    <t>MCCB_1</t>
  </si>
  <si>
    <t>MCCB_2</t>
  </si>
  <si>
    <t>400V FVNR Motor Starter Cubicle (55kW &lt; P &lt; 200kW, per Dwg LV10)</t>
  </si>
  <si>
    <t>MOTOR_STARTER</t>
  </si>
  <si>
    <t>MCC_B2B</t>
  </si>
  <si>
    <t>400V MCCB Feeder for VSD Cubicle (per Dwg LV9)</t>
  </si>
  <si>
    <t>400V FVNR Motor Starter Cubicle (P ≤ 55kW, per Dwg LV11)</t>
  </si>
  <si>
    <t xml:space="preserve"> PMCC-3001 Bus B</t>
  </si>
  <si>
    <t>INCOMING BUS B</t>
  </si>
  <si>
    <t>EPMCC-3002 Bus A</t>
  </si>
  <si>
    <t>400V FVNR Motor Starter Cubicles (P ≤ 55kW)</t>
  </si>
  <si>
    <t>EPMCC-3002 Bus B</t>
  </si>
  <si>
    <t>EPMCC-3002 Bus C</t>
  </si>
  <si>
    <t>EDG Incomer</t>
  </si>
  <si>
    <t>EDG INCOMING</t>
  </si>
  <si>
    <t>EDG TIE</t>
  </si>
  <si>
    <t xml:space="preserve"> PMCC-3003 A</t>
  </si>
  <si>
    <t xml:space="preserve"> PMCC-3003 Bus A</t>
  </si>
  <si>
    <t xml:space="preserve"> PMCC-3003 Bus B</t>
  </si>
  <si>
    <t>SB-7730 A</t>
  </si>
  <si>
    <t>SB-7730 B</t>
  </si>
  <si>
    <t>8E/2</t>
  </si>
  <si>
    <r>
      <t>Spares</t>
    </r>
    <r>
      <rPr>
        <sz val="10"/>
        <color rgb="FF000000"/>
        <rFont val="Arial"/>
        <family val="2"/>
        <scheme val="minor"/>
      </rPr>
      <t xml:space="preserve">: A </t>
    </r>
    <r>
      <rPr>
        <b/>
        <sz val="10"/>
        <color rgb="FF000000"/>
        <rFont val="Arial"/>
        <family val="2"/>
        <scheme val="minor"/>
      </rPr>
      <t>10–20% spare</t>
    </r>
    <r>
      <rPr>
        <sz val="10"/>
        <color rgb="FF000000"/>
        <rFont val="Arial"/>
        <family val="2"/>
        <scheme val="minor"/>
      </rPr>
      <t xml:space="preserve"> is common in early design. Put or in to apply globally.</t>
    </r>
    <r>
      <rPr>
        <sz val="10"/>
        <color rgb="FF000000"/>
        <rFont val="Arial Unicode MS"/>
      </rPr>
      <t>0.100.20SparePct</t>
    </r>
  </si>
  <si>
    <r>
      <t>Incomers / Bus‑tie</t>
    </r>
    <r>
      <rPr>
        <sz val="10"/>
        <color rgb="FF000000"/>
        <rFont val="Arial"/>
        <family val="2"/>
        <scheme val="minor"/>
      </rPr>
      <t xml:space="preserve">: If your ACB incomers and couplers are already rows in the table (e.g., assigned ), they’re </t>
    </r>
    <r>
      <rPr>
        <b/>
        <sz val="10"/>
        <color rgb="FF000000"/>
        <rFont val="Arial"/>
        <family val="2"/>
        <scheme val="minor"/>
      </rPr>
      <t>already counted</t>
    </r>
    <r>
      <rPr>
        <sz val="10"/>
        <color rgb="FF000000"/>
        <rFont val="Arial"/>
        <family val="2"/>
        <scheme val="minor"/>
      </rPr>
      <t>. No extra adders needed.</t>
    </r>
    <r>
      <rPr>
        <sz val="10"/>
        <color rgb="FF000000"/>
        <rFont val="Arial Unicode MS"/>
      </rPr>
      <t>72E</t>
    </r>
  </si>
  <si>
    <r>
      <t>Capacity reference</t>
    </r>
    <r>
      <rPr>
        <sz val="10"/>
        <color rgb="FF000000"/>
        <rFont val="Arial"/>
        <family val="2"/>
        <scheme val="minor"/>
      </rPr>
      <t>: 1 E = 25 mm and 72 E per column face are standard ABB MNS modular dimensions. For back‑to‑back, use 144 E per section footprint (two faces).</t>
    </r>
  </si>
  <si>
    <t xml:space="preserve"> Motor Rating (kW) @ 400V </t>
  </si>
  <si>
    <t xml:space="preserve"> Max Current (A) </t>
  </si>
  <si>
    <t xml:space="preserve"> Module Size </t>
  </si>
  <si>
    <t xml:space="preserve"> Height (mm) </t>
  </si>
  <si>
    <t xml:space="preserve"> Type / Density </t>
  </si>
  <si>
    <t xml:space="preserve"> Notes </t>
  </si>
  <si>
    <t xml:space="preserve"> :--- </t>
  </si>
  <si>
    <t>M_A1</t>
  </si>
  <si>
    <t xml:space="preserve"> **0.37 – 15 kW** </t>
  </si>
  <si>
    <t xml:space="preserve"> ~32 A </t>
  </si>
  <si>
    <t xml:space="preserve"> **8E / 4** </t>
  </si>
  <si>
    <t xml:space="preserve"> 200 mm </t>
  </si>
  <si>
    <t xml:space="preserve"> **Quarter Module** </t>
  </si>
  <si>
    <t xml:space="preserve"> 4 modules fit side-by-side in one 600mm width. Maximize density (up to 32+ per col). </t>
  </si>
  <si>
    <t>M_A1, M_B1(22kW ~ 37kW)</t>
  </si>
  <si>
    <t xml:space="preserve"> **18.5 – 37 kW** </t>
  </si>
  <si>
    <t xml:space="preserve"> ~75 A </t>
  </si>
  <si>
    <t xml:space="preserve"> **8E / 2** </t>
  </si>
  <si>
    <t xml:space="preserve"> **Half Module** </t>
  </si>
  <si>
    <t xml:space="preserve"> 2 modules fit side-by-side. Good for mid-range motors. </t>
  </si>
  <si>
    <t>M_B1</t>
  </si>
  <si>
    <t xml:space="preserve"> **45 – 75 kW** </t>
  </si>
  <si>
    <t xml:space="preserve"> ~140 A </t>
  </si>
  <si>
    <t xml:space="preserve"> **8E** </t>
  </si>
  <si>
    <t xml:space="preserve"> **Full Width** </t>
  </si>
  <si>
    <t xml:space="preserve"> Occupies full 600mm width. Requires more cooling/space for breaker. </t>
  </si>
  <si>
    <t>M_B1(&lt;=110kW),M_C1 (&lt;132kW)</t>
  </si>
  <si>
    <t xml:space="preserve"> **90 – 132 kW** </t>
  </si>
  <si>
    <t xml:space="preserve"> ~250 A </t>
  </si>
  <si>
    <t xml:space="preserve"> **12E** </t>
  </si>
  <si>
    <t xml:space="preserve"> 300 mm </t>
  </si>
  <si>
    <t xml:space="preserve"> Full Width </t>
  </si>
  <si>
    <t xml:space="preserve"> Larger contactor and thermal dissipation area required. </t>
  </si>
  <si>
    <t>M_D1 (110kW ~ 200kW)</t>
  </si>
  <si>
    <t xml:space="preserve"> **160 – 200 kW** </t>
  </si>
  <si>
    <t xml:space="preserve"> ~400 A </t>
  </si>
  <si>
    <t xml:space="preserve"> **16E** </t>
  </si>
  <si>
    <t xml:space="preserve"> 400 mm </t>
  </si>
  <si>
    <t xml:space="preserve"> Heavy duty. Often the limit for standard "drawer" types. </t>
  </si>
  <si>
    <t>M_E1</t>
  </si>
  <si>
    <t xml:space="preserve"> **220 – 250 kW** </t>
  </si>
  <si>
    <t xml:space="preserve"> ~500 A </t>
  </si>
  <si>
    <t xml:space="preserve"> **24E** </t>
  </si>
  <si>
    <t xml:space="preserve"> 600 mm </t>
  </si>
  <si>
    <t xml:space="preserve"> Very large withdrawable unit or fixed plug-in design. </t>
  </si>
  <si>
    <t xml:space="preserve"> **&gt; 250 kW** </t>
  </si>
  <si>
    <t xml:space="preserve"> &gt; 500 A </t>
  </si>
  <si>
    <t xml:space="preserve"> **Full Height** </t>
  </si>
  <si>
    <t xml:space="preserve"> 1800+ mm </t>
  </si>
  <si>
    <t xml:space="preserve"> Vertical Section </t>
  </si>
  <si>
    <t xml:space="preserve"> Typically requires a dedicated vertical panel (Air Circuit Breaker or Soft Starter size). </t>
  </si>
  <si>
    <t>M_A1(&lt;22kW)</t>
  </si>
  <si>
    <t xml:space="preserve"> mid="AHU",               "M-E1",</t>
  </si>
  <si>
    <t xml:space="preserve">        AND(kw&gt;=0.37, kw&lt;=15),   "M-A1",</t>
  </si>
  <si>
    <t xml:space="preserve">        AND(kw&gt;=18.5, kw&lt;22),    "M-A1",</t>
  </si>
  <si>
    <t xml:space="preserve">        AND(kw&gt;=22, kw&lt;=37),     "M-B1",</t>
  </si>
  <si>
    <t xml:space="preserve">        AND(kw&gt;=45, kw&lt;=75),     "M-B1",</t>
  </si>
  <si>
    <t xml:space="preserve">        AND(kw&gt;=90, kw&lt;=110),    "M-B1",</t>
  </si>
  <si>
    <t xml:space="preserve">        AND(kw&gt;110, kw&lt;132),     "M-C1",</t>
  </si>
  <si>
    <t xml:space="preserve">        AND(kw&gt;=132, kw&lt;=200),   "M-D1",</t>
  </si>
  <si>
    <t xml:space="preserve">        kw&gt;200,                  "M-E1",</t>
  </si>
  <si>
    <t xml:space="preserve">        TRUE,                    "&lt;review</t>
  </si>
  <si>
    <t>Module size</t>
  </si>
  <si>
    <t>Number of poles</t>
  </si>
  <si>
    <t>I [A]</t>
  </si>
  <si>
    <t>Max. number of cables and cross section per phase [mm2]</t>
  </si>
  <si>
    <t>Max. tightening torque [Nm]</t>
  </si>
  <si>
    <t>1 x 16</t>
  </si>
  <si>
    <t>1 x 35</t>
  </si>
  <si>
    <t>4E</t>
  </si>
  <si>
    <t>1 x 25</t>
  </si>
  <si>
    <t>6E</t>
  </si>
  <si>
    <t>2 x 120 (M10x30)</t>
  </si>
  <si>
    <t>&gt;= 8E</t>
  </si>
  <si>
    <t>2 x 240 (M12x35)</t>
  </si>
  <si>
    <t>&gt;= 12E</t>
  </si>
  <si>
    <t>&gt;= 16E</t>
  </si>
  <si>
    <t>&gt;= 24E</t>
  </si>
  <si>
    <t>Equipment Type</t>
  </si>
  <si>
    <t>CKT TYPE</t>
  </si>
  <si>
    <t>SDO</t>
  </si>
  <si>
    <t>SDI</t>
  </si>
  <si>
    <t>DO</t>
  </si>
  <si>
    <t>DI</t>
  </si>
  <si>
    <t>SAO</t>
  </si>
  <si>
    <t>SAI</t>
  </si>
  <si>
    <t>AI</t>
  </si>
  <si>
    <t>AO</t>
  </si>
  <si>
    <t>QTY</t>
  </si>
  <si>
    <t>11kV Switchgear Incomer</t>
  </si>
  <si>
    <t>INC_11kV</t>
  </si>
  <si>
    <t>ECS</t>
  </si>
  <si>
    <t>11kV Bus Tie Breaker</t>
  </si>
  <si>
    <t>TIE_11kV</t>
  </si>
  <si>
    <t>11kV Emergency Diesel Generator Incomer Feeder</t>
  </si>
  <si>
    <t>GEN_TIE</t>
  </si>
  <si>
    <t>11kV Emergency Diesel Generator Package</t>
  </si>
  <si>
    <t>EDG</t>
  </si>
  <si>
    <t>11kV Switchgear Outgoing Transformer Feeder</t>
  </si>
  <si>
    <t>TR</t>
  </si>
  <si>
    <t>11kV Switchgear Outgoing Power Feeder</t>
  </si>
  <si>
    <t>FDR_11kV</t>
  </si>
  <si>
    <t>11kV Switchgear VSD Outgoing Power Feeder</t>
  </si>
  <si>
    <t>VSD_11kV</t>
  </si>
  <si>
    <t>11kV DOL Starter Motor Feeder</t>
  </si>
  <si>
    <t>DOL_11kV</t>
  </si>
  <si>
    <t>690V Switchgear Incomer</t>
  </si>
  <si>
    <t>INC_LV</t>
  </si>
  <si>
    <t>400V Switchgear Incomer</t>
  </si>
  <si>
    <t>690V Bus Tie Breaker</t>
  </si>
  <si>
    <t>TIE_LV</t>
  </si>
  <si>
    <t>400V Bus Tie Breaker</t>
  </si>
  <si>
    <t>690V Switchgear Emergency Switchgear Incomer Feeder</t>
  </si>
  <si>
    <t>INC_LV_EM</t>
  </si>
  <si>
    <t>690V Heater Panel Feeder</t>
  </si>
  <si>
    <t>H1_LV</t>
  </si>
  <si>
    <t>690V Heater and Thyristor Control Panel Feeder</t>
  </si>
  <si>
    <t>H2_LV</t>
  </si>
  <si>
    <t>690V DOL Starter (Types D1 &amp; E1)</t>
  </si>
  <si>
    <t>DOL_LV</t>
  </si>
  <si>
    <t>690V / 400V Switchgear Panel with VSD</t>
  </si>
  <si>
    <t>VSD_LV</t>
  </si>
  <si>
    <t>690V / 400V  Soft Starter</t>
  </si>
  <si>
    <t>400V DOL Starter (Type C1)</t>
  </si>
  <si>
    <t>DOL_C1_LV</t>
  </si>
  <si>
    <t>AC UPS System</t>
  </si>
  <si>
    <t>AC_UPS</t>
  </si>
  <si>
    <t>DC UPS System</t>
  </si>
  <si>
    <t>DC_UPS</t>
  </si>
  <si>
    <t>Distribution Boards and Sub-Distribution Boards</t>
  </si>
  <si>
    <t>DB</t>
  </si>
  <si>
    <t>HVAC Control Panel Interface with ECS</t>
  </si>
  <si>
    <t>HVAC</t>
  </si>
  <si>
    <t>ICSS Interface</t>
  </si>
  <si>
    <t>ICSS</t>
  </si>
  <si>
    <t>SPARE (30%)</t>
  </si>
  <si>
    <t>TOTAL FROM BREAKDOWN</t>
  </si>
  <si>
    <t>DIFF</t>
  </si>
  <si>
    <t>LOCATION: ITR PROCESS</t>
  </si>
  <si>
    <t>TOTAL</t>
  </si>
  <si>
    <t>400V Switchgear Incomer (HVAC MCC)</t>
  </si>
  <si>
    <t>LOCATION: ITR UTILITY</t>
  </si>
  <si>
    <t>LOCATION: CCR</t>
  </si>
  <si>
    <t>LOCATION: MAIN SUBSTATION</t>
  </si>
  <si>
    <t>ECS LOCATIONS</t>
  </si>
  <si>
    <t>Service</t>
  </si>
  <si>
    <t>kV</t>
  </si>
  <si>
    <t>Starter</t>
  </si>
  <si>
    <t>Duty</t>
  </si>
  <si>
    <t>Abs. kW \[A]</t>
  </si>
  <si>
    <t>Rated kW \[B]</t>
  </si>
  <si>
    <t>FLC (A)</t>
  </si>
  <si>
    <t>PF</t>
  </si>
  <si>
    <t>UF %</t>
  </si>
  <si>
    <t>E kW / kVAr</t>
  </si>
  <si>
    <t>F kW / kVAr</t>
  </si>
  <si>
    <t>S kW / kVAr</t>
  </si>
  <si>
    <t>Breaker</t>
  </si>
  <si>
    <t>70‑KA‑31‑1003</t>
  </si>
  <si>
    <t>Export Compressor – Main Motor</t>
  </si>
  <si>
    <t>VSD‑HV</t>
  </si>
  <si>
    <t>10553.61 / 2644.98</t>
  </si>
  <si>
    <t>–</t>
  </si>
  <si>
    <t>VCB</t>
  </si>
  <si>
    <t>70‑KA‑31‑2003</t>
  </si>
  <si>
    <t>70‑A‑20‑0002A (Main)</t>
  </si>
  <si>
    <t>M‑HV</t>
  </si>
  <si>
    <t>DOL</t>
  </si>
  <si>
    <t>170.21 / 105.49</t>
  </si>
  <si>
    <t>70‑A‑20‑0002B (Main)</t>
  </si>
  <si>
    <t>56.74 / 35.16</t>
  </si>
  <si>
    <t>70‑KA‑31‑1001/1002‑Main</t>
  </si>
  <si>
    <t>Flash Gas Compressor – Main Motor</t>
  </si>
  <si>
    <t>1098.95 / 681.07</t>
  </si>
  <si>
    <t>70‑PA‑01‑0002 (Main)</t>
  </si>
  <si>
    <t>98.21 / 60.87</t>
  </si>
  <si>
    <t>70‑UZ‑43‑0002</t>
  </si>
  <si>
    <t>11/0.72 kV TR for MEG Reboiler (2×100%)</t>
  </si>
  <si>
    <t>F (TR)</t>
  </si>
  <si>
    <t>3263.16 / 0.00</t>
  </si>
  <si>
    <t>70‑UZ‑43‑0002‑SP</t>
  </si>
  <si>
    <t>11/0.72 kV TR for MEG Reboiler – Spare</t>
  </si>
  <si>
    <t>326.32 / 0.00</t>
  </si>
  <si>
    <t>70‑HE‑35‑0001‑TR</t>
  </si>
  <si>
    <t>11/0.72 kV TR for Start‑up Gas Heater</t>
  </si>
  <si>
    <t>167.37 / 0.00</t>
  </si>
  <si>
    <t>VCS</t>
  </si>
  <si>
    <t>70‑IV‑61‑0001A</t>
  </si>
  <si>
    <t>11/0.72 kV TR Feeder A → 690V Normal (A)</t>
  </si>
  <si>
    <t>F (Feeder)</t>
  </si>
  <si>
    <t>—</t>
  </si>
  <si>
    <t>198.14 / 8.66</t>
  </si>
  <si>
    <t>70‑IV‑61‑0001B</t>
  </si>
  <si>
    <t>11/0.72 kV TR Feeder B → 690V Normal (B)</t>
  </si>
  <si>
    <t>322.14 / 44.46</t>
  </si>
  <si>
    <t>70‑IV‑61‑0003A</t>
  </si>
  <si>
    <t>79.26 / 28.36</t>
  </si>
  <si>
    <t>70‑IV‑61‑0003B</t>
  </si>
  <si>
    <t>70.98 / 30.08</t>
  </si>
  <si>
    <t>70‑IV‑61‑0002A</t>
  </si>
  <si>
    <t>11/0.42 kV TR Feeder A → 400V Normal (A)</t>
  </si>
  <si>
    <t>49.51 / 32.78</t>
  </si>
  <si>
    <t>70‑IV‑61‑0002B</t>
  </si>
  <si>
    <t>11/0.42 kV TR Feeder B → 400V Normal (B)</t>
  </si>
  <si>
    <t>37.55 / 24.15</t>
  </si>
  <si>
    <t>Incomer 1</t>
  </si>
  <si>
    <t>Incomer 2</t>
  </si>
  <si>
    <t>Equipped Spare 1</t>
  </si>
  <si>
    <t>Equipped  Spare 2</t>
  </si>
  <si>
    <t>Calculation for 4000A  Breaker by Interpolation</t>
  </si>
  <si>
    <t xml:space="preserve">Given as per table: </t>
  </si>
  <si>
    <t>Q4k</t>
  </si>
  <si>
    <t>(4000/3000)^2 x 2500</t>
  </si>
  <si>
    <t>tr</t>
  </si>
  <si>
    <t>Q630</t>
  </si>
  <si>
    <t>(630/1200)^2 x 250</t>
  </si>
  <si>
    <t>Abs. kW [A]</t>
  </si>
  <si>
    <t>Rated kW [B]</t>
  </si>
  <si>
    <t>Eff %</t>
  </si>
  <si>
    <t>BREAKER</t>
  </si>
  <si>
    <t>Heat Dissipation</t>
  </si>
  <si>
    <t>BUS A</t>
  </si>
  <si>
    <t>BUS B</t>
  </si>
  <si>
    <t>30% SPARE</t>
  </si>
  <si>
    <t>400V Air Circuit Breaker(ACB) Feeder Cubicle (per Dwg LV1)</t>
  </si>
  <si>
    <t>72E</t>
  </si>
  <si>
    <t>Total Heat Dissipation</t>
  </si>
  <si>
    <t>CANCELLED</t>
  </si>
  <si>
    <t>TARGET</t>
  </si>
  <si>
    <t>SAVED SPACE</t>
  </si>
  <si>
    <t>MCC(single)</t>
  </si>
  <si>
    <t>NER PANEL</t>
  </si>
  <si>
    <t>M-HV → HV DOL motor starter</t>
  </si>
  <si>
    <t>M-A1/B1/C1/D1/E1 → LV DOL motor starter</t>
  </si>
  <si>
    <t>VSD-HV → HV VSD / Soft Starter</t>
  </si>
  <si>
    <t>VSD-G1 / VSD-G2 → LV VSD / Soft Starter</t>
  </si>
  <si>
    <t>Full Panel</t>
  </si>
  <si>
    <t>F / P → Circuit breaker feeder</t>
  </si>
  <si>
    <t>L → Lighting load</t>
  </si>
  <si>
    <t>U → UPS feeder</t>
  </si>
  <si>
    <t>H → Heater load</t>
  </si>
  <si>
    <t>70-A-20-0002A -Main Oil Pump</t>
  </si>
  <si>
    <t>70-A-20-0002B -Main Oil Pump</t>
  </si>
  <si>
    <t>70-A-20-0002A -Aux Oil Pump</t>
  </si>
  <si>
    <t>70-A-20-0002B -Aux Oil Pump</t>
  </si>
  <si>
    <t>70-A-20-0002A -Lube Oil Heater</t>
  </si>
  <si>
    <t>70-A-20-0002B -Lube Oil Heater</t>
  </si>
  <si>
    <t>70-UA-07-0001A-Cooling Fan Motor 1 (50% x 3)</t>
  </si>
  <si>
    <t>70-UA-07-0001A-Cooling Fan Motor 2 (50% x 3)</t>
  </si>
  <si>
    <t>70-UA-07-0001A-Cooling Fan Motor 3 (50% x 3)</t>
  </si>
  <si>
    <t>70-UA-07-0001B-Cooling Fan Motor 1 (50% x 3)</t>
  </si>
  <si>
    <t>70-UA-07-0001B-Cooling Fan Motor 2 (50% x 3)</t>
  </si>
  <si>
    <t>70-UA-07-0001B-Cooling Fan Motor 3 (50% x 3)</t>
  </si>
  <si>
    <t>70-UA-07-0001C-Cooling Fan Motor 1 (50% x 3)</t>
  </si>
  <si>
    <t>70-UA-07-0001C-Cooling Fan Motor 2 (50% x 3)</t>
  </si>
  <si>
    <t>70-UA-07-0001C-Cooling Fan Motor 3 (50% x 3)</t>
  </si>
  <si>
    <t>70-JC-78-0001</t>
  </si>
  <si>
    <t>70-JD-78-0008</t>
  </si>
  <si>
    <t>MCC(SINGLE FRONT)</t>
  </si>
  <si>
    <t>RELOCATE TO 11kV</t>
  </si>
  <si>
    <t>PFC PANEL</t>
  </si>
  <si>
    <t> </t>
  </si>
  <si>
    <t xml:space="preserve">11kV Switchgear (MR: XXX-MR-EL-001)  </t>
  </si>
  <si>
    <t>Metal-clad, AIS, Single Busbar, Single Tier, Single Front, VCB(Withdrawable - LSC2B-PM),
'Equipped with Electrical and Mechanical Interlocks and Surge arrestors, IAC type : AFLR
Communication Protocol: Modbus + IEC 61850, Protection Relays : Digital.As per P&amp;M diagrams</t>
  </si>
  <si>
    <t xml:space="preserve">Indoor Installation, Free-standing, IP21 / IK08, 25ºC Ambient Temperature.  Min.  25 years design life for all components. </t>
  </si>
  <si>
    <t>Mandatory labelling: All MV/HV equipment in English and Azerbaijani. 'ACCESSORIES: 1 x HV Truck</t>
  </si>
  <si>
    <t>- 70-IJ-61-0001 (11kV, 3ph, 3wire, 4000A, 50Hz, 40kA for 1sec)</t>
  </si>
  <si>
    <t>25300(W) x 1455(D) x 2696(H)</t>
  </si>
  <si>
    <t>ECS (ELECTRICAL CONTROL SYSTEM)</t>
  </si>
  <si>
    <t>2.4.1</t>
  </si>
  <si>
    <t>ECS Control Panel</t>
  </si>
  <si>
    <t xml:space="preserve">Free standing, Indoor Installation, IP 21, 25ºC Ambient Temperature, Bottom cable entry
SM/MM Fiber Optic Patch Box, Ethernet Switch, Hardwire IO Module, Redundant Servers, PLCs
</t>
  </si>
  <si>
    <t xml:space="preserve">Network Attached Storage (NAS), Data Historian for 5-year storage + archiving (PI Server),
Redundant power supply modules, 'Cybersecurity hardware/software, NTP signal provided by ICSS
</t>
  </si>
  <si>
    <t xml:space="preserve"> - XXXXXXX (TBA), Main Substation, Dimension: 800(W) x 800(D) x 2200(H)</t>
  </si>
  <si>
    <t>SET</t>
  </si>
  <si>
    <t xml:space="preserve"> - XXXXXXX (TBA), Beach Valve Station, Dimension: 800(W) x 800(D) x 2200(H)</t>
  </si>
  <si>
    <t>For Each Equipment: 800(W) x 800(D) x 2200(H)</t>
  </si>
  <si>
    <t>2.4.2</t>
  </si>
  <si>
    <t>ECS Workstation + Printer</t>
  </si>
  <si>
    <t xml:space="preserve"> - XXXXXXX (TBA), Main Substation &amp; CCR, Dimension: 800(W) x 800(D) x 2200(H)</t>
  </si>
  <si>
    <t>2.4.3</t>
  </si>
  <si>
    <t>Portable Maintenance PCs (17” Maintenance Laptop) c/w necessary software for diagnostics and configuration</t>
  </si>
  <si>
    <t xml:space="preserve">LV Switchgear (MR: XXX-MR-EL-001)  </t>
  </si>
  <si>
    <t>690V  and 400V Switchgear/MCC</t>
  </si>
  <si>
    <t xml:space="preserve">Metal Enclosed, AIS, Single Busbar, ACB(Single Tier), LV MCC(Single Tier), Single Front, Form 4B, 
Withdrawable, Indoor Installation, Free-standing, IIP21 / IK08, 25ºC Ambient Temperature.
</t>
  </si>
  <si>
    <t>Arcing Class B, Withdrawable - LSC2B-PM, Electrical and Mechanical Interlocks, 
Communication Protocol: Modbus + IEC 61850, Protection: As per P&amp;M diagrams</t>
  </si>
  <si>
    <t>- 70-IK-61-0001 (690V, 3ph, 4wire, 4000A, 50Hz, 80kA for 1sec)</t>
  </si>
  <si>
    <t>21000(W) x 1000(D) x 2200(H)</t>
  </si>
  <si>
    <t>- 70-IK-61-0003 (690V, 3ph, 4wire, 4000A, 50Hz, 80kA for 1sec)</t>
  </si>
  <si>
    <t>8600(W) x 1000(D) x 2200(H)</t>
  </si>
  <si>
    <t>- 70-IK-61-0002 (400V, 3ph, 4wire, 4000A, 50Hz, 80kA for 1sec)</t>
  </si>
  <si>
    <t>16600(W) x 1000(D) x 2500(H)</t>
  </si>
  <si>
    <t>- 81-1K-61-0001 (400V, 3ph, 4wire, 160A OR 630A, 50Hz, 25kA for 1sec)</t>
  </si>
  <si>
    <t>2400(W) x 1000(D) x 2200(H)</t>
  </si>
  <si>
    <t>400V BUS DUCT</t>
  </si>
  <si>
    <t>Non-segregated phase busduct(NSPB), air insulated, totally metal enclosed and self-cooled.</t>
  </si>
  <si>
    <t>IP 55, 40ºC Ambient Temperature</t>
  </si>
  <si>
    <t>Rain/Sun Canopy for Outdoor Busduct, Wall penetration fitting &amp; busduct support material including outdoor steel frame/structure</t>
  </si>
  <si>
    <t>Termination flange at transformer &amp; switchgear end</t>
  </si>
  <si>
    <t>3.5.1</t>
  </si>
  <si>
    <t>Tag No. 70-BDU-61-0001A/B (0.72kV, 3ph, 4wire, 4000A, 50Hz, 80kA for 1sec)</t>
  </si>
  <si>
    <t>Straight: 26meter, Horizontal Bend: 2EA, Vertical Bend: 4EA</t>
  </si>
  <si>
    <t xml:space="preserve"> Dimension: 485(W) x 555(D)</t>
  </si>
  <si>
    <t>3.5.2</t>
  </si>
  <si>
    <r>
      <t>70-BDU-61-0001B</t>
    </r>
    <r>
      <rPr>
        <sz val="10"/>
        <color rgb="FF000000"/>
        <rFont val="Arial"/>
        <family val="2"/>
        <scheme val="minor"/>
      </rPr>
      <t xml:space="preserve"> (0.72kV, 3ph, 4wire, 4000A, 50Hz, 80kA for 1sec)</t>
    </r>
  </si>
  <si>
    <r>
      <t xml:space="preserve">Straight: </t>
    </r>
    <r>
      <rPr>
        <b/>
        <sz val="10"/>
        <color rgb="FF000000"/>
        <rFont val="Arial"/>
        <family val="2"/>
        <scheme val="minor"/>
      </rPr>
      <t>35 meter</t>
    </r>
    <r>
      <rPr>
        <sz val="10"/>
        <color rgb="FF000000"/>
        <rFont val="Arial"/>
        <family val="2"/>
        <scheme val="minor"/>
      </rPr>
      <t xml:space="preserve">, Horizontal Bend: </t>
    </r>
    <r>
      <rPr>
        <b/>
        <sz val="10"/>
        <color rgb="FF000000"/>
        <rFont val="Arial"/>
        <family val="2"/>
        <scheme val="minor"/>
      </rPr>
      <t>2 EA</t>
    </r>
    <r>
      <rPr>
        <sz val="10"/>
        <color rgb="FF000000"/>
        <rFont val="Arial"/>
        <family val="2"/>
        <scheme val="minor"/>
      </rPr>
      <t xml:space="preserve">, Vertical Bend: </t>
    </r>
    <r>
      <rPr>
        <b/>
        <sz val="10"/>
        <color rgb="FF000000"/>
        <rFont val="Arial"/>
        <family val="2"/>
        <scheme val="minor"/>
      </rPr>
      <t>4 EA</t>
    </r>
  </si>
  <si>
    <r>
      <t xml:space="preserve">Dimension: </t>
    </r>
    <r>
      <rPr>
        <b/>
        <sz val="10"/>
        <color rgb="FF000000"/>
        <rFont val="Arial"/>
        <family val="2"/>
        <scheme val="minor"/>
      </rPr>
      <t>485(W) x 555(D)</t>
    </r>
  </si>
  <si>
    <t>3.5.3</t>
  </si>
  <si>
    <r>
      <t>70-BDU-61-0001C</t>
    </r>
    <r>
      <rPr>
        <sz val="10"/>
        <color rgb="FF000000"/>
        <rFont val="Arial"/>
        <family val="2"/>
        <scheme val="minor"/>
      </rPr>
      <t xml:space="preserve"> (0.72kV, 3ph, 4wire, 2500A, 50Hz, 80kA for 1sec)</t>
    </r>
  </si>
  <si>
    <r>
      <t xml:space="preserve">Straight: </t>
    </r>
    <r>
      <rPr>
        <b/>
        <sz val="10"/>
        <color rgb="FF000000"/>
        <rFont val="Arial"/>
        <family val="2"/>
        <scheme val="minor"/>
      </rPr>
      <t>15 meter</t>
    </r>
    <r>
      <rPr>
        <sz val="10"/>
        <color rgb="FF000000"/>
        <rFont val="Arial"/>
        <family val="2"/>
        <scheme val="minor"/>
      </rPr>
      <t xml:space="preserve">, Horizontal Bend: </t>
    </r>
    <r>
      <rPr>
        <b/>
        <sz val="10"/>
        <color rgb="FF000000"/>
        <rFont val="Arial"/>
        <family val="2"/>
        <scheme val="minor"/>
      </rPr>
      <t>2 EA</t>
    </r>
    <r>
      <rPr>
        <sz val="10"/>
        <color rgb="FF000000"/>
        <rFont val="Arial"/>
        <family val="2"/>
        <scheme val="minor"/>
      </rPr>
      <t xml:space="preserve">, Vertical Bend: </t>
    </r>
    <r>
      <rPr>
        <b/>
        <sz val="10"/>
        <color rgb="FF000000"/>
        <rFont val="Arial"/>
        <family val="2"/>
        <scheme val="minor"/>
      </rPr>
      <t>4 EA</t>
    </r>
  </si>
  <si>
    <t>3.5.4</t>
  </si>
  <si>
    <r>
      <t>70-BDU-61-0003A</t>
    </r>
    <r>
      <rPr>
        <sz val="10"/>
        <color rgb="FF000000"/>
        <rFont val="Arial"/>
        <family val="2"/>
        <scheme val="minor"/>
      </rPr>
      <t xml:space="preserve"> (0.72kV, 3ph, 4wire, 4000A, 50Hz, 80kA for 1sec)</t>
    </r>
  </si>
  <si>
    <t>3.5.5</t>
  </si>
  <si>
    <r>
      <t>70-BDU-61-0003B</t>
    </r>
    <r>
      <rPr>
        <sz val="10"/>
        <color rgb="FF000000"/>
        <rFont val="Arial"/>
        <family val="2"/>
        <scheme val="minor"/>
      </rPr>
      <t xml:space="preserve"> (0.72kV, 3ph, 4wire, 4000A, 50Hz, 80kA for 1sec)</t>
    </r>
  </si>
  <si>
    <r>
      <t xml:space="preserve">Straight: </t>
    </r>
    <r>
      <rPr>
        <b/>
        <sz val="10"/>
        <color rgb="FF000000"/>
        <rFont val="Arial"/>
        <family val="2"/>
        <scheme val="minor"/>
      </rPr>
      <t>16 meter</t>
    </r>
    <r>
      <rPr>
        <sz val="10"/>
        <color rgb="FF000000"/>
        <rFont val="Arial"/>
        <family val="2"/>
        <scheme val="minor"/>
      </rPr>
      <t xml:space="preserve">, Horizontal Bend: </t>
    </r>
    <r>
      <rPr>
        <b/>
        <sz val="10"/>
        <color rgb="FF000000"/>
        <rFont val="Arial"/>
        <family val="2"/>
        <scheme val="minor"/>
      </rPr>
      <t>2 EA</t>
    </r>
    <r>
      <rPr>
        <sz val="10"/>
        <color rgb="FF000000"/>
        <rFont val="Arial"/>
        <family val="2"/>
        <scheme val="minor"/>
      </rPr>
      <t xml:space="preserve">, Vertical Bend: </t>
    </r>
    <r>
      <rPr>
        <b/>
        <sz val="10"/>
        <color rgb="FF000000"/>
        <rFont val="Arial"/>
        <family val="2"/>
        <scheme val="minor"/>
      </rPr>
      <t>4 EA</t>
    </r>
  </si>
  <si>
    <t>3.5.6</t>
  </si>
  <si>
    <r>
      <t>70-BDU-61-0002A</t>
    </r>
    <r>
      <rPr>
        <sz val="10"/>
        <color rgb="FF000000"/>
        <rFont val="Arial"/>
        <family val="2"/>
        <scheme val="minor"/>
      </rPr>
      <t xml:space="preserve"> (400V, 3ph, 4wire, 4000A, 50Hz, 80kA for 1sec)</t>
    </r>
  </si>
  <si>
    <r>
      <t xml:space="preserve">Straight: </t>
    </r>
    <r>
      <rPr>
        <b/>
        <sz val="10"/>
        <color rgb="FF000000"/>
        <rFont val="Arial"/>
        <family val="2"/>
        <scheme val="minor"/>
      </rPr>
      <t>14 meter</t>
    </r>
    <r>
      <rPr>
        <sz val="10"/>
        <color rgb="FF000000"/>
        <rFont val="Arial"/>
        <family val="2"/>
        <scheme val="minor"/>
      </rPr>
      <t xml:space="preserve">, Horizontal Bend: </t>
    </r>
    <r>
      <rPr>
        <b/>
        <sz val="10"/>
        <color rgb="FF000000"/>
        <rFont val="Arial"/>
        <family val="2"/>
        <scheme val="minor"/>
      </rPr>
      <t>2 EA</t>
    </r>
    <r>
      <rPr>
        <sz val="10"/>
        <color rgb="FF000000"/>
        <rFont val="Arial"/>
        <family val="2"/>
        <scheme val="minor"/>
      </rPr>
      <t xml:space="preserve">, Vertical Bend: </t>
    </r>
    <r>
      <rPr>
        <b/>
        <sz val="10"/>
        <color rgb="FF000000"/>
        <rFont val="Arial"/>
        <family val="2"/>
        <scheme val="minor"/>
      </rPr>
      <t>4 EA</t>
    </r>
  </si>
  <si>
    <t>3.5.9</t>
  </si>
  <si>
    <r>
      <t>70-BDU-61-0002B</t>
    </r>
    <r>
      <rPr>
        <sz val="10"/>
        <color rgb="FF000000"/>
        <rFont val="Arial"/>
        <family val="2"/>
        <scheme val="minor"/>
      </rPr>
      <t xml:space="preserve"> (400V, 3ph, 4wire, 4000A, 50Hz, 80kA for 1sec)</t>
    </r>
  </si>
  <si>
    <t>✅ Assumptions:</t>
  </si>
  <si>
    <t>Switchgear footprint:</t>
  </si>
  <si>
    <t>Width (W) = 25,300 mm = 25.3 m</t>
  </si>
  <si>
    <t>Depth (D) = 1,455 mm = 1.455 m</t>
  </si>
  <si>
    <t>Clearance around equipment:</t>
  </si>
  <si>
    <t>Let’s assume 0.3 m on all sides (typical safety clearance).</t>
  </si>
  <si>
    <t>✅ Formula for Mat Dimensions:</t>
  </si>
  <si>
    <t>Mat Width=W+2×Side Clearance\text{Mat Width} = W + 2 \times \text{Side Clearance}Mat Width=W+2×Side Clearance</t>
  </si>
  <si>
    <t>Mat Depth=D+2×Front/Rear Clearance\text{Mat Depth} = D + 2 \times \text{Front/Rear Clearance}Mat Depth=D+2×Front/Rear Clearance</t>
  </si>
  <si>
    <t>✅ Calculation:</t>
  </si>
  <si>
    <t>Mat Width=25.3+(2×0.3)=25.9 m\text{Mat Width} = 25.3 + (2 \times 0.3) = 25.9 \text{ m}Mat Width=25.3+(2×0.3)=25.9 m</t>
  </si>
  <si>
    <t>Mat Depth=1.455+(2×0.3)=2.055 m\text{Mat Depth} = 1.455 + (2 \times 0.3) = 2.055 \text{ m}Mat Depth=1.455+(2×0.3)=2.055 m</t>
  </si>
  <si>
    <t>Final Mat Size = 25.9 m × 2.055 m</t>
  </si>
  <si>
    <t>That’s a continuous mat around the entire switchgear footprint.</t>
  </si>
  <si>
    <t>If you want full perimeter coverage (like a walkway around), we’d calculate the total perimeter length and mat strip width. For example:</t>
  </si>
  <si>
    <t>Perimeter=2(W+D)=2(25.3+1.455)=53.51 m\text{Perimeter} = 2(W + D) = 2(25.3 + 1.455) = 53.51 \text{ m}Perimeter=2(W+D)=2(25.3+1.455)=53.51 m</t>
  </si>
  <si>
    <t>So, you’d need 53.5 m of mat strips (e.g., 1 m wide) to go around.</t>
  </si>
  <si>
    <t>with 30% spare length</t>
  </si>
  <si>
    <t>meters</t>
  </si>
  <si>
    <t>Switchgear</t>
  </si>
  <si>
    <t>Mat Width (m)</t>
  </si>
  <si>
    <t>Mat Depth (m)</t>
  </si>
  <si>
    <t>Perimeter (m)</t>
  </si>
  <si>
    <t>✅ Interpretation:</t>
  </si>
  <si>
    <r>
      <t>Mat Width &amp; Depth</t>
    </r>
    <r>
      <rPr>
        <sz val="10"/>
        <color rgb="FF000000"/>
        <rFont val="Arial"/>
        <family val="2"/>
        <scheme val="minor"/>
      </rPr>
      <t xml:space="preserve"> = Equipment footprint + 0.3 m clearance on all sides.</t>
    </r>
  </si>
  <si>
    <r>
      <t>Perimeter</t>
    </r>
    <r>
      <rPr>
        <sz val="10"/>
        <color rgb="FF000000"/>
        <rFont val="Arial"/>
        <family val="2"/>
        <scheme val="minor"/>
      </rPr>
      <t xml:space="preserve"> = Total length if you want a walkway mat around the equipment.</t>
    </r>
  </si>
  <si>
    <t>150 meters</t>
  </si>
  <si>
    <t>TAG STATUS
O - Operational
V- Void</t>
  </si>
  <si>
    <t>WBS</t>
  </si>
  <si>
    <t>Sector code</t>
  </si>
  <si>
    <t>System and sub system code</t>
  </si>
  <si>
    <t>Sequential Serial Number</t>
  </si>
  <si>
    <t>Suffix</t>
  </si>
  <si>
    <t>Equipment Tag</t>
  </si>
  <si>
    <t>PROCESS OE CODE</t>
  </si>
  <si>
    <t>OWNER OE CODE</t>
  </si>
  <si>
    <t>3D MODEL OE CODE</t>
  </si>
  <si>
    <t>PARENT TAG</t>
  </si>
  <si>
    <t>Discipline Code</t>
  </si>
  <si>
    <t>Equipment Type2</t>
  </si>
  <si>
    <t>Operational Arrangement</t>
  </si>
  <si>
    <t>Continuous
or
Intermittent</t>
  </si>
  <si>
    <t>Rated Duty
(kW)</t>
  </si>
  <si>
    <t>Rated Flowrate
(m³/h)</t>
  </si>
  <si>
    <t>Rated Flowrate
(MMscfd)</t>
  </si>
  <si>
    <t>Rated Flowrate
(kg/h)</t>
  </si>
  <si>
    <t>Capacity
(m³)</t>
  </si>
  <si>
    <t>MIN Operating
Pressure
(barg)</t>
  </si>
  <si>
    <t>MAX Operating
Pressure
(barg)</t>
  </si>
  <si>
    <t>MIN Operating Temperature
(°C)</t>
  </si>
  <si>
    <t>MAX Operating
Temperature
(°C)</t>
  </si>
  <si>
    <t>MIN Design
Pressure
(barg)</t>
  </si>
  <si>
    <t>MAX Design
Pressure
(barg)</t>
  </si>
  <si>
    <t>MIN Design
Temperature
(°C)</t>
  </si>
  <si>
    <t>MAX Design
Temperature
(°C)</t>
  </si>
  <si>
    <t>Absorbed
Electrical Power
(kW)</t>
  </si>
  <si>
    <t>Driver Rated
Power
(kW)</t>
  </si>
  <si>
    <t>Emergency Load</t>
  </si>
  <si>
    <t>Length / T-T
(m)</t>
  </si>
  <si>
    <t>Width / Diameter
(m)</t>
  </si>
  <si>
    <t>Height / T-T
(m)</t>
  </si>
  <si>
    <t>Dry Weight
(kg)</t>
  </si>
  <si>
    <t>Operating Weight
(kg)</t>
  </si>
  <si>
    <t>PFD/UFD Reference</t>
  </si>
  <si>
    <t>Material</t>
  </si>
  <si>
    <t>Notes</t>
  </si>
  <si>
    <t>O</t>
  </si>
  <si>
    <t>S11</t>
  </si>
  <si>
    <t>VP</t>
  </si>
  <si>
    <t>0001</t>
  </si>
  <si>
    <t>70-VP-10-0001</t>
  </si>
  <si>
    <t>Inlet Pig Receiver</t>
  </si>
  <si>
    <t>ME</t>
  </si>
  <si>
    <t>Pig Trap</t>
  </si>
  <si>
    <t>1 x 100%</t>
  </si>
  <si>
    <t>Intermittent</t>
  </si>
  <si>
    <t>176</t>
  </si>
  <si>
    <t>-8</t>
  </si>
  <si>
    <t>FV</t>
  </si>
  <si>
    <t>526</t>
  </si>
  <si>
    <t>-46</t>
  </si>
  <si>
    <t>N/A</t>
  </si>
  <si>
    <t>No</t>
  </si>
  <si>
    <t>18" ID
(Minor) &amp;
20" ID
(Major)</t>
  </si>
  <si>
    <t>20800</t>
  </si>
  <si>
    <t>23400</t>
  </si>
  <si>
    <t>AZ-AB1-70-SK02-401101</t>
  </si>
  <si>
    <t>LTCS + 3mm CA
+ 316 overlay door seals</t>
  </si>
  <si>
    <t>Pig Receiver
18" pipeline
Note: Hot condensate at 90°C will be used for wax removal at the end of the
pigging operation.
Weight &amp; Dimension based on preliminary calculation and as per Datasheet.</t>
  </si>
  <si>
    <t>VZ</t>
  </si>
  <si>
    <t>1001</t>
  </si>
  <si>
    <t>70-VZ-11-1001</t>
  </si>
  <si>
    <t>Slug Catcher</t>
  </si>
  <si>
    <t>Pressure Vessel</t>
  </si>
  <si>
    <t>2 x 50%</t>
  </si>
  <si>
    <t>Continuous</t>
  </si>
  <si>
    <t>Liq: 222139
Gas:
373456
Aque: 8095</t>
  </si>
  <si>
    <t>675</t>
  </si>
  <si>
    <t>-12</t>
  </si>
  <si>
    <t>-35</t>
  </si>
  <si>
    <t>130</t>
  </si>
  <si>
    <t>1800000</t>
  </si>
  <si>
    <t>Inlet: LTCS + 3mm CA
Water Outlet: LTCS + 6mm CA
Gas Outlet: LTCS + 3mm CA
Condensate Outlet: LTCS + 6mm CA
Fingers: LTCS + 3mm CA</t>
  </si>
  <si>
    <t>Finger Type 8 x 48".
Dimensions are based on Process calculations, Vendor to Confirm.
Overall Linear Length = 130m, including 10m for inlet distribution piping and
120m combined linear finger and manifold length.
Overall Width for both Slug Catchers = 42m, including 4m gap between the slug
catchers.
Dry weight includes 6mm CA for manifolds and all loose fittings, loose pipes,
prefabricated spools and manifolds.
675 m³ slug volume
Design Code ASME B 31.8
Both slug catchers are in operation (2 x 50%) during normal operation and
pigging. Post pigging, one slug catcher taken out of service for wax removal and
other slug catcher operating at 100% capacity. Operation repeated for the
second slug catcher and then returned to normal operation.
Note: Post-pigging, hot condensate at 90°C will be circulated through the slug
catcher until the outlet temperature reaches 41°C for wax removal.</t>
  </si>
  <si>
    <t>2001</t>
  </si>
  <si>
    <t>70-VZ-11-2001</t>
  </si>
  <si>
    <t>ES</t>
  </si>
  <si>
    <t>70-ES-20-0001</t>
  </si>
  <si>
    <t>Condensate Heater</t>
  </si>
  <si>
    <t>Shell and Tube
Exchanger</t>
  </si>
  <si>
    <t>11373</t>
  </si>
  <si>
    <t>664.5
(Tube)
119.12
(Shell)</t>
  </si>
  <si>
    <t>74.47
(Tube)
82.16
(Shell)</t>
  </si>
  <si>
    <t>419432
(Tube)
114278
(Shell)</t>
  </si>
  <si>
    <t>4.2 (Tube)
6.9 (Shell)</t>
  </si>
  <si>
    <t>10.6 (Shell)
54.40
(Tube)</t>
  </si>
  <si>
    <t>16 (Shell)
63.40
(Tube)</t>
  </si>
  <si>
    <t>65 (Shell)
-11.25
(Tube)</t>
  </si>
  <si>
    <t>150 (Shell)
50.2 (Tube)</t>
  </si>
  <si>
    <t>44 (Shell)
57 (Tube)</t>
  </si>
  <si>
    <t>-12 (Shell)
-46 (Tube)</t>
  </si>
  <si>
    <t>165 (Shell)
150 (Tube)</t>
  </si>
  <si>
    <t>8.534
(Tube)
10.7
(Overall)</t>
  </si>
  <si>
    <t>1.5</t>
  </si>
  <si>
    <t>2.2</t>
  </si>
  <si>
    <t>32000</t>
  </si>
  <si>
    <t>43000</t>
  </si>
  <si>
    <t>Shell: CS + 3mm CA
Tubes: 316/316L
Tubesheet: CS +3mm CA + 316L
Clad Tubeside
Channel: LTCS + 3mm CA</t>
  </si>
  <si>
    <t>No.1 Shell and Tube
BEU TEMA Type
Weight (dry) includes shell and bundle.
Shell ID 1.20m / Tube Length 8.534m.
Total Heat Transfer Area 720.14 m2.</t>
  </si>
  <si>
    <t>0003</t>
  </si>
  <si>
    <t>70-ES-20-0003A</t>
  </si>
  <si>
    <t>Condensate Recycle Heater</t>
  </si>
  <si>
    <t>2010.2</t>
  </si>
  <si>
    <t>230 (Tube)
42.1 (Shell)</t>
  </si>
  <si>
    <t>25.78
(Tube)
29.04
(Shell)</t>
  </si>
  <si>
    <t>177850
(Tube)
40395
(Shell)</t>
  </si>
  <si>
    <t>0.79 (Tube)
2.1 (Shell)</t>
  </si>
  <si>
    <t>10.6 (Shell)
59 (Tube)</t>
  </si>
  <si>
    <t>16 (Shell)
54 (Tube)</t>
  </si>
  <si>
    <t>65 (Shell)
48.9 (Tube)</t>
  </si>
  <si>
    <t>150 (Shell)
90 (Tube)</t>
  </si>
  <si>
    <t>FV (Shell)
FV (Tube)</t>
  </si>
  <si>
    <t>52 (Shell)
67 (Tube)</t>
  </si>
  <si>
    <t>-12 (Shell)
-12 (Tube)</t>
  </si>
  <si>
    <t>165 (Shell)
105 (Tube)</t>
  </si>
  <si>
    <t>5.0
(Tube)
6.143
(Overall)</t>
  </si>
  <si>
    <t>1.0</t>
  </si>
  <si>
    <t>1.7</t>
  </si>
  <si>
    <t>10500</t>
  </si>
  <si>
    <t>13500</t>
  </si>
  <si>
    <t>AZ-AB1-70-SK02-401102</t>
  </si>
  <si>
    <t>Shell: CS+3mm CA
Channel:CS+3mm CA
Tubesheet: CS clad 316L Tubeside
Tubes:316/316L</t>
  </si>
  <si>
    <t>No.2 Shell and Tube arranged in series: 70-ES-20-0003 A / B.
DEU TEMA Type
Weight (dry) includes shell and bundle.
Shell ID 0.840m / Tube Length 5m.
Heat Transfer Area 208.92 m2 each shell</t>
  </si>
  <si>
    <t>70-ES-20-0003B</t>
  </si>
  <si>
    <t>See Exchanger 70-ES-20-0003A.</t>
  </si>
  <si>
    <t>S20</t>
  </si>
  <si>
    <t>PA</t>
  </si>
  <si>
    <t>70-PA-20-0001A</t>
  </si>
  <si>
    <t>Condensate Recycle Pump</t>
  </si>
  <si>
    <t>Centrifugal Pump</t>
  </si>
  <si>
    <t>2 x 100%
(see notes)</t>
  </si>
  <si>
    <t>148.2</t>
  </si>
  <si>
    <t>30.02</t>
  </si>
  <si>
    <t>66.96</t>
  </si>
  <si>
    <t>216</t>
  </si>
  <si>
    <t>8.8</t>
  </si>
  <si>
    <t>6800</t>
  </si>
  <si>
    <t>7900</t>
  </si>
  <si>
    <t>Casing: LTCS +3mm CA
Impeller: 12% Cr
API 610 (S-6)</t>
  </si>
  <si>
    <t>Centrifugal (API 610 VS6)
7 stages
2x100% during normal operation but both pumps will run simultaneously during
pigging.
Main skid dimensions based on Past project reference and motor sizing based on
Flowserve online selection tool.
Main skid: 1 x 1 x 8.8 m (6,800kg), 5.8m depth, 3m height above ground, 1m x
1m soleplate.
Seal API Plan 53B skid: 1.0 x 1.0 x 2.5m (500kg)</t>
  </si>
  <si>
    <t>70-PA-20-0001B</t>
  </si>
  <si>
    <t>0002</t>
  </si>
  <si>
    <t>70-PA-20-0002A</t>
  </si>
  <si>
    <t>Condensate Recycle Booster Pump</t>
  </si>
  <si>
    <t>2 x 100%</t>
  </si>
  <si>
    <t>230</t>
  </si>
  <si>
    <t>130.2</t>
  </si>
  <si>
    <t>141</t>
  </si>
  <si>
    <t>539</t>
  </si>
  <si>
    <t>600</t>
  </si>
  <si>
    <t>5.5</t>
  </si>
  <si>
    <t>3.0</t>
  </si>
  <si>
    <t>14000</t>
  </si>
  <si>
    <t>Casing: CS +3mm CA
Impeller: 12% Cr
API 610 (S-6)</t>
  </si>
  <si>
    <t>Centrifugal (API 610 Standard BB5)
7 (+ 1 blank) stages
Main skid including seal system: 5.5 x 3.0 x 3.0m (13,500kg)
56.2 bar rated differential pressure
Main skid dimensions based on past project similar pumps, and motor sizing
based on Sulzer online selection tool.</t>
  </si>
  <si>
    <t>70-PA-20-0002B</t>
  </si>
  <si>
    <t>VF</t>
  </si>
  <si>
    <t>70-VF-20-0001</t>
  </si>
  <si>
    <t>Slug Catcher Condensate Filter</t>
  </si>
  <si>
    <t>Filter Unit</t>
  </si>
  <si>
    <t>Liq: 237490
Gas: 4455</t>
  </si>
  <si>
    <t>55.9</t>
  </si>
  <si>
    <t>64.9</t>
  </si>
  <si>
    <t>2.6</t>
  </si>
  <si>
    <t>0.7</t>
  </si>
  <si>
    <t>1000</t>
  </si>
  <si>
    <t>1500</t>
  </si>
  <si>
    <t>Shell: LTCS +3mm CA
Internals: 316/316L</t>
  </si>
  <si>
    <t>Basket type filter; 200 microns mesh size
Dimensions based on budgetary bid from ASCO FILTI.</t>
  </si>
  <si>
    <t>70-VF-20-0002</t>
  </si>
  <si>
    <t>Slug Catcher MEG Filter</t>
  </si>
  <si>
    <t>Liq: 8100</t>
  </si>
  <si>
    <t>0.6</t>
  </si>
  <si>
    <t>2.1
(approx.)</t>
  </si>
  <si>
    <t>800</t>
  </si>
  <si>
    <t>1200</t>
  </si>
  <si>
    <t>70-VZ-20-0001</t>
  </si>
  <si>
    <t>HP Separator</t>
  </si>
  <si>
    <t>Liq: 418621
Gas: 7898
Aque:
11837</t>
  </si>
  <si>
    <t>9.9</t>
  </si>
  <si>
    <t>3.3</t>
  </si>
  <si>
    <t>60000</t>
  </si>
  <si>
    <t>135000</t>
  </si>
  <si>
    <t>316L / LTCS + 316L Clad</t>
  </si>
  <si>
    <t>Horizontal 2 phase (gas-liquid) separator.
Weight and sizes based on PV Elite Calcs and FEED Process data.</t>
  </si>
  <si>
    <t>70-VZ-20-0002</t>
  </si>
  <si>
    <t>LP Separator</t>
  </si>
  <si>
    <t>Liq: 234104
Gas: 4721
Aque: 693</t>
  </si>
  <si>
    <t>-20</t>
  </si>
  <si>
    <t>10.55</t>
  </si>
  <si>
    <t>3.5</t>
  </si>
  <si>
    <t>41000</t>
  </si>
  <si>
    <t>138000</t>
  </si>
  <si>
    <t>316/316L / CS + 3mm CA + Internal
Lining</t>
  </si>
  <si>
    <t>Horizontal 3 phase separator (internal weir)
Or LTCS + Internal Lining + Anodes
Weight based on PVElite Calc, Size based on Process FEED data.</t>
  </si>
  <si>
    <t>70-PA-25-0001A</t>
  </si>
  <si>
    <t>Condensate Export Pump</t>
  </si>
  <si>
    <t>310</t>
  </si>
  <si>
    <t>8.97</t>
  </si>
  <si>
    <t>32.57</t>
  </si>
  <si>
    <t>220</t>
  </si>
  <si>
    <t>1.1</t>
  </si>
  <si>
    <t>7.5</t>
  </si>
  <si>
    <t>6300</t>
  </si>
  <si>
    <t>7300</t>
  </si>
  <si>
    <t>AZ-AB1-70-SK02-401103</t>
  </si>
  <si>
    <t>Casing: CS
Impeller: 12% Cr
API 610 (S6)</t>
  </si>
  <si>
    <t>Centrifugal API 610 Vertically Suspended type (VS6)
Seal API Plan 53B
Dimensions, weight, and sizing estimated based on Trillium budgetary bid.
Main Skid: 4.1m depth, 3.4m height above grade to top of motor, 1.1m x 1.1m
soleplate.
Seal API Plan 53B skid: 1.0 x 1.0 x 2.5m (500kg)</t>
  </si>
  <si>
    <t>70-PA-25-0001B</t>
  </si>
  <si>
    <t>S31</t>
  </si>
  <si>
    <t>70-VP-25-0001</t>
  </si>
  <si>
    <t>Condensate Export Pig Launcher</t>
  </si>
  <si>
    <t>12" ID
(Minor) &amp;
14" ID
(Major)</t>
  </si>
  <si>
    <t>1100</t>
  </si>
  <si>
    <t>CS + 3mm CA
+ 316 Overlay door seals</t>
  </si>
  <si>
    <t>Pig Launcher
12" pipeline
Dimensions based on Ergil Pig Laucher Catalogue data</t>
  </si>
  <si>
    <t>UN</t>
  </si>
  <si>
    <t>Condensate Export Metering Package</t>
  </si>
  <si>
    <t>INS</t>
  </si>
  <si>
    <t>Metering Package</t>
  </si>
  <si>
    <t>24.5</t>
  </si>
  <si>
    <t>4600</t>
  </si>
  <si>
    <t>CS + 3mm CA (VTA)</t>
  </si>
  <si>
    <t>Metering package with associated liquid hydrocarbon distribution and BS&amp;W
analyser.</t>
  </si>
  <si>
    <t>S36</t>
  </si>
  <si>
    <t>HE</t>
  </si>
  <si>
    <t>Electrical Heater</t>
  </si>
  <si>
    <t>0.01</t>
  </si>
  <si>
    <t>3.6</t>
  </si>
  <si>
    <t>0.2</t>
  </si>
  <si>
    <t>180</t>
  </si>
  <si>
    <t>AZ-AB1-70-SK02-401154</t>
  </si>
  <si>
    <t>Sheath (of element): Alloy 625
(VTA)</t>
  </si>
  <si>
    <r>
      <t xml:space="preserve">Electric Heater
1X100%
Dimensions and weight based on DFINITI budgetary bid. Does not include the
</t>
    </r>
    <r>
      <rPr>
        <b/>
        <sz val="11"/>
        <color rgb="FF00B0F0"/>
        <rFont val="Arial"/>
        <family val="2"/>
        <scheme val="minor"/>
      </rPr>
      <t>UCP for the heater (2x1.8x1m; 630 kg)</t>
    </r>
    <r>
      <rPr>
        <sz val="10"/>
        <color rgb="FF000000"/>
        <rFont val="Arial"/>
        <family val="2"/>
        <scheme val="minor"/>
      </rPr>
      <t xml:space="preserve">
Rated Power includes 20% margin on duty
Instrument &amp; Electrical tags for 70-HE-28-0001 and 70-PA-28-0001 are
duplicated. Make 70-HE-28-0001 unique sequence number in EPSCC stage.</t>
    </r>
  </si>
  <si>
    <t>S28</t>
  </si>
  <si>
    <t>70-PA-28-0001</t>
  </si>
  <si>
    <t>0.94</t>
  </si>
  <si>
    <t>13.34</t>
  </si>
  <si>
    <t>20.9</t>
  </si>
  <si>
    <t>2.1</t>
  </si>
  <si>
    <t>0.8
(approx.)</t>
  </si>
  <si>
    <t>0.6
(approx.)</t>
  </si>
  <si>
    <t>1230</t>
  </si>
  <si>
    <t>1460</t>
  </si>
  <si>
    <t>AZ-AB1-70-SK02-401155</t>
  </si>
  <si>
    <t>Casing: CS + 3mm CA
Impeller: 12% Cr
API 610 (S6)</t>
  </si>
  <si>
    <t>Centrifugal Pump
ISO 5199 Horizontal
Open drains oil pumps and open drains recovered oil pumps to be sized for pump-out in 30 minutes.
Dimensions and weight based on Sulzer budgetary bid, motor sizing based on
Flowserve selection.
Instrument &amp; Electrical tags for 70-HE-28-0001 and 70-PA-28-0001 are
duplicated. Make 70-HE-28-0001 unique sequence number in EPSCC stage.</t>
  </si>
  <si>
    <t>0007</t>
  </si>
  <si>
    <t>6.5</t>
  </si>
  <si>
    <t>2.49</t>
  </si>
  <si>
    <t>9.89</t>
  </si>
  <si>
    <t>11.3</t>
  </si>
  <si>
    <t>2.5</t>
  </si>
  <si>
    <t>1.6</t>
  </si>
  <si>
    <t>2.8</t>
  </si>
  <si>
    <t>1070</t>
  </si>
  <si>
    <t>1177</t>
  </si>
  <si>
    <t>AZ-AB1-70-SK02-401520</t>
  </si>
  <si>
    <t>Casing: 316/316L
Impeller: 316/316L
API 610 (A8)</t>
  </si>
  <si>
    <t>Centrifugal
2X100%
API 610 OH2
Added in Optimise phase due to NPSHA requirements of the Closed Drains Drum
Booster Pumps.
Dimensions and weights estimated based on Trillium reference.
This is an optional pump that may not be required if the complete duty can be
selected/handled by the closed drains drum booster pump using a single VS
pump with a transportable boot length.</t>
  </si>
  <si>
    <t>PS</t>
  </si>
  <si>
    <t>70-PS-28-0001A</t>
  </si>
  <si>
    <t>Closed Drains Drum Booster Pump</t>
  </si>
  <si>
    <t>0.08</t>
  </si>
  <si>
    <t>3.21</t>
  </si>
  <si>
    <t>4.0</t>
  </si>
  <si>
    <t>2.9</t>
  </si>
  <si>
    <t>1530</t>
  </si>
  <si>
    <t>1700</t>
  </si>
  <si>
    <t>Centrifugal API 610 Vertically Suspended type VS1
Dimensions and weight based on Sulzer reference, motor sizing based on Sulzer
selection.
Closed Drains Drum boot specified as 1.75 m in depth as per recommendation
from Mechanical for NPSHA requirements.
Maximum operating pressure can be up to 13.0 barg if Closed Drains Pump &amp;
Closed Drains Drum Booster Pump are combined into a single duty pump.</t>
  </si>
  <si>
    <t>70-PS-28-0001B</t>
  </si>
  <si>
    <t>70-PS-28-0003A</t>
  </si>
  <si>
    <t>Open Drains Treatment Oil Pump</t>
  </si>
  <si>
    <t>0.0</t>
  </si>
  <si>
    <t>2.65</t>
  </si>
  <si>
    <t>1490</t>
  </si>
  <si>
    <t>1650</t>
  </si>
  <si>
    <t>Centrifugal API 610 Vertically Suspended type VS1/VS4
Open drains oil pumps and open drains recovered oil pumps to be sized for pump-out in 30 minutes.
Dimensions and weight based on Trillium budgetary bid, sizing and pump depth
based on Flowserve selection.
0.7mx0.7mx3m, 1486kg (1.5m-depth, 1.5m-mount flange to top of motor).</t>
  </si>
  <si>
    <t>70-PS-28-0003B</t>
  </si>
  <si>
    <t>0004</t>
  </si>
  <si>
    <t>70-PS-28-0004A</t>
  </si>
  <si>
    <t>Off spec Water Recycle Pump</t>
  </si>
  <si>
    <t>0.03</t>
  </si>
  <si>
    <t>1.3</t>
  </si>
  <si>
    <t>0.5</t>
  </si>
  <si>
    <t>5.55</t>
  </si>
  <si>
    <t>350</t>
  </si>
  <si>
    <t>390</t>
  </si>
  <si>
    <t>Centrifugal API 610 VS1/VS2 type pump.
Open drains water pumps and off spec water recycle pumps to be sized for
pump-out in 2 hours.
Dimensions estimate, weight estimate and electrical ratings based on Flowserve
reference. Total Length of 5.555m consists of 3.55m below-grade and 2m above-grade.</t>
  </si>
  <si>
    <t>70-PS-28-0004B</t>
  </si>
  <si>
    <t>TE</t>
  </si>
  <si>
    <t>70-TE-28-0001</t>
  </si>
  <si>
    <t>Open Drains Treatment Basin</t>
  </si>
  <si>
    <t>CIV</t>
  </si>
  <si>
    <t>Basin</t>
  </si>
  <si>
    <t>1652</t>
  </si>
  <si>
    <t>ATM</t>
  </si>
  <si>
    <t>-0.0025</t>
  </si>
  <si>
    <t>ATM + 4m
of Water</t>
  </si>
  <si>
    <t>Concrete + Internal Lining</t>
  </si>
  <si>
    <t>Sizing provided by CIVIL.</t>
  </si>
  <si>
    <t>70-TE-28-0002</t>
  </si>
  <si>
    <t>Observation Basin</t>
  </si>
  <si>
    <t>302</t>
  </si>
  <si>
    <t>70-TE-28-0003</t>
  </si>
  <si>
    <t>Impounding Basin</t>
  </si>
  <si>
    <t>14872</t>
  </si>
  <si>
    <t>75.8</t>
  </si>
  <si>
    <t>70-VZ-28-0001</t>
  </si>
  <si>
    <t>Closed Drains Drum</t>
  </si>
  <si>
    <t>5.0</t>
  </si>
  <si>
    <t>2.3</t>
  </si>
  <si>
    <t>12000</t>
  </si>
  <si>
    <t>LTCS + 3mm CA + Internal Lining</t>
  </si>
  <si>
    <t>Internal coating shall be in accordance with AZ-AB1-70-SK02-140006.
Closed Drains Drum boot specified as 1.75 m in depth as per recommendation
from Mechanical for NPSHA requirements.</t>
  </si>
  <si>
    <t>70-VZ-28-0002</t>
  </si>
  <si>
    <t>Oil Collection Drum</t>
  </si>
  <si>
    <t>AMB</t>
  </si>
  <si>
    <t>7.0</t>
  </si>
  <si>
    <t>11260</t>
  </si>
  <si>
    <t>Shell: LTCS + 3mm CA + Internal
Coating</t>
  </si>
  <si>
    <t>Internal coating shall be in accordance with AZ-AB1-70-SK02-140006.</t>
  </si>
  <si>
    <t>EA</t>
  </si>
  <si>
    <t>70-EA-31-1001</t>
  </si>
  <si>
    <t>1st Stage FGC Recycle Cooler</t>
  </si>
  <si>
    <t>Air Cooler</t>
  </si>
  <si>
    <t>357</t>
  </si>
  <si>
    <t>875.2
(Actual
volume
flow rate)</t>
  </si>
  <si>
    <t>5.7</t>
  </si>
  <si>
    <t>6185</t>
  </si>
  <si>
    <t>0.51</t>
  </si>
  <si>
    <t>9.8</t>
  </si>
  <si>
    <t>45 (Process
Outlet)
-12 (Air side
Inlet)</t>
  </si>
  <si>
    <t>145.7
(Process
Inlet)</t>
  </si>
  <si>
    <t>170</t>
  </si>
  <si>
    <t>2.4
(see
remarks)</t>
  </si>
  <si>
    <t>3x 4 kW
(see
remarks)</t>
  </si>
  <si>
    <t>6.8</t>
  </si>
  <si>
    <t>9796</t>
  </si>
  <si>
    <t>10263</t>
  </si>
  <si>
    <t>AZ-AB1-70-SK02-401104</t>
  </si>
  <si>
    <t>Header: 316/316L
Tubes: 316/316L</t>
  </si>
  <si>
    <t>Air Cooler 1X100%. Forced draft air cooler. 3x50% fans per bay.
Shipped to site as semi-assembled module with short legs.
1 bay, 1 bundle, Heat Transfer Area 1136.2 m2.
93 tubes / 31.75mm OD / 6.5m L / Extruded fins.
15kW Electric Heater, 100% Automatic Louvres and 100% AV fans required for
winterization.</t>
  </si>
  <si>
    <t>1002</t>
  </si>
  <si>
    <t>70-EA-31-1002</t>
  </si>
  <si>
    <t>2nd Stage FGC Suction Cooler</t>
  </si>
  <si>
    <t>417.5</t>
  </si>
  <si>
    <t>668.9
(Actual
volume
flow rate)</t>
  </si>
  <si>
    <t>14.17</t>
  </si>
  <si>
    <t>14720</t>
  </si>
  <si>
    <t>28.5</t>
  </si>
  <si>
    <t>109.9
(Process
Inlet)</t>
  </si>
  <si>
    <t>155</t>
  </si>
  <si>
    <t>5.4
(see
remarks)</t>
  </si>
  <si>
    <t>13065</t>
  </si>
  <si>
    <t>13685</t>
  </si>
  <si>
    <t>Air Cooler 1X100%. Forced draft air cooler.
3x50% fans per bay.
Shipped to site as semi-assembled module with short legs.
1 bay, 1 bundle. Heat Transfer Area 1798.3 m2.
145 tubes / 31.75mm OD / 6.5m L / Extruded fins.
25kW Electric Heater, 100% Automatic Louvers and 100% AV fans required for
winterization.</t>
  </si>
  <si>
    <t>1004</t>
  </si>
  <si>
    <t>70-EA-31-1004</t>
  </si>
  <si>
    <t>Export Compressor Aftercooler</t>
  </si>
  <si>
    <t>5031</t>
  </si>
  <si>
    <t>3032.2
(Actual
volume
flow rate)</t>
  </si>
  <si>
    <t>225</t>
  </si>
  <si>
    <t>193852</t>
  </si>
  <si>
    <t>4.06</t>
  </si>
  <si>
    <t>92.4</t>
  </si>
  <si>
    <t>94.4</t>
  </si>
  <si>
    <t>41.7
(Process
Outlet)
-12 (Air side
Inlet)</t>
  </si>
  <si>
    <t>92.1
(Process
Inlet)</t>
  </si>
  <si>
    <t>125</t>
  </si>
  <si>
    <t>94.2
(see
remarks)</t>
  </si>
  <si>
    <t>6x 22kW
(see
remarks)</t>
  </si>
  <si>
    <t>13.5
(See notes)</t>
  </si>
  <si>
    <t>4.8
(see notes)</t>
  </si>
  <si>
    <t>7.1
(See notes)</t>
  </si>
  <si>
    <t>84268</t>
  </si>
  <si>
    <t>88326</t>
  </si>
  <si>
    <t>AZ-AB1-70-SK02-401106</t>
  </si>
  <si>
    <t>Header: LTCS + 3mm CA
Tubes: 316/316L</t>
  </si>
  <si>
    <t>Air Cooler 1X100% per export compressor. Forced draft air cooler.
3 fans per bay, 2 bays per equipment tag (fans 5xrunning +1xstandby).
Shipped as loose parts for site-assembly.
Provided dimensions are for 1 bay only, and estimated based on internal sizing
tool. 0.5m minimum spacing considered between adjacent bays.
2-bays, 2 bundles per bay. Heat Transfer. Area 14288 m2.
198 tubes per bundle / 25.4mm OD / 11m L/ Extruded fins.
No winterisation required.</t>
  </si>
  <si>
    <t>70-EA-31-2001</t>
  </si>
  <si>
    <t>Identical to Train 1.</t>
  </si>
  <si>
    <t>2002</t>
  </si>
  <si>
    <t>70-EA-31-2002</t>
  </si>
  <si>
    <t>2004</t>
  </si>
  <si>
    <t>70-EA-31-2004</t>
  </si>
  <si>
    <t>Header: LTCS + 3mm CA
Tubes: 316L</t>
  </si>
  <si>
    <t>KA</t>
  </si>
  <si>
    <t>70-KA-31-1001</t>
  </si>
  <si>
    <t>1st Stage Flash Gas Compressor</t>
  </si>
  <si>
    <t>Reciprocating
Compressor</t>
  </si>
  <si>
    <t>430.9
(Shaft
Power, PSV
relief)</t>
  </si>
  <si>
    <t>6310.9
(Normal
m3/h)
(Suction)</t>
  </si>
  <si>
    <t>8.7
(Suction)</t>
  </si>
  <si>
    <t>29
(Discharge)</t>
  </si>
  <si>
    <t>Suction:
45.8
Discharge:
142.2</t>
  </si>
  <si>
    <t>Suction:
47
Discharge:
150</t>
  </si>
  <si>
    <t>1044</t>
  </si>
  <si>
    <t>9.0</t>
  </si>
  <si>
    <t>4.3</t>
  </si>
  <si>
    <t>40000</t>
  </si>
  <si>
    <t>42000</t>
  </si>
  <si>
    <t>LTCS Cylinder/Pistons and Liner
(VTA)</t>
  </si>
  <si>
    <t>Electric Drive
Common crankshaft with Second Stage (same compressor casing and motor)
API Standard 618
Motor-driven reciprocating compressor together with associated ancillaries and
control systems (compressor, driver, seal &amp; lube oil system, LCP), suction and
discharge pulsation dampers. Minimum 3-step capacity control (0-50-100%)
with variable volume clearance pocket and recycling as required. Interstage
Coolers and Scrubbers are not part of vendor scope.
Overall footprint dimensions estimated from Neuman and Esser budgetary bid
for water cooled reciprocating compressor. Weight pro-rated based on the
conservative Burckhardt revised bid. Possibility of splitting into multiple skids for
transportation. Lube Oil and Jacket Water Cooler skid: 2.4m x 1.6m x 1m.
Control skid (valve unloading, gauge board etc.): 1.6m x 1.6m x 1m.
Motor sizing based on internal estimate.</t>
  </si>
  <si>
    <t>70-KA-31-1002</t>
  </si>
  <si>
    <t>2nd Stage Flash Gas Compressor</t>
  </si>
  <si>
    <t>613.3
(Shaft
Power, PSV
relief)</t>
  </si>
  <si>
    <t>15811.5
(Normal
m3/h)
(Suction)</t>
  </si>
  <si>
    <t>14.2</t>
  </si>
  <si>
    <t>14716</t>
  </si>
  <si>
    <t>28.4
(Suction)</t>
  </si>
  <si>
    <t>54.9
(Discharge)</t>
  </si>
  <si>
    <t>Suction:
45
Discharge:
100.8</t>
  </si>
  <si>
    <t>Suction:
45
Discharge:
103.4</t>
  </si>
  <si>
    <t>Included in
1st stage
data</t>
  </si>
  <si>
    <t>Included in 1st stage data</t>
  </si>
  <si>
    <t>1003</t>
  </si>
  <si>
    <t>70-KA-31-1003</t>
  </si>
  <si>
    <t>Export Compressor</t>
  </si>
  <si>
    <t>Centrifugal
Compressor</t>
  </si>
  <si>
    <t>6463 (Shaft
power)</t>
  </si>
  <si>
    <t>5172.73
(Actual
m3/h)
(Suction)</t>
  </si>
  <si>
    <t>247.5</t>
  </si>
  <si>
    <t>213237.2</t>
  </si>
  <si>
    <t>37.5
(Suction)</t>
  </si>
  <si>
    <t>94.4
(Discharge)</t>
  </si>
  <si>
    <t>Suction:
-16.3
Discharge:
42.0</t>
  </si>
  <si>
    <t>Suction:
12.5
Discharge:
92.1</t>
  </si>
  <si>
    <t>7109</t>
  </si>
  <si>
    <t>8000</t>
  </si>
  <si>
    <t>12.8</t>
  </si>
  <si>
    <t>4.65</t>
  </si>
  <si>
    <t>6.75</t>
  </si>
  <si>
    <t>68359</t>
  </si>
  <si>
    <t>LTCS (VTA)</t>
  </si>
  <si>
    <t>Rated Duty and Flow values are from HMB Case 1 with 10% additional flow
margin for Slug Flow (247.5 MMSCFD).
Rated Duty and absorbed electrical power is based on Siemens shaft power.
2x 50% Trains (1 and 2).
Hermetically sealed integrated motor compressor. [HOLD 5]
Alternative compact Moto compressor footprint and weight selection is
available. Suitability of the technology type has to be confirmed during FEED
Phase .
Vendor to supply 2x50% VSD motor-driven centrifugal compressors together
with associated ancillaries and control systems. including AMB control panels,
UCP, VFD, VFD Cooler and Transformer.
The normal operating point / guarantee point of each export compressor is 225
mmscfd (total 450 mmscfd). During normal operation, 225 mmscfd is exported
to DGN and 225 mmscfd is exported to SCP via 1x50% export compressor. Rated
point is 247.5 mmscfd (10% additional slug flow design margin) for each
compressor motor sizing.
Main compressor skid dimensions and weight based on Siemens budgetary bid
for conventional centrifugal compressor: 10 x 5.2 x 3.4m (92,500kg).
Auxiliary system dimensions and weight estimated based on past project
Siemens reference:
Lube oil skid: 4.0 x 2.0 x 4.2m (Wet - 10,776kg)
Lube oil air cooler: 9.5 x 2.0 x 4m
Lube oil rundown tank: 1.0 x 1.0 x 1.8m (700kg)
VFD (in E-House) : 12.8 x 4.3 x 5.8m (10,000kg)</t>
  </si>
  <si>
    <t>70-KA-31-2001</t>
  </si>
  <si>
    <t>70-KA-31-2002</t>
  </si>
  <si>
    <t>2003</t>
  </si>
  <si>
    <t>70-KA-31-2003</t>
  </si>
  <si>
    <t>PC</t>
  </si>
  <si>
    <t>70-PC-31-1003</t>
  </si>
  <si>
    <t>1st Stage FGC Suction Scrubber Pump</t>
  </si>
  <si>
    <t>Rotating
Displacement Pumps</t>
  </si>
  <si>
    <t>0.8</t>
  </si>
  <si>
    <t>8.89</t>
  </si>
  <si>
    <t>10.21</t>
  </si>
  <si>
    <t>500</t>
  </si>
  <si>
    <t>550</t>
  </si>
  <si>
    <t>Cylinder: 316/316L
Piston:316/316L</t>
  </si>
  <si>
    <t>Progressive Cavity Pump
Dimensions, weights, and sizing estimated from PCM Series A catalogue - Model
3A12 reference.
The motor tags and instrument tags for 70-PC-31-1003 and 70-KA-31-1003 are
duplicated. Make 70-PC-31-1003 1st Stage FGC Suction Scrubber Pump unique
sequence number in EPSCC stage.</t>
  </si>
  <si>
    <t>70-PC-31-2003</t>
  </si>
  <si>
    <t>Identical to Train 1.
The motor tags and instrument tags for 70-PC-31-2003 and 70-KA-31-2003 are
duplicated. Make 70-PC-31-2003 1st Stage FGC Suction Scrubber Pump unique
sequence number in EPSCC stage</t>
  </si>
  <si>
    <t>70-VZ-31-1001</t>
  </si>
  <si>
    <t>1st Stage FGC Suction Scrubber</t>
  </si>
  <si>
    <t>813.6
(Design)</t>
  </si>
  <si>
    <t>6803.5
(Design)</t>
  </si>
  <si>
    <t>0.39
(Working)</t>
  </si>
  <si>
    <t>8.7</t>
  </si>
  <si>
    <t>2.85</t>
  </si>
  <si>
    <t>482</t>
  </si>
  <si>
    <t>Shell: 316/316L
Internals : 316/316L</t>
  </si>
  <si>
    <t>Vertical Separator (with demister)
Total working volume (to HHLL) = 0.39 m3
Total vessel volume = 1.15 m3
Sizing based on process data. Weight based on PVElite calculations.</t>
  </si>
  <si>
    <t>70-VZ-31-1002</t>
  </si>
  <si>
    <t>2nd Stage FGC Suction Scrubber</t>
  </si>
  <si>
    <t>636.7
(Design)</t>
  </si>
  <si>
    <t>16187.6
(Design)</t>
  </si>
  <si>
    <t>28.4</t>
  </si>
  <si>
    <t>773</t>
  </si>
  <si>
    <t>70-VZ-31-2001</t>
  </si>
  <si>
    <t>70-VZ-31-2002</t>
  </si>
  <si>
    <t>70-VZ-31-1003</t>
  </si>
  <si>
    <t>Export Compressor Suction Scrubber</t>
  </si>
  <si>
    <t>5167.4
(Design)</t>
  </si>
  <si>
    <t>213237.2
(Design)</t>
  </si>
  <si>
    <t>5.2
(Working)</t>
  </si>
  <si>
    <t>37.5</t>
  </si>
  <si>
    <t>48.7</t>
  </si>
  <si>
    <t>-16</t>
  </si>
  <si>
    <t>2.4</t>
  </si>
  <si>
    <t>31250</t>
  </si>
  <si>
    <t>Shell: LTCS + 3mm CA
Internals : 316L</t>
  </si>
  <si>
    <t>Vertical Separator (with demister)
Total working volume (to HHLL) = 5.2 m3
Total vessel volume = 24.66 m3
Sizing based on process data. Weight based on PVElite calculations.</t>
  </si>
  <si>
    <t>70-VZ-31-2003</t>
  </si>
  <si>
    <t>70-ES-32-0001A</t>
  </si>
  <si>
    <t>Gas/Gas Exchanger</t>
  </si>
  <si>
    <t>3666</t>
  </si>
  <si>
    <t>4154.5
(Tube)
4044.5
(Shell)</t>
  </si>
  <si>
    <t>225.95
(Tube)
225.4
(Shell)</t>
  </si>
  <si>
    <t>195704
(Tube)
194186
(Shell)</t>
  </si>
  <si>
    <t>30.4 (Tube)
34.5 (Shell)</t>
  </si>
  <si>
    <t>53.4
(Tube)
38
(Shell)</t>
  </si>
  <si>
    <t>54.4 (Tube)
47.1 (Shell)</t>
  </si>
  <si>
    <t>-10.8
(Tube)
-17.9 (Shell)</t>
  </si>
  <si>
    <t>15 (Tube)
8.7(Shell)</t>
  </si>
  <si>
    <t>14.5
(Tube)
20.0
(Overall)</t>
  </si>
  <si>
    <t>3.4</t>
  </si>
  <si>
    <t>185000</t>
  </si>
  <si>
    <t>255000</t>
  </si>
  <si>
    <t>AZ-AB1-70-SK02-401105</t>
  </si>
  <si>
    <t>Shell: LTCS + 3mm CA
Tubes: 316/316L
Tubesheet: LTCS +3mm CA +316L
Clad Tubeside
Channel: LTCS + 3mm CA</t>
  </si>
  <si>
    <t>Shell and Tube (BEN TEMA Type)
Two Shell Arrangement of 70-ES-32-0001A/B is 1 series 2 parallel
Weight (dry) includes shell and bundle.
Shell ID 2.3m / Tube length 14.5m. Tube quantity= 5713 Nos per exchanger.
Heat Transfer Area 4792 m2 each shell (Total 9584 m2).</t>
  </si>
  <si>
    <t>70-ES-32-0001B</t>
  </si>
  <si>
    <t>15 (Tube)
8.7 (Shell)</t>
  </si>
  <si>
    <t>See Exchanger 70-ES-32-0001A</t>
  </si>
  <si>
    <t>KT</t>
  </si>
  <si>
    <t>0001A</t>
  </si>
  <si>
    <t>70-KT-32-0001A</t>
  </si>
  <si>
    <t>Turbo Expander / Recompressor Package</t>
  </si>
  <si>
    <t>70-KT-32-0001</t>
  </si>
  <si>
    <t>Turboexpander</t>
  </si>
  <si>
    <t>1150
(Produced
Shaft
Power)</t>
  </si>
  <si>
    <t>8018.3
(Actual)
(Suction)</t>
  </si>
  <si>
    <t>496.23</t>
  </si>
  <si>
    <t>428349</t>
  </si>
  <si>
    <t>46.95
(Discharge)</t>
  </si>
  <si>
    <t>53.3
(Suction)</t>
  </si>
  <si>
    <t>-17.6
(Discharge)</t>
  </si>
  <si>
    <t>-9.4
(Suction)</t>
  </si>
  <si>
    <t>5.6
[See notes]</t>
  </si>
  <si>
    <t>3.7
[See notes]</t>
  </si>
  <si>
    <t>3.2
[See notes]</t>
  </si>
  <si>
    <t>23000</t>
  </si>
  <si>
    <t>25000</t>
  </si>
  <si>
    <t>LTCS - Compressor
316/316L - Expander
(VTA)</t>
  </si>
  <si>
    <t>Turbo Expander - Recompressor scope includes machine casing, rotating
assembly, AMB, thrust bearing together with associated ancillaries and control
system including AMB control panels, PLC.
Dimensions, weight, and sizing are based on Cryostar bid:
Main package baseplate: 5.6m x 3.7m x 3.2m (23,000 kg)
AMB Control Cabinet: 2.0m x 1.6m x 0.8m (700 kg)
UCP Cabinet: 2.0m x 1.6m x 0.8m (700 kg)
Rated duty = design duty is 495 MMSCFD (10% slug flow margin).</t>
  </si>
  <si>
    <t>0001B</t>
  </si>
  <si>
    <t>70-KT-32-0001B</t>
  </si>
  <si>
    <t>Recompressor</t>
  </si>
  <si>
    <t>1092.3
(Shaft
Power)</t>
  </si>
  <si>
    <t>10647.9
(Actual)
(Suction)</t>
  </si>
  <si>
    <t>495.83</t>
  </si>
  <si>
    <t>427208.1</t>
  </si>
  <si>
    <t>45.85
(Suction)</t>
  </si>
  <si>
    <t>49.2
(Discharge)</t>
  </si>
  <si>
    <t>Suction:
-17.5
Discharge:
-12.4</t>
  </si>
  <si>
    <t>Suction:
7.9
Discharge:
12.8</t>
  </si>
  <si>
    <t>Included in
70-KT-32-0001A</t>
  </si>
  <si>
    <t>Included in 70-KT-32-0001A</t>
  </si>
  <si>
    <t>70-VZ-32-0001</t>
  </si>
  <si>
    <t>Inlet Separator</t>
  </si>
  <si>
    <t>9120.1
(Design)</t>
  </si>
  <si>
    <t>431971.4
(Design)</t>
  </si>
  <si>
    <t>13.7
(Working)</t>
  </si>
  <si>
    <t>54.4</t>
  </si>
  <si>
    <t>6.45</t>
  </si>
  <si>
    <t>94500</t>
  </si>
  <si>
    <t>Shell: LTCS + 3mm CA + Clad 316L in
lower wet areas
Internals: 316/316L</t>
  </si>
  <si>
    <t>Vertical Separator with demister.
Sizing based on process data. Weight based on PVElite calculations.</t>
  </si>
  <si>
    <t>70-VZ-32-0002</t>
  </si>
  <si>
    <t>Turbo Expander Suction Scrubber</t>
  </si>
  <si>
    <t>8004.7
(Design)</t>
  </si>
  <si>
    <t>430547.3
(Design)</t>
  </si>
  <si>
    <t>14.7
(Working)</t>
  </si>
  <si>
    <t>53.3</t>
  </si>
  <si>
    <t>-11</t>
  </si>
  <si>
    <t>-9</t>
  </si>
  <si>
    <t>3.7</t>
  </si>
  <si>
    <t>6.6</t>
  </si>
  <si>
    <t>87600</t>
  </si>
  <si>
    <t>Shell: LTCS + 3mm CA
Internals: 316/316L</t>
  </si>
  <si>
    <t>Vertical Separator with
Axial Cyclonic device and demister
Total working volume (to HHLL) = 14.69 m3
Total vessel volume = 84.22 m3
Sizing based on process data. Weight based on PVElite calculations.</t>
  </si>
  <si>
    <t>70-VZ-32-0003</t>
  </si>
  <si>
    <t>Low Temperature Separator</t>
  </si>
  <si>
    <t>8885.8
(Design)</t>
  </si>
  <si>
    <t>428349.2
(Design)</t>
  </si>
  <si>
    <t>17.8
(Working)</t>
  </si>
  <si>
    <t>39.1</t>
  </si>
  <si>
    <t>47.1</t>
  </si>
  <si>
    <t>-18</t>
  </si>
  <si>
    <t>-115</t>
  </si>
  <si>
    <t>7.05</t>
  </si>
  <si>
    <t>109560</t>
  </si>
  <si>
    <t>316/316L</t>
  </si>
  <si>
    <t>Vertical Separator with
Axial Cyclonic device and demister
Total working volume (to HHLL) = 17.8 m3
Total vessel volume = 105.35 m3
Sizing based on process data. Weight based on PVElite calculations.</t>
  </si>
  <si>
    <t>70-ES-35-0003</t>
  </si>
  <si>
    <t>DGN Export Heater</t>
  </si>
  <si>
    <t>3870</t>
  </si>
  <si>
    <t>3986 (Tube)</t>
  </si>
  <si>
    <t>225
(Tube)</t>
  </si>
  <si>
    <t>192703
(Tube)
44116
(Shell)</t>
  </si>
  <si>
    <t>1.66 (Tube)
1.44 (Shell)</t>
  </si>
  <si>
    <t>10.6 (Shell)
44.7 (Tube)</t>
  </si>
  <si>
    <t>11.6
(Shell)
45.7 (Tube)</t>
  </si>
  <si>
    <t>65 (Shell)
-14.41
(Tube)</t>
  </si>
  <si>
    <t>150
(Shell)
15.7
(Tube)</t>
  </si>
  <si>
    <t>65 (Tube)
50 (Shell)</t>
  </si>
  <si>
    <t>150 (Tube)
165 (Shell)</t>
  </si>
  <si>
    <t>1.829
(Tube)
3.9
(Overall)</t>
  </si>
  <si>
    <t>1.94</t>
  </si>
  <si>
    <t>9000</t>
  </si>
  <si>
    <t>12500</t>
  </si>
  <si>
    <t>Shell: LTCS + 3mm CA
Channel: LTCS + 3mm CA
Tubesheet: LTCS +316L Clad
Tubeside
Tubes: 316L</t>
  </si>
  <si>
    <t>No.1 Shell and Tube
BEU TEMA Type
Weight (dry) includes shell and bundle.
Shell ID 0.98m / Tube length 1.829m.
Heat Transfer Area 99.72 m2.</t>
  </si>
  <si>
    <t>525</t>
  </si>
  <si>
    <t>17232</t>
  </si>
  <si>
    <t>91.9</t>
  </si>
  <si>
    <t>530</t>
  </si>
  <si>
    <t>636</t>
  </si>
  <si>
    <t>Shell: LTCS + 3mm CA
Sheath: 316L</t>
  </si>
  <si>
    <t>Electric Heater
1X100%
Rated Power includes 20% margin on duty
Dimensions and weight estimated based on past project reference and DFINITI
budgetary bid.</t>
  </si>
  <si>
    <t>SCP Export Metering Package</t>
  </si>
  <si>
    <t>495</t>
  </si>
  <si>
    <t>93.6</t>
  </si>
  <si>
    <t>44000</t>
  </si>
  <si>
    <t>LTCS + 3mm CA</t>
  </si>
  <si>
    <t>DGN Export Metering Package</t>
  </si>
  <si>
    <t>45.2</t>
  </si>
  <si>
    <t>89.2</t>
  </si>
  <si>
    <t>15.7</t>
  </si>
  <si>
    <t>43.6</t>
  </si>
  <si>
    <t>52000</t>
  </si>
  <si>
    <t>Buy-back Gas Metering Package</t>
  </si>
  <si>
    <t>90.2</t>
  </si>
  <si>
    <t>15000</t>
  </si>
  <si>
    <t>FH</t>
  </si>
  <si>
    <t>70-FH-36-0001</t>
  </si>
  <si>
    <t>HP Flare Stack and Tip Package</t>
  </si>
  <si>
    <t>Flare</t>
  </si>
  <si>
    <t>561830</t>
  </si>
  <si>
    <t>-100</t>
  </si>
  <si>
    <t>165</t>
  </si>
  <si>
    <t>75
[See notes]</t>
  </si>
  <si>
    <t>30" ID
(approx.)</t>
  </si>
  <si>
    <t>90 (approx.)</t>
  </si>
  <si>
    <t>3200</t>
  </si>
  <si>
    <t>AZ-AB1-70-SK02-401150</t>
  </si>
  <si>
    <t>Stack Pipe: 316/316L
Stack Structure: CS
Tip: 310S (VTC)</t>
  </si>
  <si>
    <t>Flame to be monitored with infrared monitoring system.
Package to be provided with remote methane detection for monitoring unburnt
methane fraction at the flare tip.
Common structure for Flare stack for LP and HP.
Dimensions based on Zeeco budgetary bid - installed with stack package.
Deadman anchors located 75m from centre of stack base.
Package is continuously receiving purge gas - rated flowrate represents
maximum relieving case which will be intermittent.</t>
  </si>
  <si>
    <t>FL</t>
  </si>
  <si>
    <t>70-FL-36-0001</t>
  </si>
  <si>
    <t>LP Flare Stack and Tip Package</t>
  </si>
  <si>
    <t>17946</t>
  </si>
  <si>
    <t>114
(VTA)</t>
  </si>
  <si>
    <t>130
(VTA)</t>
  </si>
  <si>
    <t>20" ID
(approx.)</t>
  </si>
  <si>
    <t>&lt; 1000
(VTA)</t>
  </si>
  <si>
    <t>AZ-AB1-70-SK02-401152</t>
  </si>
  <si>
    <t>Stack Pipe: LTCS + 3mm CA+
Coating as per Project Spec.
Stack Structure: CS
Tip: 310S (VTC)</t>
  </si>
  <si>
    <t>Vendor to advise weight (&lt; 1 tonne estimated)
Flame to be monitored with infrared monitoring system.
Requirement of fuel gas for assisted combustion for low calorific value releases
to be confirmed by vendor.
Package to be provided with remote methane detection for monitoring unburnt
methane fraction at the flare tip.
Common structure for Flare stack for LP and HP.
Dimensions based on Zeeco budgetary bid - installed with stack package.
Deadman anchors located 75m from centre of stack base.
Package is continuously receiving purge gas - rated flowrate represents
maximum relieving case which will be intermittent.</t>
  </si>
  <si>
    <t>HP Flare KO Drum A Heater A</t>
  </si>
  <si>
    <t>272</t>
  </si>
  <si>
    <t>450</t>
  </si>
  <si>
    <t>Sheath (of Element): 316L</t>
  </si>
  <si>
    <t>Electric Heater is independent for each KO Drum so heats half the total contents
each, 2X50%.
Dimensions and weight based on DFINITI budgetary bid.
Rated Power includes 20% margin on duty</t>
  </si>
  <si>
    <t>HP Flare KO Drum A Heater B</t>
  </si>
  <si>
    <t>Yes</t>
  </si>
  <si>
    <t>266</t>
  </si>
  <si>
    <t>4.5</t>
  </si>
  <si>
    <t>420</t>
  </si>
  <si>
    <t>Sheath (of Element): 316/316L
(VTA)</t>
  </si>
  <si>
    <r>
      <t>Electric Heater
1x100%
Dimensions and weight estimated based on DFINITI budgetary bid. Does not
include the</t>
    </r>
    <r>
      <rPr>
        <b/>
        <sz val="11"/>
        <color rgb="FF00B0F0"/>
        <rFont val="Arial"/>
        <family val="2"/>
        <scheme val="minor"/>
      </rPr>
      <t xml:space="preserve"> UCP for the heater (2x1.8x1m; 630 kg)</t>
    </r>
    <r>
      <rPr>
        <sz val="10"/>
        <color rgb="FF000000"/>
        <rFont val="Arial"/>
        <family val="2"/>
        <scheme val="minor"/>
      </rPr>
      <t xml:space="preserve">
Rated Power includes 20% margin on duty</t>
    </r>
  </si>
  <si>
    <t>0005</t>
  </si>
  <si>
    <t>365</t>
  </si>
  <si>
    <t>70-PA-36-0001A</t>
  </si>
  <si>
    <t>HP Flare KO Drum Pump</t>
  </si>
  <si>
    <t>0.29</t>
  </si>
  <si>
    <t>10.16</t>
  </si>
  <si>
    <t>14.7</t>
  </si>
  <si>
    <t>18.5</t>
  </si>
  <si>
    <t>0.9</t>
  </si>
  <si>
    <t>4.8</t>
  </si>
  <si>
    <t>1400</t>
  </si>
  <si>
    <t>1540</t>
  </si>
  <si>
    <t>Casing: 316/316L
Impeller:316/316L
API 610 (A8)</t>
  </si>
  <si>
    <t>Centrifugal API standard 610 VS6 type
18 stage
Pumps provided with low temperature inhibits to ensure pumps and
downstream system are kept within design temperature limits.
Dimensions and weight are estimated based on Flowserve reference and past
projects.
NPSH margin, to be evaluated further.
Additional Seal API Plan 53B skid: 1.0 x 1.0 x 2.5m (500kg)</t>
  </si>
  <si>
    <t>70-PA-36-0001B</t>
  </si>
  <si>
    <t>70-PA-36-0004A</t>
  </si>
  <si>
    <t>LP Flare KO Drum Pump</t>
  </si>
  <si>
    <t>11.31</t>
  </si>
  <si>
    <t>10.01</t>
  </si>
  <si>
    <t>5.4</t>
  </si>
  <si>
    <t>3.9</t>
  </si>
  <si>
    <t>1210</t>
  </si>
  <si>
    <t>Casing: LTCS
Impeller: SS316L</t>
  </si>
  <si>
    <t>Centrifugal API Standard 610 VS6 type
Pump capacity to be specified to allow ko drum to be drained from LSHH to LAL
in 2 hours.
Dimensions estimated and electrical rating based on Flowserve reference. Total
height of 3.9m consists of 1.9m below ground, 2m above ground.
Additional Seal API Plan 53B skid: 1.0 x 1.0 x 2.5m (500kg)
Weights estimated based on Trillium reference.</t>
  </si>
  <si>
    <t>70-PA-36-0004B</t>
  </si>
  <si>
    <t>70-UN-36-0001</t>
  </si>
  <si>
    <t>HP Flare Metering Package</t>
  </si>
  <si>
    <t>0 - 681</t>
  </si>
  <si>
    <t>0 - 561830</t>
  </si>
  <si>
    <t>316L (VTA)</t>
  </si>
  <si>
    <t>Package contains ultrasonic flowmeters with dedicated pressure &amp; temperature
transmitters. The flowmeter is required to provide range from 0 to rated
capacity specified.
Requires straight pipe lengths of 15D upstream and 5D downstream.
Rated flowrate represents maximum relieving case which will be intermittent.</t>
  </si>
  <si>
    <t>70-UN-36-0002</t>
  </si>
  <si>
    <t>LP Flare Metering Package</t>
  </si>
  <si>
    <t>0 - 23.2</t>
  </si>
  <si>
    <t>0 - 19839</t>
  </si>
  <si>
    <t>VTA</t>
  </si>
  <si>
    <t>Package contains ultrasonic flowmeters with dedicated pressure &amp; temperature
transmitters. The flowmeter is required to provided capacity from 0 to rated
capacity.
Requires straight pipe lengths of 15D upstream and 5D downstream.
Rated flowrate represents maximum relieving case which will be intermittent.</t>
  </si>
  <si>
    <t>UZ</t>
  </si>
  <si>
    <t>70-UZ-36-0002</t>
  </si>
  <si>
    <t>HP Flare Ignition Package</t>
  </si>
  <si>
    <t>Flare Package</t>
  </si>
  <si>
    <t>1.8</t>
  </si>
  <si>
    <t>Flare stack to be normally purged with nitrogen, with fuel gas provided as
automatic back-up. Flare tip to be ignited on loss of nitrogen.
Package contains an on-demand pellet system for flare ignition, with a flame
front generator supplied by fuel gas as back-up, and propane bottles supplied by
vendor as an independent back-up to fuel gas.
Air supply for pellet launch shall be provided with back-up supply by vendor
which automatically activates in case of loss of primary air supply.</t>
  </si>
  <si>
    <t>70-UZ-36-0003</t>
  </si>
  <si>
    <t>HP Flare Gas Recovery Package</t>
  </si>
  <si>
    <t>Flare Gas Recovery
Package</t>
  </si>
  <si>
    <t>8.80</t>
  </si>
  <si>
    <t>308.3</t>
  </si>
  <si>
    <t>400</t>
  </si>
  <si>
    <t>13.8</t>
  </si>
  <si>
    <t>10.3</t>
  </si>
  <si>
    <t>7.6</t>
  </si>
  <si>
    <t>Case: 316L
Impellers: 316L</t>
  </si>
  <si>
    <t>Flare Gas Recovery Unit (FRGU) supplied as a single packaged unit comprising
2x100% motor-driven API 681 Liquid Ring compressors, scrubbers, discharge
(air) coolers, liquids recovery pump and associated local controls.
Dimensions based on Garo's budgetary bid. Overall dimension can be split into:
Compressor skid: 3.6 x 2.4 m (for each compressor)
Air Cooler skid: 10.0 x 2.5 m (not including 1.5 x 1.5 access ladder along length)
(approximate)
Scrubber skid: 6.3 x 3.1m (approximate)
Option 316L if minimum metal temperatures in any part of the system are less
than that allowed for LTCS (-46°C).
Soft Starter required for the motor as per Electrical Starting Study.</t>
  </si>
  <si>
    <t>70-UZ-36-0005</t>
  </si>
  <si>
    <t>LP Flare Ignition Package</t>
  </si>
  <si>
    <t>0006</t>
  </si>
  <si>
    <t>70-UZ-36-0006</t>
  </si>
  <si>
    <t>LP Flare Gas Recovery Package</t>
  </si>
  <si>
    <t>323</t>
  </si>
  <si>
    <t>Case: LTCS
Impellers: 316L</t>
  </si>
  <si>
    <t>Flare Gas Recovery Unit (FRGU) supplied as a single packaged unit comprising
2x100% motor-driven API 681 Liquid Ring compressors, scrubbers, discharge
(air) coolers, liquids recovery pump and associated local controls.
Dimensions based on Garo's budgetary bid. Overall dimension can be split into:
Compressor skid: 3.6 x 2.4 m (for each compressor)
Air Cooler skid: 10.0 x 2.5 m (not including 1.5 x 1.5 access ladder along length)
(approximate)
Scrubber skid: 6.3 x 3.1m (approximate)
Soft Starter required for the motor as per Electrical Starting Study.</t>
  </si>
  <si>
    <t>70-VZ-36-0001A</t>
  </si>
  <si>
    <t>HP Flare KO Drum A</t>
  </si>
  <si>
    <t>Vap:
350280
Liq: 199150</t>
  </si>
  <si>
    <t>4.4</t>
  </si>
  <si>
    <t>81000</t>
  </si>
  <si>
    <t>235000</t>
  </si>
  <si>
    <t>316/316L SS</t>
  </si>
  <si>
    <t>Horizontal two-phase separator in 2X50% configuration with both drums running
in parallel.
Two stab-in heaters, one on either end of drum, to be added.
HP Flare KO Drums sized to receive 60 % of total vapour flow and 50 % of total
liquid flow each.</t>
  </si>
  <si>
    <t>70-VZ-36-0001B</t>
  </si>
  <si>
    <t>HP Flare KO Drum B</t>
  </si>
  <si>
    <t>70-VZ-36-0002</t>
  </si>
  <si>
    <t>LP Flare KO Drum</t>
  </si>
  <si>
    <t>Vap: 19884
Liq: 46607</t>
  </si>
  <si>
    <t>LTCS + Internal Lining</t>
  </si>
  <si>
    <t>Horizontal separator with a single 1x100% electrical heater.</t>
  </si>
  <si>
    <t>S43</t>
  </si>
  <si>
    <t>17.0</t>
  </si>
  <si>
    <t>8.3</t>
  </si>
  <si>
    <t>690</t>
  </si>
  <si>
    <t>760</t>
  </si>
  <si>
    <t>AZ-AB1-70-SK02-401108</t>
  </si>
  <si>
    <t>Case: CS + 3.0mm CA
Impeller: CS
API 610 (S5)</t>
  </si>
  <si>
    <t>Centrifugal
2X100%
API 610 OH2
Dimensions and weight are based on Trillium budgetary bid, sizing based on
Flowserve selection.</t>
  </si>
  <si>
    <t>6.0</t>
  </si>
  <si>
    <t>5.1</t>
  </si>
  <si>
    <t>1.9</t>
  </si>
  <si>
    <t>440</t>
  </si>
  <si>
    <t>2.0</t>
  </si>
  <si>
    <t>710</t>
  </si>
  <si>
    <t>780</t>
  </si>
  <si>
    <t>Centrifugal - intermittent use
1X100%
API 610 OH2
Dimensions and weight are based on Trillium budgetary bid, sizing based on
Flowserve selection.</t>
  </si>
  <si>
    <t>70-TR-43-0001</t>
  </si>
  <si>
    <t>Rich MEG Storage Tank</t>
  </si>
  <si>
    <t>Storage Tank</t>
  </si>
  <si>
    <t>2434</t>
  </si>
  <si>
    <t>16.3</t>
  </si>
  <si>
    <t>61000</t>
  </si>
  <si>
    <t>2912000</t>
  </si>
  <si>
    <t>CS + 1.5mm CA + Internal Lining</t>
  </si>
  <si>
    <t>API-620 Cone Roof (or equivalent) Tank
Fuel Gas Blanketed
Internal lining per AZ-AB1-70-SK02-140009
Rich MEG storage tank operated at low level to support 6 days of regeneration
package outage (regeneration column out of service but MEG flash drum
remains in service).</t>
  </si>
  <si>
    <t>70-TR-43-0002</t>
  </si>
  <si>
    <t>Lean MEG Storage Tank</t>
  </si>
  <si>
    <t>1830</t>
  </si>
  <si>
    <t>51000</t>
  </si>
  <si>
    <t>2294000</t>
  </si>
  <si>
    <t>CS + 1.5mm CA</t>
  </si>
  <si>
    <t>API-620 Cone Roof (or equivalent) Tank
Fuel Gas Blanketed
Internal lining per AZ-AB1-70-SK02-140009
Lean MEG storage tank operated at high level to support subsea operations for
up to 6 days of regeneration package outage.</t>
  </si>
  <si>
    <t>Chemical Injection
Package</t>
  </si>
  <si>
    <t>9.5</t>
  </si>
  <si>
    <t>505</t>
  </si>
  <si>
    <t>148</t>
  </si>
  <si>
    <t>185</t>
  </si>
  <si>
    <t>1320</t>
  </si>
  <si>
    <t>Materials for pumps and piping to
be based on, CS + 3mm CA VTC</t>
  </si>
  <si>
    <t>Package vendor to confirm requirement for separate pumps to support high
pressure (normal operation) and very high pressure (infrequent) subsea
operations.
Pumps within package are of 2x100% arrangement.
Dimensions and weight based on Veolia budgetary bid.
Pumps to deliver 4.3m3/h normally (to be confirmed by Pipeline Contractor) and
up to 9.5 m3/h periodically for up to 20 minutes.
Package to include 2x100% Filters to achieve SAE AS4059 class 8 particle size
specification.</t>
  </si>
  <si>
    <t>MEG Regeneration Package</t>
  </si>
  <si>
    <t>Package</t>
  </si>
  <si>
    <t>17 (Rich
MEG)</t>
  </si>
  <si>
    <t>3100 kW
see column
18</t>
  </si>
  <si>
    <t>35
[See notes]</t>
  </si>
  <si>
    <t>20
[See notes]</t>
  </si>
  <si>
    <t>460000</t>
  </si>
  <si>
    <t>525000</t>
  </si>
  <si>
    <t>AZ-AB1-70-SK02-401107</t>
  </si>
  <si>
    <t>Depending on Vendor, the package comprises of multiple skids for reassembly
and interconnection at site as follows:
1. MEG flash drum skid
2. Rich MEG filtration skid
3. MEG regeneration package (incl. Electric reboilers).
4. Regenerator column.
5. Air coolers /condensers
6. Circulation Pumps
Motors Electrical power consumption (based on Vendor Veolia's budgetary bid):
Electric Heater: 3000 kW
MEG Pump: 5.5 kW per pump (continuous)
Reflux Pump: 15 kW per pump (continuous)
MEG Cooler/Condenser: 50 (continuous)
HC Drain pump: 4 kW per pump (intermittent)
Note: Reflux pump discharge to be sufficient for 26 barg @ package boundary.
Dimensions and weight are based on SLB budgetary bid.</t>
  </si>
  <si>
    <t>Fuel Gas Heater</t>
  </si>
  <si>
    <t>-38</t>
  </si>
  <si>
    <t>-75</t>
  </si>
  <si>
    <t>AZ-AB1-70-SK02-401158</t>
  </si>
  <si>
    <t>Shell: 316/316L SS
Sheath (of element): 316</t>
  </si>
  <si>
    <t>Electric Heater, design inclusive of backup flows
Duty presented is for 1 x 100% exchanger, with a design margin of 20% on duty
(according to GS EP ECP 103).
Dimensions and weight estimated based on DFINITI budgetary bid.
Rated Power includes 20% margin on duty.</t>
  </si>
  <si>
    <t>70-VZ-70-0001</t>
  </si>
  <si>
    <t>Fuel Gas KO Drum</t>
  </si>
  <si>
    <t>483
(Design)</t>
  </si>
  <si>
    <t>4070
(Design)</t>
  </si>
  <si>
    <t>2.35</t>
  </si>
  <si>
    <t>LTCS</t>
  </si>
  <si>
    <t>Vertical Vessel with demister.
Sizing based on continuous fuel gas requirement from Utility Load List, with a
20% design margin
Total working volume (to HHLL) = 0.39 m3
Total vessel volume = 1.15 m3
Sizing based on process data. Weight based on PVElite calculations.</t>
  </si>
  <si>
    <t>S01</t>
  </si>
  <si>
    <t>70-UZ-71-0001</t>
  </si>
  <si>
    <t>Diesel Storage, Transfer Pumps and Filtration
Package</t>
  </si>
  <si>
    <t>7 m^{3}
(min
storage
working
capacity)</t>
  </si>
  <si>
    <t>2x 2.2kW
(duty/stand
by)</t>
  </si>
  <si>
    <t>5
[See notes]</t>
  </si>
  <si>
    <t>4
[See notes]</t>
  </si>
  <si>
    <t>2.5
[See notes]</t>
  </si>
  <si>
    <t>2000
(estimate)</t>
  </si>
  <si>
    <t>10000
(estimate)</t>
  </si>
  <si>
    <t>AZ-AB1-70-SK02-401162</t>
  </si>
  <si>
    <t>Casing: CS
Internals: 316</t>
  </si>
  <si>
    <t>Diesel Storage, Transfer Pumps and Filtration Package is expected to comprise
the following equipment: diesel storage, 2x100% diesel transfer pumps, 2x100%
diesel filters and 2x100% diesel coalescers for particulates and water removal
Diesel Storage tank (Capacity 9 m3 selected) is also part of vendor scope.
Dimension and Weight provided are estimated value for the overall vendor
scope.</t>
  </si>
  <si>
    <t>S72</t>
  </si>
  <si>
    <t>Heating Medium Dump Cooler</t>
  </si>
  <si>
    <t>11372</t>
  </si>
  <si>
    <t>135.1</t>
  </si>
  <si>
    <t>34.2</t>
  </si>
  <si>
    <t>129536</t>
  </si>
  <si>
    <t>2.62</t>
  </si>
  <si>
    <t>8.0</t>
  </si>
  <si>
    <t>65 (Process
Outlet)
-12 (Air side
Inlet)</t>
  </si>
  <si>
    <t>150
(Process
Inlet)</t>
  </si>
  <si>
    <t>46.3
(see
remarks)</t>
  </si>
  <si>
    <t>3x 30kW
(see
remarks)</t>
  </si>
  <si>
    <t>44244</t>
  </si>
  <si>
    <t>46861</t>
  </si>
  <si>
    <t>AZ-AB1-70-SK02-401159</t>
  </si>
  <si>
    <t>Header: CS + 3mm CA
Tubes: 316</t>
  </si>
  <si>
    <t>Air Cooler 1X100%. Forced draft air cooler. 3x33% fans per bay @ Max Duty case
/ 3x50% fans per bay @ Min Duty case.
Shipped to site as semi-assembled module with short legs.
1 bay, 2 bundles. Heat Transfer Area 9882.4 m2.
240 tubes per bundle / 25.4mm OD / 12.5m L / Extruded fins.
No winterisation required.</t>
  </si>
  <si>
    <t>232.5</t>
  </si>
  <si>
    <t>6.12</t>
  </si>
  <si>
    <t>15.28</t>
  </si>
  <si>
    <t>79.2</t>
  </si>
  <si>
    <t>1900</t>
  </si>
  <si>
    <t>2090</t>
  </si>
  <si>
    <t>70-UZ-72-0001A</t>
  </si>
  <si>
    <t>Fired Heater Package A</t>
  </si>
  <si>
    <t>Fired Heater</t>
  </si>
  <si>
    <t>10601</t>
  </si>
  <si>
    <t>15.0</t>
  </si>
  <si>
    <t>6.3</t>
  </si>
  <si>
    <t>10.7</t>
  </si>
  <si>
    <t>33000</t>
  </si>
  <si>
    <t>Casing: CS+3mm CA
Tubes: 316L (VTA)</t>
  </si>
  <si>
    <t>Fired Heater
1 x 50%
Each fired heater package shall comprise of the following equipment: heater,
forced draft air system and burner management system.
Rated duty includes 10% equipment duty margin.
Dimensions based on Exotherm budgetary bid.
Tube material: 316L as a minimum. 310 SS as an option.</t>
  </si>
  <si>
    <t>70-UZ-72-0001B</t>
  </si>
  <si>
    <t>Fired Heater Package B</t>
  </si>
  <si>
    <t>70-VF-72-0001</t>
  </si>
  <si>
    <t>Heating Medium Filter</t>
  </si>
  <si>
    <t>15.2</t>
  </si>
  <si>
    <t>Shell: CS + 3mm CA
Internals: 316</t>
  </si>
  <si>
    <t>1 x 100%
Side stream flow (~10% of circulation) to heating medium filter to remove
accumulated solids.
Dimensions based on budgetary bid from ASCO FILTI.</t>
  </si>
  <si>
    <t>70-VZ-72-0001</t>
  </si>
  <si>
    <t>Heating Medium Expansion Drum</t>
  </si>
  <si>
    <t>5.2</t>
  </si>
  <si>
    <t>13000</t>
  </si>
  <si>
    <t>Shell: CS + 3mm CA</t>
  </si>
  <si>
    <t>Horizontal 2 phase separator, to provide 12m^{3} working volume for expansion
(LAL to LAH).
Weight is based on PV Calc ; using FEED Process data</t>
  </si>
  <si>
    <t>UB</t>
  </si>
  <si>
    <t>70-UB-74-0001</t>
  </si>
  <si>
    <t>Nitrogen Generation Package</t>
  </si>
  <si>
    <t>Inert Gas Generator</t>
  </si>
  <si>
    <t>[See notes]</t>
  </si>
  <si>
    <t>620 Sm^{3} /h
(Outlet)</t>
  </si>
  <si>
    <t>8.5</t>
  </si>
  <si>
    <t>4.1</t>
  </si>
  <si>
    <t>8500</t>
  </si>
  <si>
    <t>AZ-AB1-70-SK02-401157</t>
  </si>
  <si>
    <t>Two trains: 2x100% (1 + 1 for sparing) on common skid
Purity – 97 mol% N2
Type – membrane
Inlet conditions – 8.5 barg
Outlet Flow – 620 Sm3/h
Inlet flow – estimated 1860 Sm3/h. Estimated 3:1 air to nitrogen ratio.
Outlet conditions – 7.5 barg
Max pressure drop across package – 1 bar
Operating temperature – ATM
Dew point – Air is dew pointed upstream via Air Dryer Package. GS dew point
requirement of 20degC below min ambient of -12degC.
Dimensions and weight based on Avesta budgetary bid.</t>
  </si>
  <si>
    <t>VA</t>
  </si>
  <si>
    <t>70-VA-74-0001</t>
  </si>
  <si>
    <t>Nitrogen Receiver</t>
  </si>
  <si>
    <t>21879</t>
  </si>
  <si>
    <t>CS + 3mm CA</t>
  </si>
  <si>
    <t>Sized for 15 minutes holdup</t>
  </si>
  <si>
    <t>TZ</t>
  </si>
  <si>
    <t>70-TZ-75-0005</t>
  </si>
  <si>
    <t>MEG Storage Day Tank</t>
  </si>
  <si>
    <t>0.06</t>
  </si>
  <si>
    <t>0.12</t>
  </si>
  <si>
    <t>Amb</t>
  </si>
  <si>
    <t>0.17 + FULL
OF LIQUID</t>
  </si>
  <si>
    <t>7000</t>
  </si>
  <si>
    <t>254000</t>
  </si>
  <si>
    <t>CS +1.5mm CA</t>
  </si>
  <si>
    <t>Included in 70-UZ-75-0001 supplier scope
Internal lining per AZ-AB1-70-SK02-140009
MEG day tank provided for on-plot CPF users only.</t>
  </si>
  <si>
    <t>UI</t>
  </si>
  <si>
    <t>135 Litre/h</t>
  </si>
  <si>
    <t>23 m^{3}
(min
storage
working
capacity)</t>
  </si>
  <si>
    <t>Skid: 3
Tank: 6.1</t>
  </si>
  <si>
    <t>Skid: 2.4
Tank: 2.5</t>
  </si>
  <si>
    <t>Skid: 2
Tank: 2.5</t>
  </si>
  <si>
    <t>Skid: 400
Tank: 4770</t>
  </si>
  <si>
    <t>Skid: 500
Tank:
29000</t>
  </si>
  <si>
    <t>AZ-AB1-70-SK02-401156</t>
  </si>
  <si>
    <t>316L</t>
  </si>
  <si>
    <t>API 675 Double Diaphragm Pump Package
Chemical injection package located in containment bund.
Each chemical injection package shall comprise of storage tank with a minimum
of 14 days inventory, 2 x 100% dosing pumps. Package details to be finalised
during detailed engineering.
Dosing to cover 50% of the year when ambient is below 5 degC; based on coldest
month January.
Dimensions and weight based on Veolia budgetary bid - comprised of 1 x 20ft
ISO tank and 1 x injection skid.</t>
  </si>
  <si>
    <t>1 Litre/h</t>
  </si>
  <si>
    <t>1 m^{3}
(min
storage
working
capacity)</t>
  </si>
  <si>
    <t>0.00012</t>
  </si>
  <si>
    <t>API 675 Double Diaphragm Pump Package
Chemical injection package located in containment bund.
Each chemical injection package shall comprise of storage tank with a minimum
of 14 days inventory, 2 x 100% dosing pumps. Package details to be finalised
during detailed engineering.
Dimensions and weight based on ICR budgetary bid - comprised of 1 x injection
skid with tank installed on common base plate.</t>
  </si>
  <si>
    <t>9 Litre/h</t>
  </si>
  <si>
    <t>0.00014</t>
  </si>
  <si>
    <t>API 675 Double Diaphragm Pump Package
Chemical injection package located in containment bund.
Each chemical injection package shall comprise of storage tank with a minimum
of 14 days inventory, 2 x 100% dosing pumps. Package details to be finalised
during detailed engineering.
Batch dosing 4 hours, 3 times per week.
Dimensions and weight based on ICR budgetary bid - comprised of 1 x injection
skid with tank installed on common base plate</t>
  </si>
  <si>
    <t>4 Litre/h</t>
  </si>
  <si>
    <t>0.00111</t>
  </si>
  <si>
    <t>MEG Injection Package</t>
  </si>
  <si>
    <t>526
(see
remarks)</t>
  </si>
  <si>
    <t>3.56</t>
  </si>
  <si>
    <t>880</t>
  </si>
  <si>
    <t>API 674 Triplex Plunger Pump Package
Chemical injection package located in containment bund.
Each chemical injection package shall comprise of storage tank with a minimum
of 14 days inventory, 2 x 100% dosing pumps with dedicated heads for injecting
into Slug Catcher gas outlet, Gas-Gas Exchanger and Turboexpander-Recompressor Suction Scrubber, and upstream of the choke valves. Package
details to be finalised during detailed engineering.
Injection skid dimensions and weight based on Veolia budgetary bid.</t>
  </si>
  <si>
    <t>70-PA-85-0001A</t>
  </si>
  <si>
    <t>Utility Water Pump</t>
  </si>
  <si>
    <t>5.8</t>
  </si>
  <si>
    <t>AZ-AB1-70-SK02-401163</t>
  </si>
  <si>
    <t>API 610 (A-8)
Casing: 316/316L
Impeller:316/316L
API 610 (A8)
Option:
Casing: Carbon Steel
Impeller: 12% CR
API 610 (S6)</t>
  </si>
  <si>
    <t>ISO 5199 OH type
Weights &amp; Dimensions are based on Sulzer budgetary bid</t>
  </si>
  <si>
    <t>70-PA-85-0001B</t>
  </si>
  <si>
    <t>70-TZ-85-0001</t>
  </si>
  <si>
    <t>Utility Water Storage Tank</t>
  </si>
  <si>
    <t>92 m^{3}
(working
capacity)</t>
  </si>
  <si>
    <t>ATM + FULL
OF WATER</t>
  </si>
  <si>
    <t>5.3</t>
  </si>
  <si>
    <t>282000</t>
  </si>
  <si>
    <t>CS + 1.5mm CA
All internal surfaces to be coated to
Coating System T210</t>
  </si>
  <si>
    <t>UU</t>
  </si>
  <si>
    <t>70-UU-85-0001</t>
  </si>
  <si>
    <t>Utility Water Treatment Package</t>
  </si>
  <si>
    <t>3900</t>
  </si>
  <si>
    <t>FILTERS: CS + 3mm CA + Internal
Lining</t>
  </si>
  <si>
    <t>Package is expected to comprise the following equipment: particulate filters,
charcoal filters, UV sterilisers.
Dimensions and weight based on Veolia budgetary bid.
Alternative material selection 316L</t>
  </si>
  <si>
    <t>70-PA-01-0001A</t>
  </si>
  <si>
    <t>Diesel Firewater Pump</t>
  </si>
  <si>
    <t>4 x 33%</t>
  </si>
  <si>
    <t>990</t>
  </si>
  <si>
    <t>14.5</t>
  </si>
  <si>
    <t>16.8</t>
  </si>
  <si>
    <t>522</t>
  </si>
  <si>
    <t>17500</t>
  </si>
  <si>
    <t>20000</t>
  </si>
  <si>
    <t>AZ-AB1-70-SK02-272086</t>
  </si>
  <si>
    <t>Casing: LTCS
Impeller: 12% Cr
API 610 (S6)</t>
  </si>
  <si>
    <r>
      <t>Diesel driven. Tested weekly (30 mins).
Operating, design condition, dimensions and weights shall be obtained during
FEED
Emergency firewater supply to support the miscellaneous users.
API 610 BB1.
Miscellaneous Users: 15kW load
Firewater Pump Packages (Diesel) are considered to comprise diesel-engine
driven air-cooled horizontal centrifugal pumps, and associated ancillaries
including local diesel day tank, air filtration, exhaust, lube oil and cooling
systems, primary and secondary starting system,</t>
    </r>
    <r>
      <rPr>
        <b/>
        <sz val="11"/>
        <color theme="1"/>
        <rFont val="Arial"/>
        <family val="2"/>
        <scheme val="minor"/>
      </rPr>
      <t xml:space="preserve"> UCP and control system</t>
    </r>
    <r>
      <rPr>
        <sz val="11"/>
        <color theme="1"/>
        <rFont val="Arial"/>
        <family val="2"/>
        <scheme val="minor"/>
      </rPr>
      <t>, fire
and gas system with fire suppression system, complete within ventilated
enclosure and lifting lugs for single point lift, etc.
Dimensions and Weights are estimated using past project data and includes the
enclosure, engine, day tank (2.5mx2mx2.25m, 1000 gallon) and auxiliaries
required. Driver sizing and day tank dimensions and sizing are based on
Ruhrpumpen budgetary bid.</t>
    </r>
  </si>
  <si>
    <t>70-PA-01-0001B</t>
  </si>
  <si>
    <t>Diesel driven. Tested weekly (30 mins).
Operating, design condition, dimensions and weights shall be obtained during
FEED
Emergency firewater supply to support the miscellaneous users.
API 610 BB1.
Miscellaneous Users: 15kW load
Firewater Pump Packages (Diesel) are considered to comprise diesel-engine
driven air-cooled horizontal centrifugal pumps, and associated ancillaries
including local diesel day tank, air filtration, exhaust, lube oil and cooling
systems, primary and secondary starting system, UCP and control system, fire
and gas system with fire suppression system, complete within ventilated
enclosure and lifting lugs for single point lift, etc.
Dimensions and Weights are estimated using past project data and includes the
enclosure, engine, day tank (2.5mx2mx2.25m, 1000 gallon) and auxiliaries
required. Driver sizing and day tank dimensions and sizing are based on
Ruhrpumpen budgetary bid.</t>
  </si>
  <si>
    <t>70-PA-01-0001C</t>
  </si>
  <si>
    <t>70-PA-01-0002</t>
  </si>
  <si>
    <t>Electric Firewater Pump</t>
  </si>
  <si>
    <t>400.3</t>
  </si>
  <si>
    <t>560</t>
  </si>
  <si>
    <t>Electric. Tested weekly (30 mins).
API 610 BB1
Dimensions and weights are estimated using past projects and includes the
enclosure and auxiliaries. Motor sizing based on Ruhrpumpen budgetary bid.
Soft starter required for the motor as per Electrical Starting Study.</t>
  </si>
  <si>
    <t>70-PA-01-0003A</t>
  </si>
  <si>
    <t>Firewater Jockey Pump</t>
  </si>
  <si>
    <t>12.69</t>
  </si>
  <si>
    <t>41.5</t>
  </si>
  <si>
    <t>2
[See notes]</t>
  </si>
  <si>
    <t>0.7
[See notes]</t>
  </si>
  <si>
    <t>1.2
[See notes]</t>
  </si>
  <si>
    <t>650</t>
  </si>
  <si>
    <t>750</t>
  </si>
  <si>
    <t>Electric. Jockeys are in 2x 100% configuration (duty/standby).
API 610 OH1/2
Dimensions and weights are based on SPP budgetary bid data (bareshaft pump).
Both firewater jockey pumps (70-PA-01-0003A/B) are required to be in a
common weather proof enclosure.
size of enclosure = 4.0m x 2.6m x 2.5m (empty weight 2300kg)</t>
  </si>
  <si>
    <t>70-PA-01-0003B</t>
  </si>
  <si>
    <t>70-PA-01-0004A</t>
  </si>
  <si>
    <t>Foam Pump Package</t>
  </si>
  <si>
    <t>-15</t>
  </si>
  <si>
    <t>3.5
[See notes]</t>
  </si>
  <si>
    <t>3
[See notes]</t>
  </si>
  <si>
    <t>AZ-AB1-70-SK02-272087</t>
  </si>
  <si>
    <t>Casing: 316L
Impeller / Rotor: 316</t>
  </si>
  <si>
    <t>Single pump, part of common Foam pump skid below with 2x100% pumps
overall.
Pump/tanks, duties and capacities data TBD
Emergency power supply to connect both foam pump skids, but consider one
running during emergency event only.
Electric-motor driven pumps @1500rpm together with common controller are
mounted on a single skid 3.5m x 3m x 2m.
Dimensions and weights estimated based on BB Con budgetary bid.</t>
  </si>
  <si>
    <t>70-PA-01-0004B</t>
  </si>
  <si>
    <t>SDE</t>
  </si>
  <si>
    <t>70-SDE-01-0001</t>
  </si>
  <si>
    <t>Firewater Deluge Skid</t>
  </si>
  <si>
    <t>HSE</t>
  </si>
  <si>
    <t>Deluge System</t>
  </si>
  <si>
    <t>-10</t>
  </si>
  <si>
    <t>9500</t>
  </si>
  <si>
    <t>11500</t>
  </si>
  <si>
    <t>CS with SS 316 Trim deluge valve</t>
  </si>
  <si>
    <t>Complete assembled skid, with associated firewater piping and instrumentation,
supported on a structural steel frame and contained within a heated and
insulated enclosure.
3% Foam Proportioned concentrate to be introduced in to the firewater supply
down stream of the deluge valves.
5 deluge valve configuration.</t>
  </si>
  <si>
    <t>70-SDE-01-0002</t>
  </si>
  <si>
    <t>70-SDE-01-0003</t>
  </si>
  <si>
    <t>Complete assembled skid, with associated firewater piping and instrumentation,
supported on a structural steel frame and contained within a heated and
insulated enclosure.
3% Foam Proportioned concentrate to be introduced in to the firewater supply
down stream of the deluge valves.
3 deluge valve configuration</t>
  </si>
  <si>
    <t>70-SDE-01-0004</t>
  </si>
  <si>
    <t>Complete assembled skid, with associated firewater piping and instrumentation,
supported on a structural steel frame and contained within a heated and
insulated enclosure.
3% Foam Proportioned concentrate to be introduced in to the firewater supply
down stream of the deluge valves.
2 deluge valve configuration</t>
  </si>
  <si>
    <t>70-SDE-01-0005</t>
  </si>
  <si>
    <t>70-SDE-01-0006</t>
  </si>
  <si>
    <t>70-SDE-01-0007</t>
  </si>
  <si>
    <t>0008</t>
  </si>
  <si>
    <t>70-SDE-01-0008</t>
  </si>
  <si>
    <t>0009</t>
  </si>
  <si>
    <t>70-SDE-01-0009</t>
  </si>
  <si>
    <t>70-TZ-01-0001A</t>
  </si>
  <si>
    <t>Firewater Storage Tank</t>
  </si>
  <si>
    <t>7587</t>
  </si>
  <si>
    <t>180000</t>
  </si>
  <si>
    <t>7956000</t>
  </si>
  <si>
    <t>Cone-roof type, API 650, Net Working capacity = 7587 m3
Internal lining per AZ-AB1-70-SK02-140009</t>
  </si>
  <si>
    <t>70-TZ-01-0001B</t>
  </si>
  <si>
    <t>70-TZ-01-0002</t>
  </si>
  <si>
    <t>Firefighting Foam Storage Tank</t>
  </si>
  <si>
    <t>Shell, base and roof: 316L or CS
+1.5mm CA + Internal Lining</t>
  </si>
  <si>
    <t>Cone-roof type, API 650</t>
  </si>
  <si>
    <t>DG</t>
  </si>
  <si>
    <t>70-DG-05-0001</t>
  </si>
  <si>
    <t>Emergency Diesel Generator</t>
  </si>
  <si>
    <t>Diesel Generator</t>
  </si>
  <si>
    <t>3 MVA</t>
  </si>
  <si>
    <t>12.5</t>
  </si>
  <si>
    <t>18200</t>
  </si>
  <si>
    <t>18900</t>
  </si>
  <si>
    <t>Preliminary estimate based on similar power rating.
EMERGENCY GENERATOR UNIT is considered to comprised of diesel-engine
driven air-cooled generator system, and associated ancillaries including 12 hrs
local diesel day tank, air filtration, exhaust, lube oil and cooling systems, primary
electric battery starting and secondary backup hydraulic starting system, UCP
and control system, fire and gas system with fire suppression system, complete
within ventilated enclosure and lifting lugs for single point lift , etc.
ISO 8528
Diesel generator dimensions and weight estimated based on Cummins budgetary
bid and MTU technical catalogue including enclosure and diesel tank.</t>
  </si>
  <si>
    <t>UA</t>
  </si>
  <si>
    <t>70-UA-07-0001A</t>
  </si>
  <si>
    <t>Air Compressor Package</t>
  </si>
  <si>
    <t>Air Compressor</t>
  </si>
  <si>
    <t>3 x 50%</t>
  </si>
  <si>
    <t>2250 Sm^{3} /h
(Outlet, Dry
basis)</t>
  </si>
  <si>
    <t>10.5</t>
  </si>
  <si>
    <t>284</t>
  </si>
  <si>
    <t>315</t>
  </si>
  <si>
    <t>6210</t>
  </si>
  <si>
    <t>3x50% Compressors
ISO 10440-2 (Oil free Screw, 2-stage)
Each air-cooled compressor package shall comprise of the following equipment:
pulse jet inlet air filter, air compressor, interstage / discharge air coolers,
moisture separators, and dust and oil filters.
Dimensions and weight are based on Atlas Copco budgetary bid.
Soft Starter required for the motor as per Electrical Starting Study.</t>
  </si>
  <si>
    <t>70-UA-07-0001B</t>
  </si>
  <si>
    <t>3x50% Compressors
ISO 10440-2 (Oil free Screw, 2-stage)
Each air-cooled compressor package shall comprise of the following equipment:
pulse jet inlet air filter, air compressor, interstage / discharge air coolers,
moisture separators, and dust and oil filters.
Dimensions and weight are based on Atlas Copco budgetary bid.</t>
  </si>
  <si>
    <t>70-UA-07-0001C</t>
  </si>
  <si>
    <t>70-UZ-07-0001A</t>
  </si>
  <si>
    <t>Air Dryer Package</t>
  </si>
  <si>
    <t>7650 Sm^{3} /h
(Inlet)</t>
  </si>
  <si>
    <t>2300</t>
  </si>
  <si>
    <t>Each air dryer package shall include at least desiccant beds, inlet and after
filters.
Dimensions are based on Ingersoll Rand budgetary bid.
Flow is 1.7 times of total nominal flow of air compressors as per GS EP MEC 033
(4500 Sm3/h x 1.7)</t>
  </si>
  <si>
    <t>70-UZ-07-0001B</t>
  </si>
  <si>
    <t>70-VA-07-0001</t>
  </si>
  <si>
    <t>Dry Air Receiver</t>
  </si>
  <si>
    <t>3790
Sm3/h</t>
  </si>
  <si>
    <t>28984</t>
  </si>
  <si>
    <t>Sized for 20 minutes holdup</t>
  </si>
  <si>
    <t>70-VA-07-0002</t>
  </si>
  <si>
    <t>Wet Air Receiver</t>
  </si>
  <si>
    <t>4500 Sm^{3} /h</t>
  </si>
  <si>
    <t>3348</t>
  </si>
  <si>
    <t>Sized for 1 minutes holdup to allow for compressor change-over
Internal Lining per AZ-AB1-70-SK02-140009</t>
  </si>
  <si>
    <t>S80</t>
  </si>
  <si>
    <t>FCU</t>
  </si>
  <si>
    <t>70-FCU-09-0001</t>
  </si>
  <si>
    <t>Fan Coil Unit for Paint Store</t>
  </si>
  <si>
    <t>HV</t>
  </si>
  <si>
    <t>Fan Coil Unit</t>
  </si>
  <si>
    <t>1 x 50%</t>
  </si>
  <si>
    <t>360</t>
  </si>
  <si>
    <t>-4</t>
  </si>
  <si>
    <t>0.10</t>
  </si>
  <si>
    <t>0.37</t>
  </si>
  <si>
    <t>70-FCU-09-0002</t>
  </si>
  <si>
    <t>70-FCU-09-0003</t>
  </si>
  <si>
    <t>Fan Coil Unit for Telecom Room (Workshop
building)</t>
  </si>
  <si>
    <t>3.1</t>
  </si>
  <si>
    <t>700</t>
  </si>
  <si>
    <t>DX Type</t>
  </si>
  <si>
    <t>70-FCU-09-0004</t>
  </si>
  <si>
    <t>Fan Coil Unit for Electrical Room (Workshop
building)</t>
  </si>
  <si>
    <t>7.8</t>
  </si>
  <si>
    <t>1300</t>
  </si>
  <si>
    <t>0.18</t>
  </si>
  <si>
    <t>0.35</t>
  </si>
  <si>
    <t>0.25</t>
  </si>
  <si>
    <t>70-FCU-09-0005</t>
  </si>
  <si>
    <t>Fan Coil Unit for Security Hut 01</t>
  </si>
  <si>
    <t>AZ-AB1-70-SK02-222009</t>
  </si>
  <si>
    <t>Cassette Type Split AC Dx Unit</t>
  </si>
  <si>
    <t>70-FCU-09-0006</t>
  </si>
  <si>
    <t>Fan Coil Unit for Security Hut 02</t>
  </si>
  <si>
    <t>300</t>
  </si>
  <si>
    <t>70-FCU-09-0007</t>
  </si>
  <si>
    <t>70-FCU-09-0008</t>
  </si>
  <si>
    <t>Fan Coil Unit for Break Room</t>
  </si>
  <si>
    <t>860</t>
  </si>
  <si>
    <t>70-FCU-09-0009</t>
  </si>
  <si>
    <t>Fan Coil Unit for Meeting Room</t>
  </si>
  <si>
    <t>720</t>
  </si>
  <si>
    <t>0010</t>
  </si>
  <si>
    <t>70-FCU-09-0010</t>
  </si>
  <si>
    <t>0011</t>
  </si>
  <si>
    <t>70-FCU-09-0011</t>
  </si>
  <si>
    <t>Fan Coil Unit for Reception, lobby and Waiting
room</t>
  </si>
  <si>
    <t>0012</t>
  </si>
  <si>
    <t>70-FCU-09-0012</t>
  </si>
  <si>
    <t>0013</t>
  </si>
  <si>
    <t>70-FCU-09-0013</t>
  </si>
  <si>
    <t>Fan Coil Unit for Male Toilet</t>
  </si>
  <si>
    <t>0014</t>
  </si>
  <si>
    <t>70-FCU-09-0014</t>
  </si>
  <si>
    <t>Fan Coil Unit for Female Toilet</t>
  </si>
  <si>
    <t>0015</t>
  </si>
  <si>
    <t>70-FCU-09-0015</t>
  </si>
  <si>
    <t>Fan Coil Unit for Medical Room</t>
  </si>
  <si>
    <t>608</t>
  </si>
  <si>
    <t>0016</t>
  </si>
  <si>
    <t>70-FCU-09-0016</t>
  </si>
  <si>
    <t>570</t>
  </si>
  <si>
    <t>0017</t>
  </si>
  <si>
    <t>70-FCU-09-0017</t>
  </si>
  <si>
    <t>Fan Coil Unit for Print room store</t>
  </si>
  <si>
    <t>0018</t>
  </si>
  <si>
    <t>70-FCU-09-0018</t>
  </si>
  <si>
    <t>Fan Coil Unit for Office Room</t>
  </si>
  <si>
    <t>1600</t>
  </si>
  <si>
    <t>0019</t>
  </si>
  <si>
    <t>70-FCU-09-0019</t>
  </si>
  <si>
    <t>0020</t>
  </si>
  <si>
    <t>70-FCU-09-0020</t>
  </si>
  <si>
    <t>0021</t>
  </si>
  <si>
    <t>70-FCU-09-0021</t>
  </si>
  <si>
    <t>0022</t>
  </si>
  <si>
    <t>70-FCU-09-0022</t>
  </si>
  <si>
    <t>0023</t>
  </si>
  <si>
    <t>70-FCU-09-0023</t>
  </si>
  <si>
    <t>0024</t>
  </si>
  <si>
    <t>70-FCU-09-0024</t>
  </si>
  <si>
    <t>0025</t>
  </si>
  <si>
    <t>70-FCU-09-0025</t>
  </si>
  <si>
    <t>0026</t>
  </si>
  <si>
    <t>70-FCU-09-0026</t>
  </si>
  <si>
    <t>0027</t>
  </si>
  <si>
    <t>70-FCU-09-0027</t>
  </si>
  <si>
    <t>0028</t>
  </si>
  <si>
    <t>70-FCU-09-0028</t>
  </si>
  <si>
    <t>0029</t>
  </si>
  <si>
    <t>70-FCU-09-0029</t>
  </si>
  <si>
    <t>0030</t>
  </si>
  <si>
    <t>70-FCU-09-0030</t>
  </si>
  <si>
    <t>0031</t>
  </si>
  <si>
    <t>70-FCU-09-0031</t>
  </si>
  <si>
    <t>0032</t>
  </si>
  <si>
    <t>70-FCU-09-0032</t>
  </si>
  <si>
    <t>0033</t>
  </si>
  <si>
    <t>70-FCU-09-0033</t>
  </si>
  <si>
    <t>70-HE-09-0001</t>
  </si>
  <si>
    <t>Duct Heater for Office (Warehouse building)</t>
  </si>
  <si>
    <t>2.00</t>
  </si>
  <si>
    <t>Office</t>
  </si>
  <si>
    <t>70-HE-09-0002</t>
  </si>
  <si>
    <t>Duct Heater for Break Room (Warehouse
building)</t>
  </si>
  <si>
    <t>Break Room</t>
  </si>
  <si>
    <t>70-HE-09-0003</t>
  </si>
  <si>
    <t>Duct Heater for Office Room (Workshop
building)</t>
  </si>
  <si>
    <t>70-HE-09-0004</t>
  </si>
  <si>
    <t>Duct Heater for Break/Dining Room (Workshop
building)</t>
  </si>
  <si>
    <t>70-HE-09-0005</t>
  </si>
  <si>
    <t>Duct Heater for Male Changing Room
(Workshop building)</t>
  </si>
  <si>
    <t>0.50</t>
  </si>
  <si>
    <t>0.15</t>
  </si>
  <si>
    <t>70-HE-09-0006</t>
  </si>
  <si>
    <t>Duct Heater for Female Changing Room
(Workshop building)</t>
  </si>
  <si>
    <t>425</t>
  </si>
  <si>
    <t>Male Changing Room</t>
  </si>
  <si>
    <t>70-HE-09-0007</t>
  </si>
  <si>
    <t>Duct Heater for office (Fire Station)</t>
  </si>
  <si>
    <t>900</t>
  </si>
  <si>
    <t>Female Changing Room</t>
  </si>
  <si>
    <t>70-HE-09-0008</t>
  </si>
  <si>
    <t>Duct Heater for Male Changing Room (Fire
Station)</t>
  </si>
  <si>
    <t>Security Office</t>
  </si>
  <si>
    <t>70-HE-09-0009</t>
  </si>
  <si>
    <t>Duct Heater for Female Changing Room (Fire
Station)</t>
  </si>
  <si>
    <t>325</t>
  </si>
  <si>
    <t>Lobby (North)</t>
  </si>
  <si>
    <t>S89</t>
  </si>
  <si>
    <t>70-HE-09-0010</t>
  </si>
  <si>
    <t>Duct Heater for Security Office (Main gate
House)</t>
  </si>
  <si>
    <t>7.9</t>
  </si>
  <si>
    <t>3000</t>
  </si>
  <si>
    <t>Lobby (South)</t>
  </si>
  <si>
    <t>70-HE-09-0011</t>
  </si>
  <si>
    <t>Duct Heater for Staff Break Room (Main Gate
House)</t>
  </si>
  <si>
    <t>Staff Break Room</t>
  </si>
  <si>
    <t>70-HE-09-0012</t>
  </si>
  <si>
    <t>Duct Heater for Staff Locker Room (Main Gate
House)</t>
  </si>
  <si>
    <t>Telecom Room</t>
  </si>
  <si>
    <t>70-HE-09-0013</t>
  </si>
  <si>
    <t>Duct Heater for HVAC Room (East ITR)</t>
  </si>
  <si>
    <t>3282</t>
  </si>
  <si>
    <t>4.40</t>
  </si>
  <si>
    <t>70-HE-09-0014</t>
  </si>
  <si>
    <t>Duct Heater for Tech Room (East ITR)</t>
  </si>
  <si>
    <t>13.5</t>
  </si>
  <si>
    <t>9849</t>
  </si>
  <si>
    <t>13.50</t>
  </si>
  <si>
    <t>70-HE-09-0015</t>
  </si>
  <si>
    <t>Duct Heater for HVAC Room (West ITR)</t>
  </si>
  <si>
    <t>4.6</t>
  </si>
  <si>
    <t>3454</t>
  </si>
  <si>
    <t>70-HE-09-0016</t>
  </si>
  <si>
    <t>Duct Heater for Tech Room (West ITR)</t>
  </si>
  <si>
    <t>9843</t>
  </si>
  <si>
    <t>70-HE-09-0017</t>
  </si>
  <si>
    <t>Duct Heater for CTR (Control Bldg)</t>
  </si>
  <si>
    <t>5000</t>
  </si>
  <si>
    <t>70-HE-09-0018</t>
  </si>
  <si>
    <t>Duct Heater for Corridor (Control Bldg)</t>
  </si>
  <si>
    <t>70-HE-09-0019</t>
  </si>
  <si>
    <t>Duct Heater for CCR (Control Bldg)</t>
  </si>
  <si>
    <t>15700</t>
  </si>
  <si>
    <t>6.00</t>
  </si>
  <si>
    <t>70-HE-09-0020</t>
  </si>
  <si>
    <t>Duct Heater for Engineering Room (Control
Bldg)</t>
  </si>
  <si>
    <t>70-HE-09-0021</t>
  </si>
  <si>
    <t>Duct Heater for Emergency Response Room
(Control Bldg)</t>
  </si>
  <si>
    <t>810</t>
  </si>
  <si>
    <t>70-HE-09-0022</t>
  </si>
  <si>
    <t>Duct Heater for OTS (Control Bldg)</t>
  </si>
  <si>
    <t>70-HE-09-0023</t>
  </si>
  <si>
    <t>Duct Heater for Maintenance Room (Control
Bldg)</t>
  </si>
  <si>
    <t>70-HE-09-0024</t>
  </si>
  <si>
    <t>Duct Heater for Office (Control Bldg)</t>
  </si>
  <si>
    <t>1150</t>
  </si>
  <si>
    <t>70-HE-09-0025</t>
  </si>
  <si>
    <t>Duct Heater for Entrance Waiting Room
(Control Bldg)</t>
  </si>
  <si>
    <t>70-HE-09-0026</t>
  </si>
  <si>
    <t>Duct Heater for Break Room (Control Bldg)</t>
  </si>
  <si>
    <t>70-HE-09-0027</t>
  </si>
  <si>
    <t>Duct Heater for Male Changing Room (Control
Bldg)</t>
  </si>
  <si>
    <t>70-HE-09-0028</t>
  </si>
  <si>
    <t>Duct Heater for Female Changing Room
(Control Bldg)</t>
  </si>
  <si>
    <t>70-HE-09-0029</t>
  </si>
  <si>
    <t>Duct Heater for Telecom R (Admin Bldg)</t>
  </si>
  <si>
    <t>7.3</t>
  </si>
  <si>
    <t>70-HE-09-0030</t>
  </si>
  <si>
    <t>Duct Heater for Electrical R (Admin Bldg)</t>
  </si>
  <si>
    <t>1250</t>
  </si>
  <si>
    <t>70-HE-09-0031</t>
  </si>
  <si>
    <t>Duct Heater for HVAC R (Admin Bldg)</t>
  </si>
  <si>
    <t>1850</t>
  </si>
  <si>
    <t>70-HE-09-0032</t>
  </si>
  <si>
    <t>Duct Heater for Laboratory Room (Laboratory
Bldg)</t>
  </si>
  <si>
    <t>9.4</t>
  </si>
  <si>
    <t>1346</t>
  </si>
  <si>
    <t>KE</t>
  </si>
  <si>
    <t>70-KE-09-0001</t>
  </si>
  <si>
    <t>Exhaust Fan for Paint Store (Warehouse
building)</t>
  </si>
  <si>
    <t>Fan Package</t>
  </si>
  <si>
    <t>0.02</t>
  </si>
  <si>
    <t>Fresh Air Fan for Paint Store</t>
  </si>
  <si>
    <t>70-KE-09-0002</t>
  </si>
  <si>
    <t>70-KE-09-0003</t>
  </si>
  <si>
    <t>Exhaust Fan for WC (Warehouse building)</t>
  </si>
  <si>
    <t>W/C Extract Fan</t>
  </si>
  <si>
    <t>70-KE-09-0004</t>
  </si>
  <si>
    <t>Exhaust Fan for Toilets (Workshop building)</t>
  </si>
  <si>
    <t>70-KE-09-0005</t>
  </si>
  <si>
    <t>Exhaust Fan for Mechanical Workshop
(Workshop building)</t>
  </si>
  <si>
    <t>13507</t>
  </si>
  <si>
    <t>70-KE-09-0006</t>
  </si>
  <si>
    <t>Exhaust Fan for Welding Bay (Workshop
building)</t>
  </si>
  <si>
    <t>0.27</t>
  </si>
  <si>
    <t>0.55</t>
  </si>
  <si>
    <t>70-KE-09-0007</t>
  </si>
  <si>
    <t>Exhaust Fan for Painting Bay (Workshop
building)</t>
  </si>
  <si>
    <t>70-KE-09-0008</t>
  </si>
  <si>
    <t>Exhaust Fan for Changing Room (Fire Station)</t>
  </si>
  <si>
    <t>0.13</t>
  </si>
  <si>
    <t>70-KE-09-0009</t>
  </si>
  <si>
    <t>Exhaust Fan for workshop (Fire Station)</t>
  </si>
  <si>
    <t>0.09</t>
  </si>
  <si>
    <t>70-KE-09-0010</t>
  </si>
  <si>
    <t>Exhaust Fan for Staff Locker Room (Main Gate
House)</t>
  </si>
  <si>
    <t>70-KE-09-0011A</t>
  </si>
  <si>
    <t>Exhaust Fan for Battery Room (East ITR)</t>
  </si>
  <si>
    <t>1.10</t>
  </si>
  <si>
    <t>70-KE-09-0011B</t>
  </si>
  <si>
    <t>Standby</t>
  </si>
  <si>
    <t>70-KE-09-0012A</t>
  </si>
  <si>
    <t>Exhaust Fan for HVAC Room (East ITR)</t>
  </si>
  <si>
    <t>70-KE-09-0012B</t>
  </si>
  <si>
    <t>70-KE-09-0013A</t>
  </si>
  <si>
    <t>Exhaust Fan for Battery Room (West ITR)</t>
  </si>
  <si>
    <t>70-KE-09-0013B</t>
  </si>
  <si>
    <t>70-KE-09-0014A</t>
  </si>
  <si>
    <t>Exhaust Fan for HVAC Room (West ITR)</t>
  </si>
  <si>
    <t>70-KE-09-0014B</t>
  </si>
  <si>
    <t>70-KE-09-0015A</t>
  </si>
  <si>
    <t>Exhaust Fan for Clean Agent Fire Suppression
Room (Control Bldg))</t>
  </si>
  <si>
    <t>70-KE-09-0015B</t>
  </si>
  <si>
    <t>70-KE-09-0016A</t>
  </si>
  <si>
    <t>Exhaust Fan for Battery Room (Control Bldg)</t>
  </si>
  <si>
    <t>70-KE-09-0016B</t>
  </si>
  <si>
    <t>70-KE-09-0017</t>
  </si>
  <si>
    <t>Exhaust Fan for Janitor, Toilets, Showers
(Control Bldg)</t>
  </si>
  <si>
    <t>70-KE-09-0018A</t>
  </si>
  <si>
    <t>Exhaust Fan for Battery Room (Admin Bldg)</t>
  </si>
  <si>
    <t>70-KE-09-0018B</t>
  </si>
  <si>
    <t>70-KE-09-0019A</t>
  </si>
  <si>
    <t>Exhaust Fan for HVAC Room (Admin Bldg)</t>
  </si>
  <si>
    <t>70-KE-09-0019B</t>
  </si>
  <si>
    <t>70-KE-09-0020</t>
  </si>
  <si>
    <t>Exhaust Fan for WC (Admin Bldg)</t>
  </si>
  <si>
    <t>820</t>
  </si>
  <si>
    <t>70-KE-09-0021</t>
  </si>
  <si>
    <t>Exhaust Fan for Medical R (Admin Bldg)</t>
  </si>
  <si>
    <t>70-KE-09-0022</t>
  </si>
  <si>
    <t>Exhaust Room for Break R (Admin Bldg)</t>
  </si>
  <si>
    <t>70-KE-09-0025A</t>
  </si>
  <si>
    <t>Exhaust Room for HVAC Room (Main Gate
House)</t>
  </si>
  <si>
    <t>0.20</t>
  </si>
  <si>
    <t>70-KE-09-0025B</t>
  </si>
  <si>
    <t>70-KE-09-0026</t>
  </si>
  <si>
    <t>Exhaust Fan for Laboratory (Laboratory
Building)</t>
  </si>
  <si>
    <t>1288</t>
  </si>
  <si>
    <t>70-KE-09-0027</t>
  </si>
  <si>
    <t>Exhaust Fan for HVAC Room (Laboratory
Building)</t>
  </si>
  <si>
    <t>70-KE-09-0028</t>
  </si>
  <si>
    <t>Exhaust Fan for Technical Rooms (Laboratory
Building)</t>
  </si>
  <si>
    <t>70-KE-09-0029</t>
  </si>
  <si>
    <t>Exhaust Fan for Toilet (Laboratory Building)</t>
  </si>
  <si>
    <t>70-KE-09-0030</t>
  </si>
  <si>
    <t>Exhaust Room for WC (Security Hut 02)</t>
  </si>
  <si>
    <t>QA</t>
  </si>
  <si>
    <t>70-QA-09-0001</t>
  </si>
  <si>
    <t>Supply Air Handling Unit (Warehouse building)</t>
  </si>
  <si>
    <t>Air Handling Unit</t>
  </si>
  <si>
    <t>96.3</t>
  </si>
  <si>
    <t>18119</t>
  </si>
  <si>
    <t>21743</t>
  </si>
  <si>
    <t>0.57</t>
  </si>
  <si>
    <t>4.2</t>
  </si>
  <si>
    <t>950</t>
  </si>
  <si>
    <t>AZ-AB1-70-SK02-222004</t>
  </si>
  <si>
    <t>SS316L</t>
  </si>
  <si>
    <t>incl. outdoor air flow 1213 m3/h</t>
  </si>
  <si>
    <t>70-QA-09-0002</t>
  </si>
  <si>
    <t>Supply Air Handling Unit for Workshop Building</t>
  </si>
  <si>
    <t>509.5</t>
  </si>
  <si>
    <t>23807</t>
  </si>
  <si>
    <t>28568</t>
  </si>
  <si>
    <t>9.00</t>
  </si>
  <si>
    <t>AZ-AB1-70-SK02-220003</t>
  </si>
  <si>
    <t>100% fresh air</t>
  </si>
  <si>
    <t>70-QA-09-0003</t>
  </si>
  <si>
    <t>DX type Air Handling Unit (Fire Station)</t>
  </si>
  <si>
    <t>73.3</t>
  </si>
  <si>
    <t>5850</t>
  </si>
  <si>
    <t>7020</t>
  </si>
  <si>
    <t>AZ-AB1-70-SK02-222005</t>
  </si>
  <si>
    <t>70-QA-09-0004</t>
  </si>
  <si>
    <t>DX type Air Handling Unit (Main Gate House)</t>
  </si>
  <si>
    <t>47.2</t>
  </si>
  <si>
    <t>6624</t>
  </si>
  <si>
    <t>7949</t>
  </si>
  <si>
    <t>1.2</t>
  </si>
  <si>
    <t>AZ-AB1-70-SK02-222008</t>
  </si>
  <si>
    <t>70-QA-09-0005A</t>
  </si>
  <si>
    <t>Air Handling Unit for East ITR</t>
  </si>
  <si>
    <t>214.4</t>
  </si>
  <si>
    <t>16700</t>
  </si>
  <si>
    <t>20040</t>
  </si>
  <si>
    <t>4.20</t>
  </si>
  <si>
    <t>70-QA-09-0005B</t>
  </si>
  <si>
    <t>70-QA-09-0006A</t>
  </si>
  <si>
    <t>Air Handling Unit for West ITR</t>
  </si>
  <si>
    <t>219</t>
  </si>
  <si>
    <t>16900</t>
  </si>
  <si>
    <t>20280</t>
  </si>
  <si>
    <t>DX type</t>
  </si>
  <si>
    <t>70-QA-09-0006B</t>
  </si>
  <si>
    <t>70-QA-09-0007A</t>
  </si>
  <si>
    <t>Air Handling Unit for Control Building</t>
  </si>
  <si>
    <t>278</t>
  </si>
  <si>
    <t>44500</t>
  </si>
  <si>
    <t>53400</t>
  </si>
  <si>
    <t>18.00</t>
  </si>
  <si>
    <t>2700</t>
  </si>
  <si>
    <t>70-QA-09-0007B</t>
  </si>
  <si>
    <t>70-QA-09-0008</t>
  </si>
  <si>
    <t>Air Handling Unit for Admin Building</t>
  </si>
  <si>
    <t>Air handling Unit</t>
  </si>
  <si>
    <t>138</t>
  </si>
  <si>
    <t>3400</t>
  </si>
  <si>
    <t>4080</t>
  </si>
  <si>
    <t>70-QA-09-0009A</t>
  </si>
  <si>
    <t>DX Air Handling Unit for Admin Building</t>
  </si>
  <si>
    <t>47.3</t>
  </si>
  <si>
    <t>6700</t>
  </si>
  <si>
    <t>8040</t>
  </si>
  <si>
    <t>70-QA-09-0009B</t>
  </si>
  <si>
    <t>70-QA-09-0010A</t>
  </si>
  <si>
    <t>Air Handling Unit for Substation Building</t>
  </si>
  <si>
    <t>235</t>
  </si>
  <si>
    <t>34000</t>
  </si>
  <si>
    <t>40800</t>
  </si>
  <si>
    <t>3300</t>
  </si>
  <si>
    <t>70-QA-09-0010B</t>
  </si>
  <si>
    <t>70-QA-09-0011A</t>
  </si>
  <si>
    <t>Air Handling Unit for Laboratory Building</t>
  </si>
  <si>
    <t>97.6</t>
  </si>
  <si>
    <t>3660</t>
  </si>
  <si>
    <t>4392</t>
  </si>
  <si>
    <t>70-QA-09-0011B</t>
  </si>
  <si>
    <t>70-QA-09-0012A</t>
  </si>
  <si>
    <t>Air Handling Unit for Beach Valve Station</t>
  </si>
  <si>
    <t>5238</t>
  </si>
  <si>
    <t>6286</t>
  </si>
  <si>
    <t>850</t>
  </si>
  <si>
    <t>70-QA-09-0012B</t>
  </si>
  <si>
    <t>QU</t>
  </si>
  <si>
    <t>70-QU-09-0001</t>
  </si>
  <si>
    <t>Air Cooled Condensing Unit (Warehouse
building)</t>
  </si>
  <si>
    <t>Air Cooling Unit</t>
  </si>
  <si>
    <t>Model Daikin RXY5A-4AV1</t>
  </si>
  <si>
    <t>70-QU-09-0002</t>
  </si>
  <si>
    <t>70-QU-09-0003</t>
  </si>
  <si>
    <t>Air Cooled Condensing Unit for Telecom
(Workshop Building)</t>
  </si>
  <si>
    <t>1.16</t>
  </si>
  <si>
    <t>AZ-AB1-70-SK02-222003</t>
  </si>
  <si>
    <t>Model MSZ-AP80VGKIT
Location: Plant Access Security Hut 01</t>
  </si>
  <si>
    <t>70-QU-09-0004</t>
  </si>
  <si>
    <t>Air Cooled Condensing Unit for Electrical Room
(Workshop building)</t>
  </si>
  <si>
    <t>2.92</t>
  </si>
  <si>
    <t>Plant Access Security Hut 02</t>
  </si>
  <si>
    <t>70-QU-09-0005</t>
  </si>
  <si>
    <t>Air Cooled Condensing Unit (Fire Station)</t>
  </si>
  <si>
    <t>61.9</t>
  </si>
  <si>
    <t>23.10</t>
  </si>
  <si>
    <t>1.25</t>
  </si>
  <si>
    <t>Model 38ZS120</t>
  </si>
  <si>
    <t>70-QU-09-0006</t>
  </si>
  <si>
    <t>Air Cooled Condensing Unit (Main Gate House)</t>
  </si>
  <si>
    <t>39.5</t>
  </si>
  <si>
    <t>13.20</t>
  </si>
  <si>
    <t>16.00</t>
  </si>
  <si>
    <t>370</t>
  </si>
  <si>
    <t>Model 38ZS320</t>
  </si>
  <si>
    <t>70-QU-09-0007A</t>
  </si>
  <si>
    <t>Air Cooled Condensing Unit for Beach Valve
Station</t>
  </si>
  <si>
    <t>70-QU-09-0007B</t>
  </si>
  <si>
    <t>70-QU-09-0008</t>
  </si>
  <si>
    <t>Air Cooled Condensing Unit for Security Hut 02
(Office)</t>
  </si>
  <si>
    <t>70-QU-09-0009</t>
  </si>
  <si>
    <t>Air Cooled Condensing Unit for Security Hut 02
(Security Cabin)</t>
  </si>
  <si>
    <t>0.90</t>
  </si>
  <si>
    <t>70-QU-09-0010</t>
  </si>
  <si>
    <t>Air Cooled Condensing Unit for Security Hut 01</t>
  </si>
  <si>
    <t>70-QU-09-0011A</t>
  </si>
  <si>
    <t>Air Cooled Condensing Unit ITR East Utilities</t>
  </si>
  <si>
    <t>75.00</t>
  </si>
  <si>
    <t>AZ-AB1-70-SK02-222011</t>
  </si>
  <si>
    <t>70-QU-09-0011B</t>
  </si>
  <si>
    <t>Model MSZ-AP80VGKIT</t>
  </si>
  <si>
    <t>70-QU-09-0012A</t>
  </si>
  <si>
    <t>Air Cooled Condensing Unit ITR West Process</t>
  </si>
  <si>
    <t>219.0</t>
  </si>
  <si>
    <t>AZ-AB1-70-SK02-222010</t>
  </si>
  <si>
    <t>70-QU-09-0012B</t>
  </si>
  <si>
    <t>70-QU-09-0013A</t>
  </si>
  <si>
    <t>Air Cooled Condensing Unit (Admin Bldg)</t>
  </si>
  <si>
    <t>AZ-AB1-70-SK02-222006</t>
  </si>
  <si>
    <t>70-QU-09-0013B</t>
  </si>
  <si>
    <t>70-QU-09-0014A</t>
  </si>
  <si>
    <t>Air Cooled Condensing Unit (Laboratory Bldg)</t>
  </si>
  <si>
    <t>70-QU-09-0014B</t>
  </si>
  <si>
    <t>UE</t>
  </si>
  <si>
    <t>70-UE-09-0001</t>
  </si>
  <si>
    <t>Chilling Water Unit (Warehouse building)</t>
  </si>
  <si>
    <t>Air Cooled Chiller</t>
  </si>
  <si>
    <t>32.10</t>
  </si>
  <si>
    <t>Model Carrier 30RB160</t>
  </si>
  <si>
    <t>70-UE-09-0002</t>
  </si>
  <si>
    <t>Chilling Water Unit for Workshop Building</t>
  </si>
  <si>
    <t>190.00</t>
  </si>
  <si>
    <t>2.25</t>
  </si>
  <si>
    <t>3737</t>
  </si>
  <si>
    <t>4036</t>
  </si>
  <si>
    <t>Model Carrier 30XBEZE-350</t>
  </si>
  <si>
    <t>70-UE-09-0003A</t>
  </si>
  <si>
    <t>Chilling Water Unit for Control Building</t>
  </si>
  <si>
    <t>110.00</t>
  </si>
  <si>
    <t>2400</t>
  </si>
  <si>
    <t>2600</t>
  </si>
  <si>
    <t>Model 30RB160</t>
  </si>
  <si>
    <t>70-UE-09-0003B</t>
  </si>
  <si>
    <t>70-UE-09-0004</t>
  </si>
  <si>
    <t>Chilling Water Unit for Admin Building</t>
  </si>
  <si>
    <t>52.00</t>
  </si>
  <si>
    <t>3.8</t>
  </si>
  <si>
    <t>Model 30XBEZE-400</t>
  </si>
  <si>
    <t>70-UE-09-0005A</t>
  </si>
  <si>
    <t>240</t>
  </si>
  <si>
    <t>2.32</t>
  </si>
  <si>
    <t>2000</t>
  </si>
  <si>
    <t>2100</t>
  </si>
  <si>
    <t>Model 30XBEZE-900</t>
  </si>
  <si>
    <t>70-UE-09-0005B</t>
  </si>
  <si>
    <t>UP</t>
  </si>
  <si>
    <t>70-UP-09-0001</t>
  </si>
  <si>
    <t>Humidifier (Warehouse building)</t>
  </si>
  <si>
    <t>Steam Generator</t>
  </si>
  <si>
    <t>34.06</t>
  </si>
  <si>
    <t>140</t>
  </si>
  <si>
    <t>70-UP-09-0002</t>
  </si>
  <si>
    <t>Humidifier (Main Gate House)</t>
  </si>
  <si>
    <t>6500</t>
  </si>
  <si>
    <t>16.73</t>
  </si>
  <si>
    <t>70-UP-09-0003</t>
  </si>
  <si>
    <t>Humidifier (Fire Station)</t>
  </si>
  <si>
    <t>5600</t>
  </si>
  <si>
    <t>26.64</t>
  </si>
  <si>
    <t>1.4</t>
  </si>
  <si>
    <t>70-UP-09-0004</t>
  </si>
  <si>
    <t>Humidifier for HVAC Room (Control Bldg)</t>
  </si>
  <si>
    <t>145.1</t>
  </si>
  <si>
    <t>70-UP-09-0005</t>
  </si>
  <si>
    <t>Humidifier (Substation Bldg)</t>
  </si>
  <si>
    <t>128</t>
  </si>
  <si>
    <t>70-UP-09-0006</t>
  </si>
  <si>
    <t>Humidifier (Workshop Bldg)</t>
  </si>
  <si>
    <t>70-UP-09-0007</t>
  </si>
  <si>
    <t>Humidifier (Admin Bldg)</t>
  </si>
  <si>
    <t>510</t>
  </si>
  <si>
    <t>24000</t>
  </si>
  <si>
    <t>70-UP-09-0008</t>
  </si>
  <si>
    <t>70-UP-09-0009</t>
  </si>
  <si>
    <t>Humidifier (ITR East Bldg)</t>
  </si>
  <si>
    <t>70-UP-09-0010</t>
  </si>
  <si>
    <t>Humidifier (ITR West Bldg)</t>
  </si>
  <si>
    <t>17000</t>
  </si>
  <si>
    <t>70-UP-09-0011</t>
  </si>
  <si>
    <t>Humidifier (Laboratory Bldg)</t>
  </si>
  <si>
    <t>70-UP-09-0012</t>
  </si>
  <si>
    <t>Humidifier (Beach valve station)</t>
  </si>
  <si>
    <t>16.87</t>
  </si>
  <si>
    <t>JB</t>
  </si>
  <si>
    <t>70-JB-78-0001</t>
  </si>
  <si>
    <t>Mobile Crane (30 Tonne)</t>
  </si>
  <si>
    <t>Crane</t>
  </si>
  <si>
    <t>Required for Mechanical Handling</t>
  </si>
  <si>
    <t>70-JB-78-0002</t>
  </si>
  <si>
    <t>Mobile Crane (60 Tonne)</t>
  </si>
  <si>
    <t>Required for Mechanical Handling - likely to be the optimised crane solution - to
be confirmed during detailed engineering.</t>
  </si>
  <si>
    <t>70-JB-78-0003</t>
  </si>
  <si>
    <t>Mobile Crane (100 Tonne)</t>
  </si>
  <si>
    <t>JC</t>
  </si>
  <si>
    <t>Overhead Crane - Export Compressor Shelter (
15 Te SWL)</t>
  </si>
  <si>
    <t>TBA</t>
  </si>
  <si>
    <t>Overhead Crane - Flash Gas Compressor
Shelter ( 10 Te SWL)</t>
  </si>
  <si>
    <t>Overhead Crane - Workshop Building
(10 Te SWL)</t>
  </si>
  <si>
    <t>JD</t>
  </si>
  <si>
    <t>70-JD-78-0001</t>
  </si>
  <si>
    <t>Lifting Davit - PSV Platform (500 kg SWL)</t>
  </si>
  <si>
    <t>Required for Mechanical Handling - for secondary lifting from PSV and fin fan
level</t>
  </si>
  <si>
    <t>70-JD-78-0002</t>
  </si>
  <si>
    <t>Lifting Davit - Export Compressor After Cooler
(500 kg SWL)</t>
  </si>
  <si>
    <t>70-JD-78-0003</t>
  </si>
  <si>
    <t>Lifting Davit - 2nd Stage Suction Cooler
Platform (500 kg SWL)</t>
  </si>
  <si>
    <t>70-JD-78-0004</t>
  </si>
  <si>
    <t>Lifting Davit - Heating Medium Dump Cooler
(500 kg SWL)</t>
  </si>
  <si>
    <t>70-JD-78-0005</t>
  </si>
  <si>
    <t>Compressor Bundle Extractor</t>
  </si>
  <si>
    <t>Required for Mechanical Handling - Supplied by the equipment VENDOR</t>
  </si>
  <si>
    <t>70-JD-78-0006</t>
  </si>
  <si>
    <t>Compressor Motor Rotor Extractor</t>
  </si>
  <si>
    <t>70-JD-78-0007</t>
  </si>
  <si>
    <t>Shell and Tube Bundle Extractor (20 Te SWL)</t>
  </si>
  <si>
    <t>Portable Lifting Gantry / A-Frame (1 Te SWL)</t>
  </si>
  <si>
    <t>JH</t>
  </si>
  <si>
    <t>Chain Hoist</t>
  </si>
  <si>
    <t>JTS</t>
  </si>
  <si>
    <t>70-JTS-78-0001</t>
  </si>
  <si>
    <t>Manual Hoists (various capacities)</t>
  </si>
  <si>
    <t>70-JTS-78-0002</t>
  </si>
  <si>
    <t>70-JTS-78-0003</t>
  </si>
  <si>
    <t>70-JTS-78-0004</t>
  </si>
  <si>
    <t>70-JTS-78-0005</t>
  </si>
  <si>
    <t>Puller (various capacities)</t>
  </si>
  <si>
    <t>70-JTS-78-0006</t>
  </si>
  <si>
    <t>70-JTS-78-0007</t>
  </si>
  <si>
    <t>70-JTS-78-0008</t>
  </si>
  <si>
    <t>JY</t>
  </si>
  <si>
    <t>70-JY-78-0001</t>
  </si>
  <si>
    <t>Telehandler (3.5 Te SWL)</t>
  </si>
  <si>
    <t>Forklift</t>
  </si>
  <si>
    <t>70-JY-78-0002</t>
  </si>
  <si>
    <t>Forklift (5.5Te SWL)</t>
  </si>
  <si>
    <t>70-JY-78-0003</t>
  </si>
  <si>
    <t>Scissor Lift (500kg SWL)</t>
  </si>
  <si>
    <t>Required for Mechanical Handling - Manual push pull Scissor lift with hydraulic
power lifting table SWL 500kg for all air cooler motors</t>
  </si>
  <si>
    <t>70-JY-78-0004</t>
  </si>
  <si>
    <t>Tow Trolley (1 Te SWL)</t>
  </si>
  <si>
    <t>Rated Power
(kW)
[B]</t>
  </si>
  <si>
    <t>70-IJ-61-0001C</t>
  </si>
  <si>
    <t>MEG Regeneration Package
-  Electic Reboiler</t>
  </si>
  <si>
    <t>(Breaker Type = VCB, 11 kV class; Rating = continuous current In)</t>
  </si>
  <si>
    <t>No.</t>
  </si>
  <si>
    <t>Breaker Type</t>
  </si>
  <si>
    <t>Rating (A)</t>
  </si>
  <si>
    <t>VCB 11 kV</t>
  </si>
  <si>
    <t>70‑A‑20‑0002A</t>
  </si>
  <si>
    <t>70‑A‑20‑0002B</t>
  </si>
  <si>
    <t>70‑PA‑01‑0002</t>
  </si>
  <si>
    <t>Notes (basis you can keep with the sheet)</t>
  </si>
  <si>
    <t>*   Selection rule used: choose breaker In ≥ design current (≈1.25×FLC) and round up to the next standard rating; this follows IEC selection practice for protective devices (Ib ≤ In, coordination with cable/installation).</t>
  </si>
  <si>
    <t>*   Standard 11 kV VCB continuous ratings commonly available: 630, 800, 1250, 1600, 2000, 2500, 3150 A; hence most feeders land on 630 A, and large motors on 1250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</si>
</sst>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_);[Red]\(0.00\)"/>
    <numFmt numFmtId="166" formatCode="0.0;\-0.0;;@"/>
    <numFmt numFmtId="167" formatCode="0.000_);[Red]\(0.000\)"/>
    <numFmt numFmtId="168" formatCode="_ * #,##0_ ;_ * \-#,##0_ ;_ * &quot;-&quot;_ ;_ @_ "/>
  </numFmts>
  <fonts count="38">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0"/>
      <color theme="1"/>
      <name val="Arial"/>
      <family val="2"/>
      <scheme val="minor"/>
    </font>
    <font>
      <b/>
      <sz val="10"/>
      <color rgb="FFFF0000"/>
      <name val="Arial"/>
      <family val="2"/>
      <scheme val="minor"/>
    </font>
    <font>
      <sz val="10"/>
      <color rgb="FFFF0000"/>
      <name val="Arial"/>
      <family val="2"/>
      <scheme val="minor"/>
    </font>
    <font>
      <i/>
      <sz val="10"/>
      <color theme="1"/>
      <name val="Arial"/>
      <family val="2"/>
      <scheme val="minor"/>
    </font>
    <font>
      <sz val="10"/>
      <color rgb="FF000000"/>
      <name val="Arial"/>
      <family val="2"/>
      <scheme val="minor"/>
    </font>
    <font>
      <sz val="8"/>
      <name val="Arial"/>
      <family val="2"/>
      <scheme val="minor"/>
    </font>
    <font>
      <b/>
      <sz val="10"/>
      <color theme="0"/>
      <name val="Arial"/>
      <family val="2"/>
      <scheme val="minor"/>
    </font>
    <font>
      <b/>
      <sz val="10"/>
      <color rgb="FF000000"/>
      <name val="Arial"/>
      <family val="2"/>
      <scheme val="minor"/>
    </font>
    <font>
      <sz val="10"/>
      <color rgb="FF000000"/>
      <name val="Arial Unicode MS"/>
    </font>
    <font>
      <b/>
      <sz val="11"/>
      <color rgb="FF00B0F0"/>
      <name val="Arial"/>
      <family val="2"/>
      <scheme val="minor"/>
    </font>
    <font>
      <sz val="10"/>
      <name val="Arial"/>
      <family val="2"/>
    </font>
    <font>
      <b/>
      <sz val="10"/>
      <name val="Arial"/>
      <family val="2"/>
    </font>
    <font>
      <b/>
      <sz val="13.5"/>
      <color rgb="FF000000"/>
      <name val="Arial"/>
      <family val="2"/>
      <scheme val="minor"/>
    </font>
    <font>
      <b/>
      <sz val="11"/>
      <color theme="1"/>
      <name val="Arial"/>
      <family val="2"/>
      <scheme val="minor"/>
    </font>
    <font>
      <sz val="9"/>
      <color indexed="81"/>
      <name val="Tahoma"/>
      <family val="2"/>
    </font>
    <font>
      <b/>
      <sz val="9"/>
      <color indexed="81"/>
      <name val="Tahoma"/>
      <family val="2"/>
    </font>
    <font>
      <b/>
      <sz val="18"/>
      <color rgb="FF000000"/>
      <name val="Arial"/>
      <family val="2"/>
      <scheme val="minor"/>
    </font>
    <font>
      <b/>
      <sz val="16"/>
      <color rgb="FF000000"/>
      <name val="Arial"/>
      <family val="2"/>
      <scheme val="minor"/>
    </font>
    <font>
      <sz val="10"/>
      <color theme="1"/>
      <name val="Arial"/>
      <family val="2"/>
    </font>
    <font>
      <b/>
      <sz val="12"/>
      <name val="Arial"/>
      <family val="2"/>
    </font>
    <font>
      <b/>
      <sz val="12"/>
      <color theme="1"/>
      <name val="Arial"/>
      <family val="2"/>
    </font>
    <font>
      <sz val="12"/>
      <color theme="1"/>
      <name val="Arial"/>
      <family val="2"/>
    </font>
    <font>
      <b/>
      <sz val="20"/>
      <name val="맑은 고딕"/>
      <family val="3"/>
      <charset val="129"/>
    </font>
    <font>
      <b/>
      <sz val="20"/>
      <color theme="1"/>
      <name val="맑은 고딕"/>
      <family val="3"/>
      <charset val="129"/>
    </font>
    <font>
      <b/>
      <sz val="12"/>
      <color theme="1"/>
      <name val="맑은 고딕"/>
      <family val="3"/>
      <charset val="129"/>
    </font>
    <font>
      <sz val="12"/>
      <name val="맑은 고딕"/>
      <family val="3"/>
      <charset val="129"/>
    </font>
    <font>
      <sz val="12"/>
      <name val="바탕체"/>
      <family val="1"/>
      <charset val="129"/>
    </font>
    <font>
      <strike/>
      <sz val="12"/>
      <color rgb="FFFF0000"/>
      <name val="맑은 고딕"/>
      <family val="3"/>
      <charset val="129"/>
    </font>
    <font>
      <strike/>
      <sz val="10"/>
      <color rgb="FFFF0000"/>
      <name val="Arial"/>
      <family val="2"/>
      <scheme val="minor"/>
    </font>
    <font>
      <b/>
      <strike/>
      <sz val="18"/>
      <color rgb="FFFF0000"/>
      <name val="Arial"/>
      <family val="2"/>
      <scheme val="minor"/>
    </font>
    <font>
      <sz val="10"/>
      <name val="Arial"/>
      <family val="2"/>
      <scheme val="minor"/>
    </font>
    <font>
      <b/>
      <sz val="10"/>
      <color rgb="FF000000"/>
      <name val="Arial"/>
      <scheme val="minor"/>
    </font>
    <font>
      <b/>
      <sz val="12"/>
      <color rgb="FF000000"/>
      <name val="Arial"/>
      <scheme val="minor"/>
    </font>
    <font>
      <i/>
      <sz val="10"/>
      <name val="Arial"/>
      <family val="2"/>
    </font>
  </fonts>
  <fills count="12">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4"/>
        <bgColor theme="4"/>
      </patternFill>
    </fill>
    <fill>
      <patternFill patternType="solid">
        <fgColor theme="6" tint="0.59999389629810485"/>
        <bgColor indexed="64"/>
      </patternFill>
    </fill>
    <fill>
      <patternFill patternType="solid">
        <fgColor rgb="FFFFC000"/>
        <bgColor indexed="64"/>
      </patternFill>
    </fill>
    <fill>
      <patternFill patternType="solid">
        <fgColor rgb="FF00B0F0"/>
        <bgColor indexed="64"/>
      </patternFill>
    </fill>
    <fill>
      <patternFill patternType="solid">
        <fgColor theme="4"/>
        <bgColor indexed="64"/>
      </patternFill>
    </fill>
    <fill>
      <patternFill patternType="solid">
        <fgColor theme="5" tint="0.79998168889431442"/>
        <bgColor indexed="64"/>
      </patternFill>
    </fill>
  </fills>
  <borders count="5">
    <border>
      <left/>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auto="1"/>
      </left>
      <right style="thin">
        <color auto="1"/>
      </right>
      <top style="thin">
        <color auto="1"/>
      </top>
      <bottom style="thin">
        <color auto="1"/>
      </bottom>
      <diagonal/>
    </border>
  </borders>
  <cellStyleXfs count="4">
    <xf numFmtId="0" fontId="0" fillId="0" borderId="0"/>
    <xf numFmtId="0" fontId="3" fillId="0" borderId="0"/>
    <xf numFmtId="0" fontId="14" fillId="0" borderId="0">
      <alignment vertical="center"/>
    </xf>
    <xf numFmtId="168" fontId="30" fillId="0" borderId="0" applyFont="0" applyFill="0" applyBorder="0" applyAlignment="0" applyProtection="0"/>
  </cellStyleXfs>
  <cellXfs count="129">
    <xf numFmtId="0" fontId="0" fillId="0" borderId="0" xfId="0"/>
    <xf numFmtId="0" fontId="4" fillId="0" borderId="0" xfId="0" applyFont="1"/>
    <xf numFmtId="0" fontId="5" fillId="0" borderId="0" xfId="0" applyFont="1"/>
    <xf numFmtId="0" fontId="6" fillId="0" borderId="0" xfId="0" applyFont="1"/>
    <xf numFmtId="0" fontId="7" fillId="0" borderId="0" xfId="0" applyFont="1"/>
    <xf numFmtId="0" fontId="4" fillId="0" borderId="0" xfId="0" applyFont="1" applyAlignment="1">
      <alignment horizontal="center" wrapText="1"/>
    </xf>
    <xf numFmtId="0" fontId="0" fillId="0" borderId="0" xfId="0" applyAlignment="1">
      <alignment horizontal="center"/>
    </xf>
    <xf numFmtId="0" fontId="4" fillId="0" borderId="0" xfId="0" applyFont="1" applyAlignment="1">
      <alignment horizontal="center"/>
    </xf>
    <xf numFmtId="0" fontId="4" fillId="2" borderId="0" xfId="0" applyFont="1" applyFill="1" applyAlignment="1">
      <alignment horizontal="center"/>
    </xf>
    <xf numFmtId="0" fontId="0" fillId="0" borderId="0" xfId="0" applyAlignment="1">
      <alignment wrapText="1"/>
    </xf>
    <xf numFmtId="0" fontId="8" fillId="0" borderId="0" xfId="0" applyFont="1"/>
    <xf numFmtId="0" fontId="8" fillId="4" borderId="0" xfId="0" applyFont="1" applyFill="1" applyAlignment="1">
      <alignment wrapText="1"/>
    </xf>
    <xf numFmtId="0" fontId="8" fillId="4" borderId="0" xfId="0" applyFont="1" applyFill="1"/>
    <xf numFmtId="0" fontId="0" fillId="4" borderId="0" xfId="0" applyFill="1"/>
    <xf numFmtId="0" fontId="0" fillId="0" borderId="0" xfId="0" applyAlignment="1">
      <alignment horizontal="center" wrapText="1"/>
    </xf>
    <xf numFmtId="0" fontId="8" fillId="0" borderId="0" xfId="0" applyFont="1" applyAlignment="1">
      <alignment horizontal="center"/>
    </xf>
    <xf numFmtId="0" fontId="8" fillId="3" borderId="0" xfId="0" applyFont="1" applyFill="1"/>
    <xf numFmtId="0" fontId="8" fillId="0" borderId="0" xfId="0" applyFont="1" applyAlignment="1">
      <alignment horizontal="center" wrapText="1"/>
    </xf>
    <xf numFmtId="0" fontId="4" fillId="5" borderId="0" xfId="0" applyFont="1" applyFill="1"/>
    <xf numFmtId="0" fontId="4" fillId="5" borderId="0" xfId="0" applyFont="1" applyFill="1" applyAlignment="1">
      <alignment horizontal="center"/>
    </xf>
    <xf numFmtId="0" fontId="0" fillId="5" borderId="0" xfId="0" applyFill="1"/>
    <xf numFmtId="0" fontId="0" fillId="5" borderId="0" xfId="0" applyFill="1" applyAlignment="1">
      <alignment horizontal="center"/>
    </xf>
    <xf numFmtId="0" fontId="11" fillId="0" borderId="0" xfId="0" applyFont="1" applyAlignment="1">
      <alignment wrapText="1"/>
    </xf>
    <xf numFmtId="0" fontId="10" fillId="6" borderId="1" xfId="0" applyFont="1" applyFill="1" applyBorder="1"/>
    <xf numFmtId="0" fontId="10" fillId="6" borderId="2" xfId="0" applyFont="1" applyFill="1" applyBorder="1"/>
    <xf numFmtId="0" fontId="10" fillId="6" borderId="3" xfId="0" applyFont="1" applyFill="1" applyBorder="1"/>
    <xf numFmtId="0" fontId="0" fillId="7" borderId="0" xfId="0" applyFill="1"/>
    <xf numFmtId="0" fontId="8" fillId="0" borderId="0" xfId="0" applyFont="1" applyAlignment="1">
      <alignment wrapText="1"/>
    </xf>
    <xf numFmtId="2" fontId="0" fillId="0" borderId="0" xfId="0" applyNumberFormat="1"/>
    <xf numFmtId="0" fontId="0" fillId="0" borderId="0" xfId="0" applyAlignment="1">
      <alignment vertical="center"/>
    </xf>
    <xf numFmtId="164" fontId="0" fillId="0" borderId="0" xfId="0" applyNumberFormat="1"/>
    <xf numFmtId="2" fontId="0" fillId="7" borderId="0" xfId="0" applyNumberFormat="1" applyFill="1"/>
    <xf numFmtId="2" fontId="0" fillId="4" borderId="0" xfId="0" applyNumberFormat="1" applyFill="1"/>
    <xf numFmtId="0" fontId="0" fillId="3" borderId="0" xfId="0" applyFill="1" applyAlignment="1">
      <alignment vertical="center"/>
    </xf>
    <xf numFmtId="0" fontId="0" fillId="3" borderId="0" xfId="0" applyFill="1"/>
    <xf numFmtId="0" fontId="3" fillId="8" borderId="4" xfId="1" applyFill="1" applyBorder="1" applyAlignment="1">
      <alignment wrapText="1"/>
    </xf>
    <xf numFmtId="0" fontId="3" fillId="0" borderId="0" xfId="1" applyAlignment="1">
      <alignment wrapText="1"/>
    </xf>
    <xf numFmtId="0" fontId="3" fillId="0" borderId="4" xfId="1" applyBorder="1" applyAlignment="1">
      <alignment wrapText="1"/>
    </xf>
    <xf numFmtId="0" fontId="3" fillId="9" borderId="4" xfId="1" applyFill="1" applyBorder="1" applyAlignment="1">
      <alignment wrapText="1"/>
    </xf>
    <xf numFmtId="0" fontId="3" fillId="8" borderId="0" xfId="1" applyFill="1" applyAlignment="1">
      <alignment wrapText="1"/>
    </xf>
    <xf numFmtId="0" fontId="3" fillId="0" borderId="0" xfId="1"/>
    <xf numFmtId="0" fontId="15" fillId="0" borderId="0" xfId="2" applyFont="1" applyAlignment="1">
      <alignment horizontal="center" vertical="center" wrapText="1"/>
    </xf>
    <xf numFmtId="0" fontId="14" fillId="0" borderId="0" xfId="2">
      <alignment vertical="center"/>
    </xf>
    <xf numFmtId="0" fontId="14" fillId="0" borderId="0" xfId="2" applyAlignment="1">
      <alignment vertical="center" wrapText="1"/>
    </xf>
    <xf numFmtId="0" fontId="0" fillId="3" borderId="0" xfId="0" applyFill="1" applyAlignment="1">
      <alignment wrapText="1"/>
    </xf>
    <xf numFmtId="0" fontId="11" fillId="0" borderId="0" xfId="0" applyFont="1" applyAlignment="1">
      <alignment horizontal="center" vertical="center" wrapText="1"/>
    </xf>
    <xf numFmtId="0" fontId="8" fillId="0" borderId="0" xfId="0" applyFont="1" applyAlignment="1">
      <alignment vertical="center" wrapText="1"/>
    </xf>
    <xf numFmtId="0" fontId="16" fillId="0" borderId="0" xfId="0" applyFont="1" applyAlignment="1">
      <alignment vertical="center"/>
    </xf>
    <xf numFmtId="0" fontId="0" fillId="0" borderId="0" xfId="0" applyAlignment="1">
      <alignment horizontal="left" vertical="center" indent="1"/>
    </xf>
    <xf numFmtId="0" fontId="11" fillId="0" borderId="0" xfId="0" applyFont="1"/>
    <xf numFmtId="0" fontId="11" fillId="0" borderId="0" xfId="0" applyFont="1" applyAlignment="1">
      <alignment horizontal="left" vertical="center" indent="1"/>
    </xf>
    <xf numFmtId="0" fontId="14" fillId="0" borderId="0" xfId="2" applyAlignment="1">
      <alignment horizontal="center" vertical="center" wrapText="1"/>
    </xf>
    <xf numFmtId="0" fontId="14" fillId="0" borderId="0" xfId="2" applyAlignment="1">
      <alignment horizontal="center" vertical="center"/>
    </xf>
    <xf numFmtId="0" fontId="14" fillId="3" borderId="0" xfId="2" applyFill="1" applyAlignment="1">
      <alignment horizontal="center" vertical="center"/>
    </xf>
    <xf numFmtId="0" fontId="3" fillId="3" borderId="0" xfId="1" applyFill="1" applyAlignment="1">
      <alignment wrapText="1"/>
    </xf>
    <xf numFmtId="0" fontId="3" fillId="3" borderId="0" xfId="1" applyFill="1"/>
    <xf numFmtId="0" fontId="20" fillId="3" borderId="0" xfId="0" applyFont="1" applyFill="1"/>
    <xf numFmtId="0" fontId="21" fillId="3" borderId="0" xfId="0" applyFont="1" applyFill="1"/>
    <xf numFmtId="0" fontId="5" fillId="3" borderId="0" xfId="0" applyFont="1" applyFill="1"/>
    <xf numFmtId="0" fontId="0" fillId="0" borderId="0" xfId="0" applyAlignment="1">
      <alignment horizontal="right"/>
    </xf>
    <xf numFmtId="0" fontId="3" fillId="3" borderId="4" xfId="1" applyFill="1" applyBorder="1" applyAlignment="1">
      <alignment wrapText="1"/>
    </xf>
    <xf numFmtId="2" fontId="0" fillId="0" borderId="0" xfId="0" applyNumberFormat="1" applyAlignment="1">
      <alignment horizontal="right"/>
    </xf>
    <xf numFmtId="0" fontId="26" fillId="0" borderId="4" xfId="0" applyFont="1" applyBorder="1" applyAlignment="1">
      <alignment horizontal="center" vertical="center"/>
    </xf>
    <xf numFmtId="0" fontId="26" fillId="0" borderId="4" xfId="0" applyFont="1" applyBorder="1" applyAlignment="1">
      <alignment horizontal="center" vertical="center" wrapText="1"/>
    </xf>
    <xf numFmtId="0" fontId="27" fillId="0" borderId="4" xfId="0" applyFont="1" applyBorder="1" applyAlignment="1">
      <alignment horizontal="center" vertical="center"/>
    </xf>
    <xf numFmtId="166" fontId="27" fillId="0" borderId="4" xfId="0" applyNumberFormat="1" applyFont="1" applyBorder="1" applyAlignment="1">
      <alignment horizontal="center" vertical="center"/>
    </xf>
    <xf numFmtId="165" fontId="27" fillId="0" borderId="4" xfId="0" applyNumberFormat="1" applyFont="1" applyBorder="1" applyAlignment="1">
      <alignment horizontal="center" vertical="center"/>
    </xf>
    <xf numFmtId="165" fontId="28" fillId="0" borderId="4" xfId="0" applyNumberFormat="1" applyFont="1" applyBorder="1" applyAlignment="1">
      <alignment horizontal="center" vertical="center"/>
    </xf>
    <xf numFmtId="165" fontId="0" fillId="0" borderId="4" xfId="0" applyNumberFormat="1" applyBorder="1" applyAlignment="1">
      <alignment horizontal="center" vertical="center"/>
    </xf>
    <xf numFmtId="0" fontId="29" fillId="0" borderId="4" xfId="0" applyFont="1" applyBorder="1" applyAlignment="1">
      <alignment horizontal="center" vertical="center"/>
    </xf>
    <xf numFmtId="0" fontId="29" fillId="0" borderId="4" xfId="0" applyFont="1" applyBorder="1" applyAlignment="1">
      <alignment horizontal="center" vertical="center" wrapText="1"/>
    </xf>
    <xf numFmtId="0" fontId="29" fillId="0" borderId="4" xfId="0" applyFont="1" applyBorder="1" applyAlignment="1">
      <alignment horizontal="left" vertical="center" wrapText="1"/>
    </xf>
    <xf numFmtId="165" fontId="29" fillId="0" borderId="4" xfId="0" applyNumberFormat="1" applyFont="1" applyBorder="1" applyAlignment="1">
      <alignment horizontal="center" vertical="center"/>
    </xf>
    <xf numFmtId="167" fontId="29" fillId="0" borderId="4" xfId="0" applyNumberFormat="1" applyFont="1" applyBorder="1" applyAlignment="1">
      <alignment horizontal="center" vertical="center"/>
    </xf>
    <xf numFmtId="165" fontId="29" fillId="0" borderId="4" xfId="3" applyNumberFormat="1" applyFont="1" applyFill="1" applyBorder="1" applyAlignment="1">
      <alignment horizontal="center" vertical="center"/>
    </xf>
    <xf numFmtId="0" fontId="29" fillId="0" borderId="4" xfId="0" applyFont="1" applyBorder="1" applyAlignment="1">
      <alignment horizontal="left" vertical="center"/>
    </xf>
    <xf numFmtId="0" fontId="29" fillId="0" borderId="4" xfId="0" quotePrefix="1" applyFont="1" applyBorder="1" applyAlignment="1">
      <alignment horizontal="left" vertical="center" wrapText="1"/>
    </xf>
    <xf numFmtId="0" fontId="31" fillId="0" borderId="4" xfId="0" applyFont="1" applyBorder="1" applyAlignment="1">
      <alignment horizontal="center" vertical="center"/>
    </xf>
    <xf numFmtId="0" fontId="31" fillId="0" borderId="4" xfId="0" applyFont="1" applyBorder="1" applyAlignment="1">
      <alignment horizontal="center" vertical="center" wrapText="1"/>
    </xf>
    <xf numFmtId="0" fontId="31" fillId="0" borderId="4" xfId="0" applyFont="1" applyBorder="1" applyAlignment="1">
      <alignment horizontal="left" vertical="center"/>
    </xf>
    <xf numFmtId="165" fontId="31" fillId="0" borderId="4" xfId="0" applyNumberFormat="1" applyFont="1" applyBorder="1" applyAlignment="1">
      <alignment horizontal="center" vertical="center"/>
    </xf>
    <xf numFmtId="167" fontId="31" fillId="0" borderId="4" xfId="0" applyNumberFormat="1" applyFont="1" applyBorder="1" applyAlignment="1">
      <alignment horizontal="center" vertical="center"/>
    </xf>
    <xf numFmtId="165" fontId="31" fillId="0" borderId="4" xfId="3" applyNumberFormat="1" applyFont="1" applyFill="1" applyBorder="1" applyAlignment="1">
      <alignment horizontal="center" vertical="center"/>
    </xf>
    <xf numFmtId="0" fontId="29" fillId="3" borderId="4" xfId="0" applyFont="1" applyFill="1" applyBorder="1" applyAlignment="1">
      <alignment horizontal="center" vertical="center" wrapText="1"/>
    </xf>
    <xf numFmtId="0" fontId="8" fillId="9" borderId="0" xfId="0" applyFont="1" applyFill="1"/>
    <xf numFmtId="0" fontId="32" fillId="0" borderId="0" xfId="0" applyFont="1" applyAlignment="1">
      <alignment wrapText="1"/>
    </xf>
    <xf numFmtId="0" fontId="32" fillId="7" borderId="0" xfId="0" applyFont="1" applyFill="1"/>
    <xf numFmtId="0" fontId="32" fillId="0" borderId="0" xfId="0" applyFont="1"/>
    <xf numFmtId="2" fontId="32" fillId="0" borderId="0" xfId="0" applyNumberFormat="1" applyFont="1"/>
    <xf numFmtId="0" fontId="32" fillId="0" borderId="0" xfId="0" applyFont="1" applyAlignment="1">
      <alignment vertical="center"/>
    </xf>
    <xf numFmtId="16" fontId="14" fillId="0" borderId="0" xfId="2" applyNumberFormat="1">
      <alignment vertical="center"/>
    </xf>
    <xf numFmtId="0" fontId="14" fillId="8" borderId="0" xfId="2" applyFill="1">
      <alignment vertical="center"/>
    </xf>
    <xf numFmtId="0" fontId="33" fillId="3" borderId="0" xfId="0" applyFont="1" applyFill="1"/>
    <xf numFmtId="0" fontId="8" fillId="8" borderId="0" xfId="0" applyFont="1" applyFill="1"/>
    <xf numFmtId="0" fontId="8" fillId="0" borderId="0" xfId="0" applyFont="1" applyAlignment="1">
      <alignment vertical="center"/>
    </xf>
    <xf numFmtId="0" fontId="0" fillId="8" borderId="0" xfId="0" applyFill="1"/>
    <xf numFmtId="0" fontId="34" fillId="0" borderId="0" xfId="0" applyFont="1" applyAlignment="1">
      <alignment wrapText="1"/>
    </xf>
    <xf numFmtId="0" fontId="34" fillId="0" borderId="0" xfId="0" applyFont="1"/>
    <xf numFmtId="0" fontId="34" fillId="7" borderId="0" xfId="0" applyFont="1" applyFill="1"/>
    <xf numFmtId="0" fontId="34" fillId="4" borderId="0" xfId="0" applyFont="1" applyFill="1"/>
    <xf numFmtId="2" fontId="0" fillId="8" borderId="0" xfId="0" applyNumberFormat="1" applyFill="1"/>
    <xf numFmtId="0" fontId="0" fillId="8" borderId="0" xfId="0" applyFill="1" applyAlignment="1">
      <alignment horizontal="center"/>
    </xf>
    <xf numFmtId="0" fontId="11" fillId="3" borderId="0" xfId="0" applyFont="1" applyFill="1"/>
    <xf numFmtId="11" fontId="0" fillId="0" borderId="0" xfId="0" applyNumberFormat="1"/>
    <xf numFmtId="0" fontId="5" fillId="3" borderId="0" xfId="0" applyFont="1" applyFill="1" applyAlignment="1">
      <alignment horizontal="center"/>
    </xf>
    <xf numFmtId="0" fontId="8" fillId="3" borderId="0" xfId="0" applyFont="1" applyFill="1" applyAlignment="1">
      <alignment wrapText="1"/>
    </xf>
    <xf numFmtId="0" fontId="0" fillId="10" borderId="0" xfId="0" applyFill="1"/>
    <xf numFmtId="0" fontId="0" fillId="11" borderId="0" xfId="0" applyFill="1"/>
    <xf numFmtId="0" fontId="8" fillId="0" borderId="4" xfId="0" applyFont="1" applyBorder="1"/>
    <xf numFmtId="0" fontId="0" fillId="0" borderId="4" xfId="0" applyBorder="1"/>
    <xf numFmtId="0" fontId="8" fillId="11" borderId="4" xfId="0" applyFont="1" applyFill="1" applyBorder="1"/>
    <xf numFmtId="0" fontId="0" fillId="11" borderId="4" xfId="0" applyFill="1" applyBorder="1"/>
    <xf numFmtId="3" fontId="0" fillId="0" borderId="0" xfId="0" applyNumberFormat="1"/>
    <xf numFmtId="0" fontId="35" fillId="0" borderId="0" xfId="0" applyFont="1"/>
    <xf numFmtId="0" fontId="36" fillId="0" borderId="0" xfId="0" applyFont="1"/>
    <xf numFmtId="0" fontId="15" fillId="0" borderId="0" xfId="0" applyFont="1" applyAlignment="1">
      <alignment vertical="center"/>
    </xf>
    <xf numFmtId="0" fontId="37" fillId="0" borderId="0" xfId="0" applyFont="1" applyAlignment="1">
      <alignment vertical="center"/>
    </xf>
    <xf numFmtId="3" fontId="0" fillId="0" borderId="0" xfId="0" applyNumberFormat="1" applyAlignment="1">
      <alignment vertical="center"/>
    </xf>
    <xf numFmtId="0" fontId="2" fillId="0" borderId="4" xfId="1" applyFont="1" applyBorder="1" applyAlignment="1">
      <alignment wrapText="1"/>
    </xf>
    <xf numFmtId="0" fontId="2" fillId="0" borderId="0" xfId="1" applyFont="1" applyAlignment="1">
      <alignment wrapText="1"/>
    </xf>
    <xf numFmtId="0" fontId="2" fillId="0" borderId="0" xfId="1" applyFont="1"/>
    <xf numFmtId="165" fontId="23" fillId="0" borderId="4" xfId="0" applyNumberFormat="1" applyFont="1" applyBorder="1" applyAlignment="1">
      <alignment horizontal="center" vertical="center" wrapText="1"/>
    </xf>
    <xf numFmtId="165" fontId="0" fillId="0" borderId="4" xfId="0" applyNumberFormat="1" applyBorder="1" applyAlignment="1">
      <alignment horizontal="center" vertical="center"/>
    </xf>
    <xf numFmtId="0" fontId="23" fillId="0" borderId="4" xfId="0" applyFont="1" applyBorder="1" applyAlignment="1">
      <alignment horizontal="center" vertical="center" wrapText="1"/>
    </xf>
    <xf numFmtId="0" fontId="23" fillId="0" borderId="4" xfId="0" applyFont="1" applyBorder="1" applyAlignment="1">
      <alignment horizontal="center" vertical="center"/>
    </xf>
    <xf numFmtId="0" fontId="0" fillId="0" borderId="4" xfId="0" applyBorder="1" applyAlignment="1">
      <alignment vertical="center"/>
    </xf>
    <xf numFmtId="165" fontId="24" fillId="0" borderId="4" xfId="0" applyNumberFormat="1" applyFont="1" applyBorder="1" applyAlignment="1">
      <alignment horizontal="center" vertical="center" wrapText="1"/>
    </xf>
    <xf numFmtId="165" fontId="22" fillId="0" borderId="4" xfId="0" applyNumberFormat="1" applyFont="1" applyBorder="1" applyAlignment="1">
      <alignment horizontal="center" vertical="center"/>
    </xf>
    <xf numFmtId="165" fontId="25" fillId="0" borderId="4" xfId="0" applyNumberFormat="1" applyFont="1" applyBorder="1" applyAlignment="1">
      <alignment horizontal="center" vertical="center"/>
    </xf>
  </cellXfs>
  <cellStyles count="4">
    <cellStyle name="Normal" xfId="0" builtinId="0"/>
    <cellStyle name="Normal 2" xfId="1" xr:uid="{41AE5D09-2833-4A4A-8572-B4E3F8CBDFAD}"/>
    <cellStyle name="Normal 3" xfId="2" xr:uid="{66DB7602-E3E1-4707-A8D1-2BE1CA6DB372}"/>
    <cellStyle name="쉼표 [0] 4 16" xfId="3" xr:uid="{B234A062-EC8B-4092-845B-32B24EB33217}"/>
  </cellStyles>
  <dxfs count="178">
    <dxf>
      <fill>
        <patternFill>
          <bgColor theme="5"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0"/>
        <color rgb="FF000000"/>
        <name val="Arial"/>
        <scheme val="minor"/>
      </font>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2" formatCode="0.0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border outline="0">
        <top style="thin">
          <color rgb="FF8CB5F9"/>
        </top>
      </border>
    </dxf>
    <dxf>
      <border outline="0">
        <bottom style="thin">
          <color rgb="FF8CB5F9"/>
        </bottom>
      </border>
    </dxf>
    <dxf>
      <font>
        <b/>
        <i val="0"/>
        <strike val="0"/>
        <condense val="0"/>
        <extend val="0"/>
        <outline val="0"/>
        <shadow val="0"/>
        <u val="none"/>
        <vertAlign val="baseline"/>
        <sz val="10"/>
        <color theme="0"/>
        <name val="Arial"/>
        <family val="2"/>
        <scheme val="minor"/>
      </font>
      <fill>
        <patternFill patternType="solid">
          <fgColor theme="4"/>
          <bgColor theme="4"/>
        </patternFill>
      </fill>
      <alignment horizontal="general" vertical="bottom"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0"/>
        <color theme="0"/>
        <name val="Arial"/>
        <family val="2"/>
        <scheme val="minor"/>
      </font>
      <fill>
        <patternFill patternType="solid">
          <fgColor theme="4"/>
          <bgColor theme="4"/>
        </patternFill>
      </fill>
      <alignment horizontal="general" vertical="bottom" textRotation="0" wrapText="0" indent="0" justifyLastLine="0" shrinkToFit="0" readingOrder="0"/>
    </dxf>
    <dxf>
      <numFmt numFmtId="0" formatCode="General"/>
      <alignment horizontal="general" vertical="bottom" textRotation="0" wrapText="1" indent="0" justifyLastLine="0" shrinkToFit="0" readingOrder="0"/>
    </dxf>
    <dxf>
      <numFmt numFmtId="2" formatCode="0.0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0"/>
        <color theme="0"/>
        <name val="Arial"/>
        <family val="2"/>
        <scheme val="minor"/>
      </font>
      <fill>
        <patternFill patternType="solid">
          <fgColor theme="4"/>
          <bgColor theme="4"/>
        </patternFill>
      </fill>
      <alignment horizontal="general" vertical="bottom" textRotation="0" wrapText="0" indent="0" justifyLastLine="0" shrinkToFit="0" readingOrder="0"/>
    </dxf>
    <dxf>
      <numFmt numFmtId="0" formatCode="General"/>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i val="0"/>
        <strike val="0"/>
        <condense val="0"/>
        <extend val="0"/>
        <outline val="0"/>
        <shadow val="0"/>
        <u val="none"/>
        <vertAlign val="baseline"/>
        <sz val="10"/>
        <color rgb="FF000000"/>
        <name val="Arial"/>
        <scheme val="minor"/>
      </font>
    </dxf>
    <dxf>
      <font>
        <b/>
        <i val="0"/>
        <strike val="0"/>
        <condense val="0"/>
        <extend val="0"/>
        <outline val="0"/>
        <shadow val="0"/>
        <u val="none"/>
        <vertAlign val="baseline"/>
        <sz val="10"/>
        <color auto="1"/>
        <name val="Arial"/>
        <family val="2"/>
        <scheme val="none"/>
      </font>
    </dxf>
    <dxf>
      <font>
        <b val="0"/>
        <i/>
        <strike val="0"/>
        <condense val="0"/>
        <extend val="0"/>
        <outline val="0"/>
        <shadow val="0"/>
        <u val="none"/>
        <vertAlign val="baseline"/>
        <sz val="10"/>
        <color auto="1"/>
        <name val="Arial"/>
        <family val="2"/>
        <scheme val="none"/>
      </font>
    </dxf>
    <dxf>
      <font>
        <b val="0"/>
        <i/>
        <strike val="0"/>
        <condense val="0"/>
        <extend val="0"/>
        <outline val="0"/>
        <shadow val="0"/>
        <u val="none"/>
        <vertAlign val="baseline"/>
        <sz val="10"/>
        <color auto="1"/>
        <name val="Arial"/>
        <family val="2"/>
        <scheme val="none"/>
      </font>
    </dxf>
    <dxf>
      <numFmt numFmtId="0" formatCode="General"/>
    </dxf>
    <dxf>
      <numFmt numFmtId="0" formatCode="General"/>
    </dxf>
    <dxf>
      <numFmt numFmtId="0" formatCode="General"/>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0" formatCode="Genera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alignment horizontal="general" vertical="center" textRotation="0" wrapText="1" indent="0" justifyLastLine="0" shrinkToFit="0" readingOrder="0"/>
    </dxf>
    <dxf>
      <numFmt numFmtId="0" formatCode="General"/>
    </dxf>
    <dxf>
      <numFmt numFmtId="0" formatCode="General"/>
    </dxf>
    <dxf>
      <numFmt numFmtId="0" formatCode="General"/>
    </dxf>
    <dxf>
      <numFmt numFmtId="2" formatCode="0.0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border outline="0">
        <top style="thin">
          <color rgb="FF8CB5F9"/>
        </top>
      </border>
    </dxf>
    <dxf>
      <border outline="0">
        <bottom style="thin">
          <color rgb="FF8CB5F9"/>
        </bottom>
      </border>
    </dxf>
    <dxf>
      <font>
        <b/>
        <i val="0"/>
        <strike val="0"/>
        <condense val="0"/>
        <extend val="0"/>
        <outline val="0"/>
        <shadow val="0"/>
        <u val="none"/>
        <vertAlign val="baseline"/>
        <sz val="10"/>
        <color theme="0"/>
        <name val="Arial"/>
        <family val="2"/>
        <scheme val="minor"/>
      </font>
      <fill>
        <patternFill patternType="solid">
          <fgColor theme="4"/>
          <bgColor theme="4"/>
        </patternFill>
      </fill>
      <alignment horizontal="general" vertical="bottom" textRotation="0" wrapText="0" indent="0" justifyLastLine="0" shrinkToFit="0" readingOrder="0"/>
    </dxf>
    <dxf>
      <numFmt numFmtId="0" formatCode="General"/>
    </dxf>
    <dxf>
      <numFmt numFmtId="0" formatCode="General"/>
    </dxf>
    <dxf>
      <numFmt numFmtId="0" formatCode="General"/>
      <alignment horizontal="general" vertical="bottom" textRotation="0" wrapText="1" indent="0" justifyLastLine="0" shrinkToFit="0" readingOrder="0"/>
    </dxf>
    <dxf>
      <numFmt numFmtId="2" formatCode="0.0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border outline="0">
        <top style="thin">
          <color rgb="FF8CB5F9"/>
        </top>
      </border>
    </dxf>
    <dxf>
      <border outline="0">
        <bottom style="thin">
          <color rgb="FF8CB5F9"/>
        </bottom>
      </border>
    </dxf>
    <dxf>
      <font>
        <b/>
        <i val="0"/>
        <strike val="0"/>
        <condense val="0"/>
        <extend val="0"/>
        <outline val="0"/>
        <shadow val="0"/>
        <u val="none"/>
        <vertAlign val="baseline"/>
        <sz val="10"/>
        <color theme="0"/>
        <name val="Arial"/>
        <family val="2"/>
        <scheme val="minor"/>
      </font>
      <fill>
        <patternFill patternType="solid">
          <fgColor theme="4"/>
          <bgColor theme="4"/>
        </patternFill>
      </fill>
      <alignment horizontal="general" vertical="bottom" textRotation="0" wrapText="0" indent="0" justifyLastLine="0" shrinkToFit="0" readingOrder="0"/>
    </dxf>
    <dxf>
      <numFmt numFmtId="0" formatCode="General"/>
    </dxf>
    <dxf>
      <numFmt numFmtId="0" formatCode="General"/>
    </dxf>
    <dxf>
      <numFmt numFmtId="0" formatCode="General"/>
    </dxf>
    <dxf>
      <numFmt numFmtId="2" formatCode="0.0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border outline="0">
        <top style="thin">
          <color rgb="FF8CB5F9"/>
        </top>
      </border>
    </dxf>
    <dxf>
      <border outline="0">
        <bottom style="thin">
          <color rgb="FF8CB5F9"/>
        </bottom>
      </border>
    </dxf>
    <dxf>
      <font>
        <b/>
        <i val="0"/>
        <strike val="0"/>
        <condense val="0"/>
        <extend val="0"/>
        <outline val="0"/>
        <shadow val="0"/>
        <u val="none"/>
        <vertAlign val="baseline"/>
        <sz val="10"/>
        <color theme="0"/>
        <name val="Arial"/>
        <family val="2"/>
        <scheme val="minor"/>
      </font>
      <fill>
        <patternFill patternType="solid">
          <fgColor theme="4"/>
          <bgColor theme="4"/>
        </patternFill>
      </fill>
      <alignment horizontal="general" vertical="bottom" textRotation="0" wrapText="0" indent="0" justifyLastLine="0" shrinkToFit="0" readingOrder="0"/>
    </dxf>
    <dxf>
      <numFmt numFmtId="0" formatCode="General"/>
    </dxf>
    <dxf>
      <numFmt numFmtId="0" formatCode="General"/>
    </dxf>
    <dxf>
      <numFmt numFmtId="0" formatCode="General"/>
    </dxf>
    <dxf>
      <numFmt numFmtId="2" formatCode="0.0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border outline="0">
        <top style="thin">
          <color rgb="FF8CB5F9"/>
        </top>
      </border>
    </dxf>
    <dxf>
      <border outline="0">
        <bottom style="thin">
          <color rgb="FF8CB5F9"/>
        </bottom>
      </border>
    </dxf>
    <dxf>
      <font>
        <b/>
        <i val="0"/>
        <strike val="0"/>
        <condense val="0"/>
        <extend val="0"/>
        <outline val="0"/>
        <shadow val="0"/>
        <u val="none"/>
        <vertAlign val="baseline"/>
        <sz val="10"/>
        <color theme="0"/>
        <name val="Arial"/>
        <family val="2"/>
        <scheme val="minor"/>
      </font>
      <fill>
        <patternFill patternType="solid">
          <fgColor theme="4"/>
          <bgColor theme="4"/>
        </patternFill>
      </fill>
      <alignment horizontal="general" vertical="bottom" textRotation="0" wrapText="0" indent="0" justifyLastLine="0" shrinkToFit="0" readingOrder="0"/>
    </dxf>
    <dxf>
      <numFmt numFmtId="0" formatCode="General"/>
    </dxf>
    <dxf>
      <numFmt numFmtId="0" formatCode="General"/>
    </dxf>
    <dxf>
      <numFmt numFmtId="0" formatCode="General"/>
    </dxf>
    <dxf>
      <numFmt numFmtId="2" formatCode="0.0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border outline="0">
        <top style="thin">
          <color rgb="FF8CB5F9"/>
        </top>
      </border>
    </dxf>
    <dxf>
      <border outline="0">
        <bottom style="thin">
          <color rgb="FF8CB5F9"/>
        </bottom>
      </border>
    </dxf>
    <dxf>
      <font>
        <b/>
        <i val="0"/>
        <strike val="0"/>
        <condense val="0"/>
        <extend val="0"/>
        <outline val="0"/>
        <shadow val="0"/>
        <u val="none"/>
        <vertAlign val="baseline"/>
        <sz val="10"/>
        <color theme="0"/>
        <name val="Arial"/>
        <family val="2"/>
        <scheme val="minor"/>
      </font>
      <fill>
        <patternFill patternType="solid">
          <fgColor theme="4"/>
          <bgColor theme="4"/>
        </patternFill>
      </fill>
      <alignment horizontal="general" vertical="bottom" textRotation="0" wrapText="0" indent="0" justifyLastLine="0" shrinkToFit="0" readingOrder="0"/>
    </dxf>
    <dxf>
      <numFmt numFmtId="0" formatCode="General"/>
    </dxf>
    <dxf>
      <numFmt numFmtId="0" formatCode="General"/>
    </dxf>
    <dxf>
      <numFmt numFmtId="0" formatCode="General"/>
    </dxf>
    <dxf>
      <numFmt numFmtId="2" formatCode="0.0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border outline="0">
        <top style="thin">
          <color rgb="FF8CB5F9"/>
        </top>
      </border>
    </dxf>
    <dxf>
      <border outline="0">
        <bottom style="thin">
          <color rgb="FF8CB5F9"/>
        </bottom>
      </border>
    </dxf>
    <dxf>
      <font>
        <b/>
        <i val="0"/>
        <strike val="0"/>
        <condense val="0"/>
        <extend val="0"/>
        <outline val="0"/>
        <shadow val="0"/>
        <u val="none"/>
        <vertAlign val="baseline"/>
        <sz val="10"/>
        <color theme="0"/>
        <name val="Arial"/>
        <family val="2"/>
        <scheme val="minor"/>
      </font>
      <fill>
        <patternFill patternType="solid">
          <fgColor theme="4"/>
          <bgColor theme="4"/>
        </patternFill>
      </fill>
      <alignment horizontal="general" vertical="bottom" textRotation="0" wrapText="0" indent="0" justifyLastLine="0" shrinkToFit="0" readingOrder="0"/>
    </dxf>
    <dxf>
      <numFmt numFmtId="0" formatCode="General"/>
    </dxf>
    <dxf>
      <numFmt numFmtId="0" formatCode="General"/>
    </dxf>
    <dxf>
      <numFmt numFmtId="0" formatCode="General"/>
    </dxf>
    <dxf>
      <numFmt numFmtId="2" formatCode="0.0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border outline="0">
        <top style="thin">
          <color rgb="FF8CB5F9"/>
        </top>
      </border>
    </dxf>
    <dxf>
      <border outline="0">
        <bottom style="thin">
          <color rgb="FF8CB5F9"/>
        </bottom>
      </border>
    </dxf>
    <dxf>
      <font>
        <b/>
        <i val="0"/>
        <strike val="0"/>
        <condense val="0"/>
        <extend val="0"/>
        <outline val="0"/>
        <shadow val="0"/>
        <u val="none"/>
        <vertAlign val="baseline"/>
        <sz val="10"/>
        <color theme="0"/>
        <name val="Arial"/>
        <family val="2"/>
        <scheme val="minor"/>
      </font>
      <fill>
        <patternFill patternType="solid">
          <fgColor theme="4"/>
          <bgColor theme="4"/>
        </patternFill>
      </fill>
      <alignment horizontal="general" vertical="bottom" textRotation="0" wrapText="0" indent="0" justifyLastLine="0" shrinkToFit="0" readingOrder="0"/>
    </dxf>
    <dxf>
      <numFmt numFmtId="0" formatCode="General"/>
    </dxf>
    <dxf>
      <numFmt numFmtId="0" formatCode="General"/>
    </dxf>
    <dxf>
      <numFmt numFmtId="0" formatCode="General"/>
    </dxf>
    <dxf>
      <numFmt numFmtId="2" formatCode="0.0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border outline="0">
        <top style="thin">
          <color rgb="FF8CB5F9"/>
        </top>
      </border>
    </dxf>
    <dxf>
      <border outline="0">
        <bottom style="thin">
          <color rgb="FF8CB5F9"/>
        </bottom>
      </border>
    </dxf>
    <dxf>
      <font>
        <b/>
        <i val="0"/>
        <strike val="0"/>
        <condense val="0"/>
        <extend val="0"/>
        <outline val="0"/>
        <shadow val="0"/>
        <u val="none"/>
        <vertAlign val="baseline"/>
        <sz val="10"/>
        <color theme="0"/>
        <name val="Arial"/>
        <family val="2"/>
        <scheme val="minor"/>
      </font>
      <fill>
        <patternFill patternType="solid">
          <fgColor theme="4"/>
          <bgColor theme="4"/>
        </patternFill>
      </fill>
      <alignment horizontal="general" vertical="bottom" textRotation="0" wrapText="0" indent="0" justifyLastLine="0" shrinkToFit="0" readingOrder="0"/>
    </dxf>
    <dxf>
      <numFmt numFmtId="0" formatCode="General"/>
    </dxf>
    <dxf>
      <numFmt numFmtId="0" formatCode="General"/>
    </dxf>
    <dxf>
      <numFmt numFmtId="0" formatCode="General"/>
    </dxf>
    <dxf>
      <numFmt numFmtId="2" formatCode="0.0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border outline="0">
        <top style="thin">
          <color rgb="FF8CB5F9"/>
        </top>
      </border>
    </dxf>
    <dxf>
      <border outline="0">
        <bottom style="thin">
          <color rgb="FF8CB5F9"/>
        </bottom>
      </border>
    </dxf>
    <dxf>
      <font>
        <b/>
        <i val="0"/>
        <strike val="0"/>
        <condense val="0"/>
        <extend val="0"/>
        <outline val="0"/>
        <shadow val="0"/>
        <u val="none"/>
        <vertAlign val="baseline"/>
        <sz val="10"/>
        <color theme="0"/>
        <name val="Arial"/>
        <family val="2"/>
        <scheme val="minor"/>
      </font>
      <fill>
        <patternFill patternType="solid">
          <fgColor theme="4"/>
          <bgColor theme="4"/>
        </patternFill>
      </fill>
      <alignment horizontal="general" vertical="bottom" textRotation="0" wrapText="0" indent="0" justifyLastLine="0" shrinkToFit="0" readingOrder="0"/>
    </dxf>
    <dxf>
      <numFmt numFmtId="0" formatCode="General"/>
    </dxf>
    <dxf>
      <numFmt numFmtId="0" formatCode="General"/>
    </dxf>
    <dxf>
      <numFmt numFmtId="2" formatCode="0.0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border outline="0">
        <top style="thin">
          <color rgb="FF8CB5F9"/>
        </top>
      </border>
    </dxf>
    <dxf>
      <border outline="0">
        <bottom style="thin">
          <color rgb="FF8CB5F9"/>
        </bottom>
      </border>
    </dxf>
    <dxf>
      <font>
        <b/>
        <i val="0"/>
        <strike val="0"/>
        <condense val="0"/>
        <extend val="0"/>
        <outline val="0"/>
        <shadow val="0"/>
        <u val="none"/>
        <vertAlign val="baseline"/>
        <sz val="10"/>
        <color theme="0"/>
        <name val="Arial"/>
        <family val="2"/>
        <scheme val="minor"/>
      </font>
      <fill>
        <patternFill patternType="solid">
          <fgColor theme="4"/>
          <bgColor theme="4"/>
        </patternFill>
      </fill>
      <alignment horizontal="general" vertical="bottom" textRotation="0" wrapText="0"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dxf>
    <dxf>
      <numFmt numFmtId="2" formatCode="0.0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border outline="0">
        <top style="thin">
          <color rgb="FF8CB5F9"/>
        </top>
      </border>
    </dxf>
    <dxf>
      <border outline="0">
        <bottom style="thin">
          <color rgb="FF8CB5F9"/>
        </bottom>
      </border>
    </dxf>
    <dxf>
      <font>
        <b/>
        <i val="0"/>
        <strike val="0"/>
        <condense val="0"/>
        <extend val="0"/>
        <outline val="0"/>
        <shadow val="0"/>
        <u val="none"/>
        <vertAlign val="baseline"/>
        <sz val="10"/>
        <color theme="0"/>
        <name val="Arial"/>
        <family val="2"/>
        <scheme val="minor"/>
      </font>
      <fill>
        <patternFill patternType="solid">
          <fgColor theme="4"/>
          <bgColor theme="4"/>
        </patternFill>
      </fil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externalLink" Target="externalLinks/externalLink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styles" Target="styles.xml"/><Relationship Id="rId35" Type="http://schemas.microsoft.com/office/2023/09/relationships/Python" Target="pytho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32</xdr:row>
      <xdr:rowOff>0</xdr:rowOff>
    </xdr:from>
    <xdr:to>
      <xdr:col>13</xdr:col>
      <xdr:colOff>98307</xdr:colOff>
      <xdr:row>64</xdr:row>
      <xdr:rowOff>96053</xdr:rowOff>
    </xdr:to>
    <xdr:pic>
      <xdr:nvPicPr>
        <xdr:cNvPr id="2" name="Picture 1">
          <a:extLst>
            <a:ext uri="{FF2B5EF4-FFF2-40B4-BE49-F238E27FC236}">
              <a16:creationId xmlns:a16="http://schemas.microsoft.com/office/drawing/2014/main" id="{225769C2-6F16-D782-AEF7-D29E694082D3}"/>
            </a:ext>
          </a:extLst>
        </xdr:cNvPr>
        <xdr:cNvPicPr>
          <a:picLocks noChangeAspect="1"/>
        </xdr:cNvPicPr>
      </xdr:nvPicPr>
      <xdr:blipFill>
        <a:blip xmlns:r="http://schemas.openxmlformats.org/officeDocument/2006/relationships" r:embed="rId1"/>
        <a:stretch>
          <a:fillRect/>
        </a:stretch>
      </xdr:blipFill>
      <xdr:spPr>
        <a:xfrm>
          <a:off x="4291853" y="6723529"/>
          <a:ext cx="9859751" cy="575390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48177;&#50629;1/PROJECT/TPPI/09.%20Data%20Sheet/02_&#51089;&#49457;&#48516;/MR-009_Centrifugal%20Compressor/02_API%20Format/617_e9%20P2_Annex%20A_SI%20maste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1DF633D\API%20676%203rd%20Edition%20-%20Annex%20A%20-%20Rotary%20pump%20data%20sheets%20-%20Rev.%201%20(source%20is%20MBrucks%2024Aug10%20emai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8177;&#50629;1/PROJECT/TPPI/09.%20Data%20Sheet/02_&#51089;&#49457;&#48516;/MR-009_Centrifugal%20Compressor/02_API%20Format/614_e6%20Data%20sheets%20--%20Annex%20A.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52264;&#44221;&#46041;/NC-41/&#44060;&#48156;program/fdn_bm_pro.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8149;&#45824;&#51061;/NC41/&#44060;&#48156;program/fdn_bm_pr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45824;&#44284;&#51228;/WBS/Engineering_WBS_em&#49900;&#54868;&#44284;&#51221;&#49569;&#48512;&#50857;_&#49688;&#5122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mycommittees.api.org/Documentum/dmcl/00009ad7/knaus00016876/800aa58d/API541%20Medium%20Voltage%20Mo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sheetName val="Page 1b"/>
      <sheetName val="Page 1c"/>
      <sheetName val="Page 2"/>
      <sheetName val="Page 3"/>
      <sheetName val="Page 4"/>
      <sheetName val="Page 5"/>
      <sheetName val="Page 6"/>
      <sheetName val="Page 7"/>
      <sheetName val="Page 1 Intercooled"/>
      <sheetName val="Page 1 Sidestream"/>
      <sheetName val="Page 1 Extraction"/>
      <sheetName val="Sheet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I 676"/>
      <sheetName val="MPP"/>
      <sheetName val="DESIGN CODES + WELD + INSPE (2)"/>
      <sheetName val="Notes"/>
      <sheetName val="Units"/>
    </sheetNames>
    <sheetDataSet>
      <sheetData sheetId="0"/>
      <sheetData sheetId="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1, Scope"/>
      <sheetName val="P. 2, Scope"/>
      <sheetName val="P. 3, Basic Design"/>
      <sheetName val="P. 4, Instrument Suppliers"/>
      <sheetName val="P. 5, Reservoir"/>
      <sheetName val="P. 6, Accessories"/>
      <sheetName val="P. 7, Pumps"/>
      <sheetName val="P. 8, Filters"/>
      <sheetName val="P. 9, Coolers"/>
      <sheetName val="P. 10, Overhead Tanks"/>
      <sheetName val="P. 11, Traps"/>
      <sheetName val="P.12,  Panels"/>
      <sheetName val="P. 13, Instrumentation"/>
      <sheetName val="P. 14, Instrumentation"/>
      <sheetName val="P. 15, Insp &amp; Test"/>
      <sheetName val="Configuration Code Tool"/>
      <sheetName val="Notes"/>
      <sheetName val="Units"/>
      <sheetName val="Compatibility Report"/>
      <sheetName val="Compatibility Report (1)"/>
      <sheetName val="614_e6 Data sheets -- Annex A"/>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_dat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_dat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Description"/>
      <sheetName val="Process"/>
      <sheetName val="Mechanical"/>
      <sheetName val="Elec"/>
      <sheetName val="Civil"/>
      <sheetName val="ProcurementService"/>
      <sheetName val="작성시 유의사항"/>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BUYER 1"/>
      <sheetName val="BUYER 2"/>
      <sheetName val="BUYER 3"/>
      <sheetName val="BUYER 4"/>
      <sheetName val="SUPPLIER PROPOSAL"/>
      <sheetName val="CONTRACT DATA 1"/>
      <sheetName val="CONTRACT DATA 2"/>
      <sheetName val="Units"/>
    </sheetNames>
    <sheetDataSet>
      <sheetData sheetId="0"/>
      <sheetData sheetId="1"/>
      <sheetData sheetId="2"/>
      <sheetData sheetId="3"/>
      <sheetData sheetId="4"/>
      <sheetData sheetId="5"/>
      <sheetData sheetId="6"/>
      <sheetData sheetId="7"/>
      <sheetData sheetId="8"/>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CFF64E1-014F-4288-AAAB-7CF476BBF3DC}" autoFormatId="16" applyNumberFormats="0" applyBorderFormats="0" applyFontFormats="0" applyPatternFormats="0" applyAlignmentFormats="0" applyWidthHeightFormats="0">
  <queryTableRefresh nextId="42">
    <queryTableFields count="41">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s>
  </queryTableRefresh>
</queryTable>
</file>

<file path=xl/tables/_rels/table20.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0C457F6-3347-457B-B0B4-195D26350CE8}" name="_81IK6100018" displayName="_81IK6100018" ref="A3:H18" totalsRowShown="0" headerRowDxfId="177" headerRowBorderDxfId="176" tableBorderDxfId="175">
  <autoFilter ref="A3:H18" xr:uid="{1AA8034B-2D34-4581-9AC3-572CD668DB6A}"/>
  <tableColumns count="8">
    <tableColumn id="1" xr3:uid="{DE9CB2B3-F6A0-4D8F-B4A9-CF89D0CC47AE}" name="TAGS"/>
    <tableColumn id="2" xr3:uid="{36AE97D7-8EAC-4C97-AA73-9BA867E507EC}" name="BUS" dataDxfId="174"/>
    <tableColumn id="3" xr3:uid="{A8F9B8B7-3503-431D-948C-5B9351CE189D}" name="RATED POWER" dataDxfId="173"/>
    <tableColumn id="4" xr3:uid="{922F031A-0FCF-4914-89DB-A3F9580D272E}" name="FULL LOAD CURRENT"/>
    <tableColumn id="5" xr3:uid="{A053ED9A-BBBA-436D-B0B2-42F62C015040}" name="Starter Type" dataDxfId="172">
      <calculatedColumnFormula array="1">_xlfn.LET(
  _xlpm.tag, UPPER(TRIM(A4)),
  _xlpm.kw, N(C4),
  _xlpm.parts, _xlfn.TEXTSPLIT(_xlpm.tag,"-"),
  _xlpm.mid, IF(COUNTA(_xlpm.parts)&gt;=2, INDEX(_xlpm.parts,1,2), ""),
  _xlpm.mapCodes, {"AHU";"CWP";"EF";"ACWC";"ACCU";"EDH";"WWG";"WWP";"HD"},
  _xlpm.mapType,  {"M";"M";"M";"F";"F";"F";"F";"F";"F"},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calculatedColumnFormula>
    </tableColumn>
    <tableColumn id="6" xr3:uid="{681FF439-CC3C-4427-A403-EBAB1DF8D4F0}" name="CIRCUIT TYPE" dataDxfId="171">
      <calculatedColumnFormula array="1">_xlfn.LET(
  _xlpm.tag, UPPER(TRIM(A4)),
  _xlpm.kw, N(C4),
  _xlpm.flc, N(D4),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calculatedColumnFormula>
    </tableColumn>
    <tableColumn id="7" xr3:uid="{8FA795F5-639C-4B78-AE70-993B26DA1D5E}" name="E_UNITS" dataDxfId="170">
      <calculatedColumnFormula array="1">_xlfn.LET(
  _xlpm.c, UPPER(TRIM(_81IK6100018[[#This Row],[Starter Type]])),
  _xlpm.kw, N(_81IK6100018[[#This Row],[RATED POWER]]),
  _xlpm.flc, N(_81IK6100018[[#This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calculatedColumnFormula>
    </tableColumn>
    <tableColumn id="8" xr3:uid="{379F7765-2B30-433D-ACE0-F662967DE4B5}" name="REMARK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42D92E9-F1AF-4FA3-9262-384B34CD00C8}" name="_81IK61000189" displayName="_81IK61000189" ref="A40:H85" totalsRowShown="0" headerRowDxfId="169" headerRowBorderDxfId="168" tableBorderDxfId="167">
  <autoFilter ref="A40:H85" xr:uid="{542D92E9-F1AF-4FA3-9262-384B34CD00C8}"/>
  <tableColumns count="8">
    <tableColumn id="1" xr3:uid="{71AF5ADE-B7E7-466D-8249-B6DFC523F083}" name="TAGS"/>
    <tableColumn id="2" xr3:uid="{3425F3BD-C109-4198-9C4A-4E3F9990BA19}" name="BUS" dataDxfId="166"/>
    <tableColumn id="3" xr3:uid="{DD2CA479-3D85-47B0-89B9-56692337A878}" name="RATED POWER" dataDxfId="165"/>
    <tableColumn id="4" xr3:uid="{0D4DD6B6-C092-4384-931C-F21924862B43}" name="FULL LOAD CURRENT"/>
    <tableColumn id="5" xr3:uid="{A1817B96-0D76-4980-813E-31F702774FBF}" name="Starter Type"/>
    <tableColumn id="6" xr3:uid="{13400517-4D07-4BDC-94C3-EBCA0830F4F3}" name="CIRCUIT TYPE" dataDxfId="164">
      <calculatedColumnFormula>_xlfn.LET(
  _xlpm.tag, A41,
  _xlpm.p, N(C41),
  _xlpm.i, N(D41),
  _xlpm.st, UPPER(TRIM(E41)),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calculatedColumnFormula>
    </tableColumn>
    <tableColumn id="7" xr3:uid="{BE3F4A08-8DE9-495F-A897-0B7529EBF5BF}" name="E_UNITS" dataDxfId="163">
      <calculatedColumnFormula array="1">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calculatedColumnFormula>
    </tableColumn>
    <tableColumn id="8" xr3:uid="{1393ACE4-93C7-4F6F-8CBD-7D6AF1B6DC28}" name="REMARK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6E4C108-97E4-4D95-818B-6FE012F7C26B}" name="_81IK6100018910" displayName="_81IK6100018910" ref="A96:H135" totalsRowShown="0" headerRowDxfId="162" headerRowBorderDxfId="161" tableBorderDxfId="160">
  <autoFilter ref="A96:H135" xr:uid="{36E4C108-97E4-4D95-818B-6FE012F7C26B}"/>
  <tableColumns count="8">
    <tableColumn id="1" xr3:uid="{0555F7E9-7E9F-4D4E-BB00-C3F48CC6A7BE}" name="TAGS"/>
    <tableColumn id="2" xr3:uid="{33D84BBD-5051-425F-B1B8-355ACF64C33A}" name="BUS" dataDxfId="159"/>
    <tableColumn id="3" xr3:uid="{5D16D9FF-8F21-4350-AA3A-0B2FCC906F4A}" name="RATED POWER" dataDxfId="158"/>
    <tableColumn id="4" xr3:uid="{9EB07323-A90C-4FC9-B742-39B4DF8ABE63}" name="FULL LOAD CURRENT"/>
    <tableColumn id="5" xr3:uid="{CFA9BAD2-B0B6-468F-A495-128C8CC0DC6E}" name="Starter Type" dataDxfId="157">
      <calculatedColumnFormula array="1">_xlfn.LET(
  _xlpm.tag, UPPER(TRIM(A97)),
  _xlpm.kw, N(C97),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calculatedColumnFormula>
    </tableColumn>
    <tableColumn id="6" xr3:uid="{85E8B6D2-8791-44D9-883C-4E69BCEE7770}" name="CIRCUIT TYPE" dataDxfId="156">
      <calculatedColumnFormula array="1">_xlfn.LET(
  _xlpm.tag, UPPER(TRIM(A97)),
  _xlpm.kw, N(C97),
  _xlpm.flc, N(D97),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calculatedColumnFormula>
    </tableColumn>
    <tableColumn id="7" xr3:uid="{D86358DD-1382-485B-81E3-3518DC58D261}" name="E_UNITS" dataDxfId="155">
      <calculatedColumnFormula array="1">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calculatedColumnFormula>
    </tableColumn>
    <tableColumn id="8" xr3:uid="{A06740FA-DADF-4EA1-BA35-23B09D976433}" name="REMARK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2D4FFD6-D301-4765-BCFA-4E72EF552422}" name="_81IK610001891011" displayName="_81IK610001891011" ref="A148:H207" totalsRowShown="0" headerRowDxfId="154" headerRowBorderDxfId="153" tableBorderDxfId="152">
  <autoFilter ref="A148:H207" xr:uid="{72D4FFD6-D301-4765-BCFA-4E72EF552422}"/>
  <tableColumns count="8">
    <tableColumn id="1" xr3:uid="{8B775EA1-6D59-4BCB-AD2E-66C54CE581CC}" name="TAGS"/>
    <tableColumn id="2" xr3:uid="{4DD5027B-E364-4A0E-B042-CF01885FC22F}" name="BUS" dataDxfId="151"/>
    <tableColumn id="3" xr3:uid="{4C8CF902-0492-47B4-ABE5-4C6A2F024D8F}" name="RATED POWER" dataDxfId="150"/>
    <tableColumn id="4" xr3:uid="{0FE87E85-71B9-4C37-B5ED-44485EF0F844}" name="FULL LOAD CURRENT"/>
    <tableColumn id="5" xr3:uid="{A6B274CF-4AA0-4D74-94DA-6D8D76207BCB}" name="Starter Type" dataDxfId="149">
      <calculatedColumnFormula array="1">_xlfn.LET(
  _xlpm.tag, UPPER(TRIM(A149)),
  _xlpm.kw, N(C149),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calculatedColumnFormula>
    </tableColumn>
    <tableColumn id="6" xr3:uid="{23E17895-2948-470A-96F5-3EED0D7877AB}" name="CIRCUIT TYPE" dataDxfId="148">
      <calculatedColumnFormula array="1">_xlfn.LET(
  _xlpm.tag, UPPER(TRIM(A149)),
  _xlpm.kw, N(C149),
  _xlpm.flc, N(D149),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calculatedColumnFormula>
    </tableColumn>
    <tableColumn id="7" xr3:uid="{29BF1ED9-7442-45A7-8141-D3AAE767159F}" name="E_UNITS" dataDxfId="147">
      <calculatedColumnFormula array="1">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calculatedColumnFormula>
    </tableColumn>
    <tableColumn id="8" xr3:uid="{3875D3D7-4F7F-4822-89EF-93B968F43D6F}" name="REMARK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1B1AAA9-E48B-47F0-897C-C554CBECDC96}" name="_81IK61000189101112" displayName="_81IK61000189101112" ref="A218:H235" totalsRowShown="0" headerRowDxfId="146" headerRowBorderDxfId="145" tableBorderDxfId="144">
  <autoFilter ref="A218:H235" xr:uid="{71B1AAA9-E48B-47F0-897C-C554CBECDC96}"/>
  <tableColumns count="8">
    <tableColumn id="1" xr3:uid="{36BB9F4F-5C7D-4485-B938-E7DE1B58A1F6}" name="TAGS"/>
    <tableColumn id="2" xr3:uid="{3B833F11-70F2-41D9-9DCF-852E36EE9E99}" name="BUS" dataDxfId="143"/>
    <tableColumn id="3" xr3:uid="{F72ABC72-0F7C-4639-838A-0ED42966F21E}" name="RATED POWER" dataDxfId="142"/>
    <tableColumn id="4" xr3:uid="{66E8D156-6909-473E-AF5A-9AE75674143C}" name="FULL LOAD CURRENT"/>
    <tableColumn id="5" xr3:uid="{7E886548-DCF1-4631-9C0A-97F52405D1B4}" name="Starter Type" dataDxfId="141">
      <calculatedColumnFormula array="1">_xlfn.LET(
  _xlpm.tag, UPPER(TRIM(A219)),
  _xlpm.kw, N(C219),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calculatedColumnFormula>
    </tableColumn>
    <tableColumn id="6" xr3:uid="{AEE5E5EA-3AD9-4DEF-80BD-8574CFC86814}" name="CIRCUIT TYPE" dataDxfId="140">
      <calculatedColumnFormula array="1">_xlfn.LET(
  _xlpm.tag, UPPER(TRIM(A219)),
  _xlpm.kw, N(C219),
  _xlpm.flc, N(D219),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calculatedColumnFormula>
    </tableColumn>
    <tableColumn id="7" xr3:uid="{03BFEE36-32D9-4063-94AE-84CBA06A8F04}" name="E_UNITS" dataDxfId="139">
      <calculatedColumnFormula array="1">_xlfn.LET(
  _xlpm.c, UPPER(TRIM(_81IK61000189101112[[#This Row],[Starter Type]])),
  _xlpm.kw, N(_81IK61000189101112[[#This Row],[RATED POWER]]),
  _xlpm.flc, N(_81IK61000189101112[[#This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calculatedColumnFormula>
    </tableColumn>
    <tableColumn id="8" xr3:uid="{CD790FE1-67AD-492C-8BC1-06F3B6E339A6}" name="REMARK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2D3CA4D-FBDA-4183-BF7A-023E7A641505}" name="_81IK6100018910111213" displayName="_81IK6100018910111213" ref="A243:H256" totalsRowShown="0" headerRowDxfId="138" headerRowBorderDxfId="137" tableBorderDxfId="136">
  <autoFilter ref="A243:H256" xr:uid="{62D3CA4D-FBDA-4183-BF7A-023E7A641505}"/>
  <tableColumns count="8">
    <tableColumn id="1" xr3:uid="{73D5005C-47AD-43E1-B246-DCF9502DB825}" name="TAGS"/>
    <tableColumn id="2" xr3:uid="{2D5E079F-E72B-4F4C-911D-A02660629A1D}" name="BUS" dataDxfId="135"/>
    <tableColumn id="3" xr3:uid="{839FECC7-212F-4FC0-B6F1-1CC7E4DD5E64}" name="RATED POWER" dataDxfId="134"/>
    <tableColumn id="4" xr3:uid="{C86953B8-4E81-46AD-BD23-FEA355D6EF26}" name="FULL LOAD CURRENT"/>
    <tableColumn id="5" xr3:uid="{6D170427-41AE-45F4-8605-834C237C60BC}" name="Starter Type" dataDxfId="133">
      <calculatedColumnFormula array="1">_xlfn.LET(
  _xlpm.tag, UPPER(TRIM(A244)),
  _xlpm.kw, N(C244),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calculatedColumnFormula>
    </tableColumn>
    <tableColumn id="6" xr3:uid="{236EAFF8-2AF2-4251-8A92-079403BAB1A3}" name="CIRCUIT TYPE" dataDxfId="132">
      <calculatedColumnFormula array="1">_xlfn.LET(
  _xlpm.tag, UPPER(TRIM(A244)),
  _xlpm.kw, N(C244),
  _xlpm.flc, N(D244),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calculatedColumnFormula>
    </tableColumn>
    <tableColumn id="7" xr3:uid="{B13AF779-B757-4030-833B-4AAEC9D1962F}" name="E_UNITS" dataDxfId="131">
      <calculatedColumnFormula array="1">_xlfn.LET(
  _xlpm.c, UPPER(TRIM(_81IK6100018910111213[[#This Row],[Starter Type]])),
  _xlpm.kw, N(_81IK6100018910111213[[#This Row],[RATED POWER]]),
  _xlpm.flc, N(_81IK6100018910111213[[#This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calculatedColumnFormula>
    </tableColumn>
    <tableColumn id="8" xr3:uid="{3E3A5869-A27B-4E70-8B19-BB757F48F115}" name="REMARK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68A73D4-34B9-4F2F-9A4A-761A64C11333}" name="_81IK610001891011121314" displayName="_81IK610001891011121314" ref="A268:H281" totalsRowShown="0" headerRowDxfId="130" headerRowBorderDxfId="129" tableBorderDxfId="128">
  <autoFilter ref="A268:H281" xr:uid="{768A73D4-34B9-4F2F-9A4A-761A64C11333}"/>
  <tableColumns count="8">
    <tableColumn id="1" xr3:uid="{C9CF7B09-35C8-4302-B5B4-1A01E90E7937}" name="TAGS"/>
    <tableColumn id="2" xr3:uid="{287C341D-327D-4BE6-8F85-B1AC8F949AFF}" name="BUS" dataDxfId="127"/>
    <tableColumn id="3" xr3:uid="{B9181D5B-EE66-473C-ABCC-6C3FBE8F188E}" name="RATED POWER" dataDxfId="126"/>
    <tableColumn id="4" xr3:uid="{4410F487-003B-44A7-BD8D-62581F8520AE}" name="FULL LOAD CURRENT"/>
    <tableColumn id="5" xr3:uid="{12423416-8D75-4341-96DF-50121BBA5E58}" name="Starter Type" dataDxfId="125">
      <calculatedColumnFormula array="1">_xlfn.LET(
  _xlpm.tag, UPPER(TRIM(A269)),
  _xlpm.kw, N(C269),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calculatedColumnFormula>
    </tableColumn>
    <tableColumn id="6" xr3:uid="{85FFACE4-B1E4-4786-A3B2-9BFD24FEEB58}" name="CIRCUIT TYPE" dataDxfId="124">
      <calculatedColumnFormula array="1">_xlfn.LET(
  _xlpm.tag, UPPER(TRIM(A269)),
  _xlpm.kw, N(C269),
  _xlpm.flc, N(D269),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calculatedColumnFormula>
    </tableColumn>
    <tableColumn id="7" xr3:uid="{C365F037-005D-4173-809A-657200955EE8}" name="E_UNITS" dataDxfId="123">
      <calculatedColumnFormula array="1">_xlfn.LET(
  _xlpm.c, UPPER(TRIM(_81IK610001891011121314[[#This Row],[Starter Type]])),
  _xlpm.kw, N(_81IK610001891011121314[[#This Row],[RATED POWER]]),
  _xlpm.flc, N(_81IK610001891011121314[[#This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calculatedColumnFormula>
    </tableColumn>
    <tableColumn id="8" xr3:uid="{B6BFB5C9-83BC-4B7B-94D6-957F6C6DC4B3}" name="REMARK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8AACA38-0165-424F-A550-9702D47D72C8}" name="_81IK61000189101112131415" displayName="_81IK61000189101112131415" ref="A294:H305" totalsRowShown="0" headerRowDxfId="122" headerRowBorderDxfId="121" tableBorderDxfId="120">
  <autoFilter ref="A294:H305" xr:uid="{C8AACA38-0165-424F-A550-9702D47D72C8}"/>
  <tableColumns count="8">
    <tableColumn id="1" xr3:uid="{6256D244-6C74-4D2F-87AA-CF6055C4FEC3}" name="TAGS"/>
    <tableColumn id="2" xr3:uid="{99DD6F4E-418E-4FD5-8E42-613A036AA5FB}" name="BUS" dataDxfId="119"/>
    <tableColumn id="3" xr3:uid="{A40C5A34-26BF-4C6B-B249-CF68ABDEA84C}" name="RATED POWER" dataDxfId="118"/>
    <tableColumn id="4" xr3:uid="{DE564461-0F18-48CB-AB2B-9ADCFB1AF3C8}" name="FULL LOAD CURRENT"/>
    <tableColumn id="5" xr3:uid="{5E6E230B-BFF0-4114-BACA-1C0898574AA4}" name="Starter Type" dataDxfId="117">
      <calculatedColumnFormula array="1">_xlfn.LET(
  _xlpm.tag, UPPER(TRIM(A295)),
  _xlpm.kw, N(C295),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calculatedColumnFormula>
    </tableColumn>
    <tableColumn id="6" xr3:uid="{277A9731-71C7-4D70-870F-51E9D0C86F99}" name="CIRCUIT TYPE" dataDxfId="116">
      <calculatedColumnFormula array="1">_xlfn.LET(
  _xlpm.tag, UPPER(TRIM(A295)),
  _xlpm.kw, N(C295),
  _xlpm.flc, N(D295),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calculatedColumnFormula>
    </tableColumn>
    <tableColumn id="7" xr3:uid="{C0C8389F-5F74-49C6-8DF4-B2E2FAFE8E15}" name="E_UNITS" dataDxfId="115">
      <calculatedColumnFormula array="1">_xlfn.LET(
  _xlpm.c, UPPER(TRIM(_81IK61000189101112131415[[#This Row],[Starter Type]])),
  _xlpm.kw, N(_81IK61000189101112131415[[#This Row],[RATED POWER]]),
  _xlpm.flc, N(_81IK61000189101112131415[[#This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calculatedColumnFormula>
    </tableColumn>
    <tableColumn id="8" xr3:uid="{77E9DAB1-9592-489D-9129-2082E5758BBB}" name="REMARK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FACDF3B-F49A-43DE-9EC4-EE27A76A8D07}" name="_81IK6100018910111213141516" displayName="_81IK6100018910111213141516" ref="A321:H338" totalsRowShown="0" headerRowDxfId="114" headerRowBorderDxfId="113" tableBorderDxfId="112">
  <autoFilter ref="A321:H338" xr:uid="{AFACDF3B-F49A-43DE-9EC4-EE27A76A8D07}"/>
  <tableColumns count="8">
    <tableColumn id="1" xr3:uid="{ED924065-1F2B-405C-ADAC-81B0D635C436}" name="TAGS"/>
    <tableColumn id="2" xr3:uid="{E67824B9-28B9-4A55-860F-9CFE4B79E385}" name="BUS" dataDxfId="111"/>
    <tableColumn id="3" xr3:uid="{FD25FC15-D6DD-482D-9E26-50043659E126}" name="RATED POWER" dataDxfId="110"/>
    <tableColumn id="4" xr3:uid="{3F6EA9C2-9B2D-4AB7-8E1B-8BF9FF955FAE}" name="FULL LOAD CURRENT"/>
    <tableColumn id="5" xr3:uid="{66D468F4-4CB7-47A7-95D9-5683178D3D70}" name="Starter Type" dataDxfId="109">
      <calculatedColumnFormula array="1">_xlfn.LET(
  _xlpm.tag, UPPER(TRIM(A322)),
  _xlpm.kw, N(C322),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calculatedColumnFormula>
    </tableColumn>
    <tableColumn id="6" xr3:uid="{31E62FF3-86C0-44F1-9CF9-C7D824C6F9DE}" name="CIRCUIT TYPE" dataDxfId="108">
      <calculatedColumnFormula array="1">_xlfn.LET(
  _xlpm.tag, UPPER(TRIM(A322)),
  _xlpm.kw, N(C322),
  _xlpm.flc, N(D322),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calculatedColumnFormula>
    </tableColumn>
    <tableColumn id="7" xr3:uid="{DA331BA5-25B5-4DA4-868D-AEE0634F8A7D}" name="E_UNITS" dataDxfId="107">
      <calculatedColumnFormula array="1">_xlfn.LET(
  _xlpm.c, UPPER(TRIM(_81IK6100018910111213141516[[#This Row],[Starter Type]])),
  _xlpm.kw, N(_81IK6100018910111213141516[[#This Row],[RATED POWER]]),
  _xlpm.flc, N(_81IK6100018910111213141516[[#This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calculatedColumnFormula>
    </tableColumn>
    <tableColumn id="8" xr3:uid="{0B3256A1-308D-4FD4-A3E8-B4CF21A61A9E}" name="REMARK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079D5F2-87F1-4751-9B18-F895840AA95A}" name="_81IK610001891011121314151617" displayName="_81IK610001891011121314151617" ref="A351:H356" totalsRowShown="0" headerRowDxfId="106" headerRowBorderDxfId="105" tableBorderDxfId="104">
  <autoFilter ref="A351:H356" xr:uid="{3079D5F2-87F1-4751-9B18-F895840AA95A}"/>
  <tableColumns count="8">
    <tableColumn id="1" xr3:uid="{C37CDF9C-A045-4804-9741-4B3D9ACA51A6}" name="TAGS"/>
    <tableColumn id="2" xr3:uid="{376CD40D-2195-4B40-95AA-C848C0D9A91F}" name="BUS" dataDxfId="103"/>
    <tableColumn id="3" xr3:uid="{71F24B4E-B9C2-4A90-BEAA-E16235B66608}" name="RATED POWER" dataDxfId="102"/>
    <tableColumn id="4" xr3:uid="{AE2C6598-26A6-4DE6-A24D-820119720960}" name="FULL LOAD CURRENT"/>
    <tableColumn id="5" xr3:uid="{8328EE1C-6AB3-4A0B-94FC-9422677CCDC7}" name="Starter Type" dataDxfId="101">
      <calculatedColumnFormula array="1">_xlfn.LET(
  _xlpm.tag, UPPER(TRIM(A352)),
  _xlpm.kw, N(C352),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calculatedColumnFormula>
    </tableColumn>
    <tableColumn id="6" xr3:uid="{762705D5-A8DB-4496-9451-DCC9AC444B88}" name="CIRCUIT TYPE" dataDxfId="100">
      <calculatedColumnFormula array="1">_xlfn.LET(
  _xlpm.tag, UPPER(TRIM(A352)),
  _xlpm.kw, N(C352),
  _xlpm.flc, N(D352),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calculatedColumnFormula>
    </tableColumn>
    <tableColumn id="7" xr3:uid="{08961DC0-CAF3-41B1-B199-D5F2DCCAAE55}" name="E_UNITS" dataDxfId="99">
      <calculatedColumnFormula array="1">_xlfn.LET(
  _xlpm.c, UPPER(TRIM(_81IK610001891011121314151617[[#This Row],[Starter Type]])),
  _xlpm.kw, N(_81IK610001891011121314151617[[#This Row],[RATED POWER]]),
  _xlpm.flc, N(_81IK610001891011121314151617[[#This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calculatedColumnFormula>
    </tableColumn>
    <tableColumn id="8" xr3:uid="{00E0BA40-4276-41B2-B757-E30227F5ADEF}" name="REMARK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69A819E-EFB5-4846-B648-0F8AF26CF3F8}" name="_81IK610001891018" displayName="_81IK610001891018" ref="A383:H481" totalsRowShown="0" headerRowDxfId="98" headerRowBorderDxfId="97" tableBorderDxfId="96">
  <autoFilter ref="A383:H481" xr:uid="{769A819E-EFB5-4846-B648-0F8AF26CF3F8}"/>
  <tableColumns count="8">
    <tableColumn id="1" xr3:uid="{1AE78C7B-1887-4B77-B59F-48EAC335EA86}" name="TAGS"/>
    <tableColumn id="2" xr3:uid="{F7F30A40-8663-4DFE-AAB4-40EA8C49128F}" name="BUS" dataDxfId="95"/>
    <tableColumn id="3" xr3:uid="{714E39EB-5DF5-44F3-AE5F-01449C0A6CB9}" name="RATED POWER" dataDxfId="94"/>
    <tableColumn id="4" xr3:uid="{6D4A0549-A3C1-4B0B-B333-AA595281CCF7}" name="FULL LOAD CURRENT"/>
    <tableColumn id="5" xr3:uid="{4269F67E-3DA5-4D07-9854-1399FCA976E9}" name="Starter Type" dataDxfId="93">
      <calculatedColumnFormula array="1">_xlfn.LET(
  _xlpm.tag, UPPER(TRIM(A384)),
  _xlpm.kw, N(C384),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calculatedColumnFormula>
    </tableColumn>
    <tableColumn id="6" xr3:uid="{601604AC-F686-413C-8D3E-99502427AF23}" name="CIRCUIT TYPE" dataDxfId="92">
      <calculatedColumnFormula array="1">_xlfn.LET(
  _xlpm.tag, UPPER(TRIM(A384)),
  _xlpm.kw, N(C384),
  _xlpm.flc, N(D384),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calculatedColumnFormula>
    </tableColumn>
    <tableColumn id="7" xr3:uid="{360EC7E7-5D7F-4C2A-8600-FB3ACFB6BB74}" name="E_UNITS" dataDxfId="91">
      <calculatedColumnFormula array="1">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calculatedColumnFormula>
    </tableColumn>
    <tableColumn id="8" xr3:uid="{D4B423AA-E925-4F52-A014-90F27178C28D}" name="REMARK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7D8C8F-49F7-49D4-B94A-7435FB4AF96F}" name="Table001__Page_1" displayName="Table001__Page_1" ref="A1:Q217" totalsRowShown="0" headerRowDxfId="90">
  <autoFilter ref="A1:Q217" xr:uid="{26CC85C0-4016-4F7F-BF40-D6F87AFDB02C}"/>
  <tableColumns count="17">
    <tableColumn id="1" xr3:uid="{11D0848C-7A86-46BB-A000-346EEF52E0FB}" name="REF." dataDxfId="89"/>
    <tableColumn id="22" xr3:uid="{311E779C-61F9-4F0E-BB80-764CBB9CC325}" name="SWITCHGEAR" dataDxfId="88"/>
    <tableColumn id="2" xr3:uid="{5944964C-F81A-4058-8D7D-0717C81E19BD}" name="TAG No." dataDxfId="87"/>
    <tableColumn id="3" xr3:uid="{527ED3B8-FABE-456B-AC68-9AE148B8D9A3}" name="DESCRIPTION" dataDxfId="86"/>
    <tableColumn id="4" xr3:uid="{05111476-4E96-498A-9A75-48DA780B7FBA}" name="BUS_x000a_REF." dataDxfId="85"/>
    <tableColumn id="5" xr3:uid="{9C6CCD26-3219-4B24-B08D-5A9631CFE54F}" name="Feeder_x000a_type" dataDxfId="84"/>
    <tableColumn id="6" xr3:uid="{8D34F3C5-BBF1-479C-B6CE-1815C36D7140}" name="LOAD_x000a_TYPE_x000a_(N / Em)" dataDxfId="83"/>
    <tableColumn id="7" xr3:uid="{945514ED-95F6-45CE-8D89-8452A7130781}" name="DUTY_x000a_Type_x000a_(C, I or S)" dataDxfId="82"/>
    <tableColumn id="8" xr3:uid="{8A11CC66-BCED-417F-8325-24AFD074EC33}" name="DUTY_x000a_Load_x000a_Factor" dataDxfId="81"/>
    <tableColumn id="9" xr3:uid="{8C09D10B-56B1-46F7-B9DC-4BAE49111393}" name="Absorbed_x000a_Power (kW)_x000a_(HOLD-5)" dataDxfId="80"/>
    <tableColumn id="10" xr3:uid="{724FDEC8-13AE-4EAD-A415-B15C95B26A29}" name="EQUIP._x000a_Design_x000a_RATING_x000a_(kW)" dataDxfId="79"/>
    <tableColumn id="11" xr3:uid="{A5525929-8EE3-422E-B80B-3BF5B5DC9163}" name="POWER_x000a_FACTOR" dataDxfId="78"/>
    <tableColumn id="12" xr3:uid="{CB68424B-CF15-4D0C-B5A9-6EE4E7F87D5C}" name="EFFCY._x000a_(%)" dataDxfId="77"/>
    <tableColumn id="13" xr3:uid="{0C8B9234-6F66-4209-9A58-62565BD80614}" name="Column1" dataDxfId="76"/>
    <tableColumn id="20" xr3:uid="{0E04050D-CD48-481B-954B-326F68B6A326}" name="REMARKS" dataDxfId="75"/>
    <tableColumn id="21" xr3:uid="{1445E060-319A-4D73-9997-B610607B6F61}" name="REV." dataDxfId="74"/>
    <tableColumn id="14" xr3:uid="{5E796423-3D55-49B2-A1F2-619F35E87B2F}" name="EQPT " dataDxfId="73"/>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757D978-D2C7-4C96-9F74-6CA6A5A870A2}" name="표1" displayName="표1" ref="A690:AF1085" totalsRowShown="0">
  <autoFilter ref="A690:AF1085" xr:uid="{2757D978-D2C7-4C96-9F74-6CA6A5A870A2}"/>
  <tableColumns count="32">
    <tableColumn id="1" xr3:uid="{C50DD7C9-C42B-460D-B669-55F06B5A185E}" name="Rev"/>
    <tableColumn id="2" xr3:uid="{8836D72D-D441-426E-9ECE-84CAD480C8FE}" name="Disc."/>
    <tableColumn id="3" xr3:uid="{AA75421A-C535-4CCF-83E9-540B09CFB932}" name="Unit"/>
    <tableColumn id="4" xr3:uid="{16F8492B-CF10-4745-A78B-61C4B4A5531F}" name="SWGR/MCC No."/>
    <tableColumn id="5" xr3:uid="{2F6FB77E-19F0-4C35-AFC1-7630E4A7AB6B}" name="Bus"/>
    <tableColumn id="6" xr3:uid="{8AB6462C-F773-42CF-B43B-70FB38BE7585}" name="SWGR/MCC No. &amp; Bus"/>
    <tableColumn id="7" xr3:uid="{49BB6886-B0DC-451C-90C7-4A6E6CB5ED4F}" name="Equipment Tag No."/>
    <tableColumn id="8" xr3:uid="{084C33FA-F960-48B2-96A0-8539A188779B}" name="EQUIPMENT Description"/>
    <tableColumn id="9" xr3:uid="{A1866BF0-93A5-460A-A5B8-F516FD97AB77}" name="Type of Service_x000a__x000a_N-Normal, _x000a_Em-Emergency, _x000a_SA-UPS Power" dataDxfId="72"/>
    <tableColumn id="10" xr3:uid="{BC817A08-E18F-4253-B877-82B5A2D33F25}" name="Load Type"/>
    <tableColumn id="11" xr3:uid="{B8C17FAD-D284-4E8E-85FD-A10D9C57836F}" name="Voltage_x000a_[KV]"/>
    <tableColumn id="12" xr3:uid="{9EF09620-A589-4E35-BA2A-0F3E9E5941B4}" name="Starter Type" dataDxfId="71"/>
    <tableColumn id="13" xr3:uid="{DFB27D2A-4C47-461E-AA64-D3DE33A24BD7}" name="Load Duty"/>
    <tableColumn id="14" xr3:uid="{F4B336A5-6370-4B8C-99A9-0554998CE156}" name="Absorbed Power _x000a_(kW)_x000a__x000a_[A]"/>
    <tableColumn id="15" xr3:uid="{02B875E4-6EB3-491E-B869-55471B8F7E99}" name="Rated Power_x000a_(kW)_x000a_[B]" dataDxfId="70"/>
    <tableColumn id="16" xr3:uid="{FD41699D-B190-4955-AAFE-7FAD2D2E53BC}" name="Full Load Current"/>
    <tableColumn id="17" xr3:uid="{452580C3-C4A0-46E6-B2C8-9C85EAED1332}" name="DUTY_x000a_Load Factor_x000a_[A/B]"/>
    <tableColumn id="18" xr3:uid="{42F4E523-7138-4168-A8F5-835556AADEF5}" name="Efficiency (%)_x000a_[C]"/>
    <tableColumn id="19" xr3:uid="{62021FCA-537F-4F95-9B36-D674BE5E5393}" name="Power Factor_x000a_[D]"/>
    <tableColumn id="20" xr3:uid="{D9773D98-EDE3-4D3F-8E0E-4A2E07BB89C7}" name="UTILIZATION (UF) _x000a_(%)_x000a_[E]"/>
    <tableColumn id="21" xr3:uid="{735E9704-C01E-453A-A3E9-D459F15047A8}" name="Consumed Load"/>
    <tableColumn id="22" xr3:uid="{FFA6B591-F5A9-41E2-A809-1406329756F0}" name="세로 막대형1"/>
    <tableColumn id="23" xr3:uid="{27C6529D-7FB4-401C-88AB-4AAC34D0D73F}" name="세로 막대형2"/>
    <tableColumn id="24" xr3:uid="{5FB1317F-E6D3-46F8-8DEA-CA88C90CC278}" name="세로 막대형3"/>
    <tableColumn id="25" xr3:uid="{16DDCFFA-395E-4823-A0FB-847BAA20E670}" name="세로 막대형4"/>
    <tableColumn id="26" xr3:uid="{9B33E46B-D3F1-4029-9C40-D52F4C087A9F}" name="세로 막대형5"/>
    <tableColumn id="27" xr3:uid="{43012B0D-BC3F-463A-9F7B-9891C1730634}" name="Variation from FEED_x000a_(Added/Deleted/Increased/_x000a_Decreased/No Change)"/>
    <tableColumn id="28" xr3:uid="{977E03FE-7904-4052-BF4E-6D60EDA00859}" name="Variation from FEED Detail"/>
    <tableColumn id="29" xr3:uid="{1FDD467B-DEC5-4DE9-928B-3134371E5B39}" name="Remarks"/>
    <tableColumn id="30" xr3:uid="{265F21B8-DCBC-4F31-9AB7-659BC3B9D625}" name="Location (Building)"/>
    <tableColumn id="31" xr3:uid="{E15770B4-D3FE-4BBD-8596-45A2C847AF86}" name="History"/>
    <tableColumn id="32" xr3:uid="{CF4AC5FC-13D8-4467-9457-287976B9B378}" name="세로 막대형6"/>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28E7379-7EBA-4C58-BC29-93D568540FED}" name="Table18" displayName="Table18" ref="C1:U22" totalsRowShown="0">
  <autoFilter ref="C1:U22" xr:uid="{528E7379-7EBA-4C58-BC29-93D568540FED}"/>
  <tableColumns count="19">
    <tableColumn id="1" xr3:uid="{EDF8E548-9C34-498C-9BC0-D15A71EB8177}" name="SWGR/MCC No."/>
    <tableColumn id="2" xr3:uid="{0B44ECDD-CABE-42D0-BBB3-A674546411FF}" name="Bus"/>
    <tableColumn id="3" xr3:uid="{FB1FE2A6-77F1-4528-BB13-7000D659A13C}" name="Equipment Tag No."/>
    <tableColumn id="4" xr3:uid="{BB31A6CE-6979-4D36-93ED-2E7E7D102346}" name="Description"/>
    <tableColumn id="5" xr3:uid="{1142F551-769B-497C-9C7B-A6312D6EB5DA}" name="Service"/>
    <tableColumn id="6" xr3:uid="{BB8E5E8E-6A10-4612-8A35-BD8BBD8005D8}" name="Load Type"/>
    <tableColumn id="7" xr3:uid="{252E45D4-BA6A-4591-AF91-485565D28A73}" name="kV"/>
    <tableColumn id="8" xr3:uid="{D4C1C413-976C-444F-A555-B610CD584ED1}" name="Starter"/>
    <tableColumn id="9" xr3:uid="{A99CF8FD-B357-4E17-B2E7-781EFBF2E83B}" name="Duty"/>
    <tableColumn id="10" xr3:uid="{7740D45E-72B7-4481-B5EE-DE4FA5483E4B}" name="세로 막대형1"/>
    <tableColumn id="11" xr3:uid="{76F3E327-FE8A-47ED-A016-04E805141DFE}" name="Abs. kW \[A]"/>
    <tableColumn id="12" xr3:uid="{CE8F8C2C-D34E-48B0-998F-75F564B2899E}" name="Rated kW \[B]"/>
    <tableColumn id="13" xr3:uid="{FDFB8B98-6ABA-4F1C-9131-E04A5E409AE4}" name="FLC (A)"/>
    <tableColumn id="14" xr3:uid="{2BEAC712-5DB0-4765-A93F-A643C03B7F59}" name="PF"/>
    <tableColumn id="15" xr3:uid="{9C732C06-02E0-4C70-A506-55D15DBBC992}" name="UF %"/>
    <tableColumn id="16" xr3:uid="{765B1358-183A-4627-BCFA-66897CDF99CA}" name="E kW / kVAr"/>
    <tableColumn id="17" xr3:uid="{3DD658EF-7345-4977-9E40-83CC457BD536}" name="F kW / kVAr"/>
    <tableColumn id="19" xr3:uid="{2366964C-F01F-4953-9DE2-7174C842FEBF}" name="S kW / kVAr"/>
    <tableColumn id="18" xr3:uid="{9792B902-AA6A-493E-AE84-3F33D6715DBC}" name="Breaker"/>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1D62F5A-14C0-4EB5-B005-3C284AADBF3D}" name="표19_21" displayName="표19_21" ref="D72:S87" totalsRowShown="0">
  <autoFilter ref="D72:S87" xr:uid="{B1D62F5A-14C0-4EB5-B005-3C284AADBF3D}"/>
  <tableColumns count="16">
    <tableColumn id="1" xr3:uid="{C96EE597-DA74-44E9-9C61-E46B0865C8EB}" name="Bus"/>
    <tableColumn id="2" xr3:uid="{11C260DA-3B92-4C0C-85EF-5A4279505D97}" name="Equipment Tag No."/>
    <tableColumn id="3" xr3:uid="{5346426D-D48E-44A4-8551-6FDA562000D2}" name="Description"/>
    <tableColumn id="4" xr3:uid="{25FFA838-7279-4E84-9133-EB31BF41C3A4}" name="Service"/>
    <tableColumn id="5" xr3:uid="{84308228-4528-41FD-9DBD-4A731ADA4905}" name="Load Type"/>
    <tableColumn id="6" xr3:uid="{37E39A88-518F-4DAB-AB82-5182E74749E4}" name="kV"/>
    <tableColumn id="7" xr3:uid="{E88C85B1-EC80-4874-B7C0-274FA9CA91E1}" name="Starter"/>
    <tableColumn id="8" xr3:uid="{065B0C0A-7E3B-4942-BC97-3F0AA52C636D}" name="Duty"/>
    <tableColumn id="9" xr3:uid="{CF8B2297-C7B2-43C5-8144-90309A22518E}" name="Abs. kW [A]"/>
    <tableColumn id="10" xr3:uid="{2341424A-4BE3-450B-9062-25C89B3A3710}" name="Rated kW [B]"/>
    <tableColumn id="11" xr3:uid="{151E9E3E-FC0A-4720-A36D-790A3DDFEA68}" name="Eff %"/>
    <tableColumn id="12" xr3:uid="{F17EDCA5-F84C-4818-8BAA-B06A558F37CD}" name="PF"/>
    <tableColumn id="13" xr3:uid="{80EFF66A-4B4A-4D3D-852B-2053ECA5791C}" name="UF %"/>
    <tableColumn id="14" xr3:uid="{BC57EB11-B746-48F3-A4F3-6A6591D40040}" name="E kW / kVAr" dataDxfId="69"/>
    <tableColumn id="15" xr3:uid="{3074335C-F499-4D85-8D84-FB23D45CB4DF}" name="F kW / kVAr"/>
    <tableColumn id="16" xr3:uid="{85DA92FF-9E6F-4870-9F11-F3831B3B5264}" name="S kW / kVAr"/>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4FF13C-4044-4E4F-9A80-AB9F9292A771}" name="_70IK610001" displayName="_70IK610001" ref="A1:I118" totalsRowShown="0" headerRowDxfId="68">
  <autoFilter ref="A1:I118" xr:uid="{604FF13C-4044-4E4F-9A80-AB9F9292A771}"/>
  <tableColumns count="9">
    <tableColumn id="1" xr3:uid="{5B0C64B4-DE2D-43CF-9602-54D0D2DC1F83}" name="TAGS"/>
    <tableColumn id="2" xr3:uid="{B7C190C6-C461-4A0D-8542-B950B8CB3F25}" name="BUS" dataDxfId="67"/>
    <tableColumn id="3" xr3:uid="{44538316-441E-4E1D-8EEB-44556613E1AB}" name="RATED POWER"/>
    <tableColumn id="4" xr3:uid="{C90A2C8F-2906-4413-AF40-1DF407529300}" name="FULL LOAD CURRENT"/>
    <tableColumn id="5" xr3:uid="{D0974395-C7DC-48B3-A40D-A053ECC32322}" name="Starter Type"/>
    <tableColumn id="6" xr3:uid="{B5FAF802-4075-4609-9C4A-9706DE216A76}" name="CIRCUIT TYPE"/>
    <tableColumn id="7" xr3:uid="{F3358007-EF52-40C8-B554-02CF0305DDB8}" name="E_UNITS" dataDxfId="66">
      <calculatedColumnFormula array="1">_xlfn.LET(
  _xlpm.c, UPPER(TRIM(_70IK610001[[#This Row],[Starter Type]])),
  _xlpm.kw, N(_70IK610001[[#This Row],[RATED POWER]]),
  _xlpm.flc, N(_70IK610001[[#This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IF(_xlpm.a&lt;=32, "8E/4", IF(_xlpm.a&lt;=50, "8E", IF(_xlpm.a&lt;=100, "12E", "16E")))),
  _xlpm.HighE, _xlfn.LAMBDA(_xlpm.a, IF(_xlpm.a&lt;=250, "16E", IF(_xlpm.a&lt;=400, "24E", "36E"))),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IF(_xlpm.flc&lt;=32, "8E/4", IF(_xlpm.kw&lt;=55, "16E", IF(_xlpm.kw&lt;=90, "24E", "36E"))),
    _xlpm.feederType="M_A1",    IF(_xlpm.flc&lt;=32, "8E/4", IF(_xlpm.kw&lt;=15, "8E/2", "8E")),
    _xlpm.feederType="M_B1",    IF(_xlpm.flc&lt;=32, "8E/4", IF(_xlpm.kw&lt;=37, "8E", "12E")),
    _xlpm.feederType="M_C1",    IF(_xlpm.flc&lt;=32, "8E/4", IF(_xlpm.kw&lt;132, "12E", "16E")),
    _xlpm.feederType="M_D1",    IF(_xlpm.flc&lt;=32, "8E/4", "16E"),
    _xlpm.feederType="M_E1",    IF(_xlpm.flc&lt;=32, "8E/4", "24E"),
    _xlpm.feederType="UPS",     IF(_xlpm.flc&lt;=32, "8E/4", IF(_xlpm.flc&lt;=50, "8E", IF(_xlpm.flc&lt;=100, "12E", IF(_xlpm.flc&lt;=250, "16E", IF(_xlpm.flc&lt;=400, "24E", "36E"))))),
    _xlpm.feederType="FEEDER", IF(_xlpm.flc&lt;=160, _xlpm.LowE(_xlpm.flc), _xlpm.HighE(_xlpm.flc)),
    _xlpm.feederType="LIGHT",  IF(_xlpm.flc&lt;=160, _xlpm.LowE(_xlpm.flc), _xlpm.HighE(_xlpm.flc)),
    _xlpm.feederType="HEATER", IF(_xlpm.flc&lt;=160, _xlpm.LowE(_xlpm.flc), _xlpm.HighE(_xlpm.flc)),
    TRUE, "&lt;review&gt;"
  )
)</calculatedColumnFormula>
    </tableColumn>
    <tableColumn id="8" xr3:uid="{B34BF859-F63D-49B7-BBA4-3977E24FF11D}" name="BREAKER"/>
    <tableColumn id="9" xr3:uid="{A46813B1-9F31-4FDA-BF50-564B854F45C0}" name="Heat Dissipation"/>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3C41E1-5715-45D8-9AC1-C22101A9498D}" name="_70IK610002" displayName="_70IK610002" ref="A1:I199" totalsRowShown="0" headerRowDxfId="65" headerRowBorderDxfId="64" tableBorderDxfId="63">
  <autoFilter ref="A1:I199" xr:uid="{363C41E1-5715-45D8-9AC1-C22101A9498D}"/>
  <tableColumns count="9">
    <tableColumn id="1" xr3:uid="{96BAA3D5-45D3-4B6E-BF8E-D0443566DD09}" name="TAGS"/>
    <tableColumn id="2" xr3:uid="{1AF7101F-A81C-47B4-8F3B-CDCF7BCBC077}" name="BUS" dataDxfId="62"/>
    <tableColumn id="3" xr3:uid="{50595A3D-705F-422F-A156-4BEDA2F0C688}" name="RATED POWER"/>
    <tableColumn id="4" xr3:uid="{4622311D-8115-471B-B9DC-5249D12F4F62}" name="FULL LOAD CURRENT" dataDxfId="61"/>
    <tableColumn id="5" xr3:uid="{778CF189-90E2-4A2A-95AE-2555D63F0305}" name="Starter Type"/>
    <tableColumn id="6" xr3:uid="{9C65F749-E904-4FE9-BD1F-16847447979E}" name="CIRCUIT TYPE"/>
    <tableColumn id="7" xr3:uid="{250B0C7E-564A-47C4-8C59-1BC24D368755}" name="E_UNITS" dataDxfId="60">
      <calculatedColumnFormula array="1">_xlfn.LET(
  _xlpm.c, UPPER(TRIM(_70IK610002[[#This Row],[Starter Type]])),
  _xlpm.kw, N(_70IK610002[[#This Row],[RATED POWER]]),
  _xlpm.flc, N(_70IK610002[[#This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"8E",
    _xlpm.feederType="M_B1", IF(_xlpm.kw&lt;=37, "8E", "12E"),
    _xlpm.feederType="M_C1", IF(_xlpm.kw&lt;132, "12E", "16E"),
    _xlpm.feederType="M_D1", "16E",
    _xlpm.feederType="M_E1", "24E",
    _xlpm.feederType="UPS", IF(_xlpm.flc&lt;=50, "8E", IF(_xlpm.flc&lt;=100, "12E", IF(_xlpm.flc&lt;=250, "16E", IF(_xlpm.flc&lt;=400, "24E", "36E")))),
    _xlpm.feederType="FEEDER", IF(_xlpm.flc&lt;=160, _xlpm.LowE(_xlpm.flc), _xlpm.HighE(_xlpm.flc)),
    _xlpm.feederType="LIGHT",  IF(_xlpm.flc&lt;=160, _xlpm.LowE(_xlpm.flc), _xlpm.HighE(_xlpm.flc)),
    _xlpm.feederType="HEATER", IF(_xlpm.flc&lt;=160, _xlpm.LowE(_xlpm.flc), _xlpm.HighE(_xlpm.flc)),
    TRUE, "&lt;review&gt;"
  )
)</calculatedColumnFormula>
    </tableColumn>
    <tableColumn id="8" xr3:uid="{354C386B-4862-48A2-9371-AD8767573DB7}" name="BREAKER"/>
    <tableColumn id="9" xr3:uid="{FC94ED54-0B31-4615-A6A9-15A11E4EDD39}" name="Heat Dissipatio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A8034B-2D34-4581-9AC3-572CD668DB6A}" name="_70IK610003" displayName="_70IK610003" ref="A1:H56" totalsRowShown="0" headerRowDxfId="59" headerRowBorderDxfId="58" tableBorderDxfId="57">
  <autoFilter ref="A1:H56" xr:uid="{1AA8034B-2D34-4581-9AC3-572CD668DB6A}"/>
  <tableColumns count="8">
    <tableColumn id="1" xr3:uid="{B04E1BC2-BDF1-4DF2-8706-DC61EEB3CC01}" name="TAGS"/>
    <tableColumn id="2" xr3:uid="{01B9E2CC-66C2-44A0-AFBC-223AA00B2B9B}" name="BUS" dataDxfId="56"/>
    <tableColumn id="3" xr3:uid="{B576391B-5D9F-45F5-A485-5765F60EACEC}" name="RATED POWER"/>
    <tableColumn id="4" xr3:uid="{B90EF7FD-9B63-4107-9431-68BBCCB7A20C}" name="FULL LOAD CURRENT"/>
    <tableColumn id="5" xr3:uid="{92E15BB8-A128-4A3A-A80F-8AD6E25D1C30}" name="Starter Type"/>
    <tableColumn id="6" xr3:uid="{54562C4B-C0CD-45EC-8C06-795E8FD1673B}" name="CIRCUIT TYPE" dataDxfId="55">
      <calculatedColumnFormula>_xlfn.LET(
  _xlpm.tag, A2,
  _xlpm.p, N(C2),
  _xlpm.i, N(D2),
  _xlpm.st, UPPER(TRIM(E2)),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calculatedColumnFormula>
    </tableColumn>
    <tableColumn id="7" xr3:uid="{721B255F-4438-4C0E-AF07-F1B3C4402157}" name="E_UNITS" dataDxfId="54">
      <calculatedColumnFormula array="1">_xlfn.LET(
  _xlpm.c, UPPER(TRIM(_70IK610001[[#This Row],[Starter Type]])),
  _xlpm.kw, N(_70IK610001[[#This Row],[RATED POWER]]),
  _xlpm.flc, N(_70IK610001[[#This Row],[FULL LOAD CURRENT]]),
  _xlpm.feederType,
    IFERROR(
      _xlfn.IFS(
        _xlpm.c="M-A1", "M_A1",
        _xlpm.c="M-B1", "M_B1",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"16E",
    _xlpm.feederType="M_B1", IF(_xlpm.kw&lt;=90, "24E", "36E"),
    _xlpm.feederType="M_D1", "36E",
    _xlpm.feederType="M_E1", "36E",
    _xlpm.feederType="UPS", IF(_xlpm.flc&lt;=50, "8E", IF(_xlpm.flc&lt;=100, "12E", IF(_xlpm.flc&lt;=250, "16E", IF(_xlpm.flc&lt;=400, "24E", "36E")))),
    _xlpm.feederType="FEEDER", IF(_xlpm.flc&lt;=160, _xlpm.LowE(_xlpm.flc), _xlpm.HighE(_xlpm.flc)),
    _xlpm.feederType="LIGHT",  IF(_xlpm.flc&lt;=160, _xlpm.LowE(_xlpm.flc), _xlpm.HighE(_xlpm.flc)),
    _xlpm.feederType="HEATER", IF(_xlpm.flc&lt;=160, _xlpm.LowE(_xlpm.flc), _xlpm.HighE(_xlpm.flc)),
    TRUE, "&lt;review&gt;"
  )
)</calculatedColumnFormula>
    </tableColumn>
    <tableColumn id="8" xr3:uid="{54BD327F-F464-40DC-AE12-80FA716E4314}" name="REMARKS"/>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5FBA7D-71B1-4D41-99E6-2C40671E773E}" name="_81IK610001" displayName="_81IK610001" ref="A1:H11" totalsRowShown="0" headerRowDxfId="53" headerRowBorderDxfId="52" tableBorderDxfId="51">
  <autoFilter ref="A1:H11" xr:uid="{1AA8034B-2D34-4581-9AC3-572CD668DB6A}"/>
  <tableColumns count="8">
    <tableColumn id="1" xr3:uid="{4EB8FD16-286F-4F17-9890-D4C6288E406B}" name="TAGS"/>
    <tableColumn id="2" xr3:uid="{21FC6E21-8CAD-402C-A5EA-78A46429D472}" name="BUS" dataDxfId="50"/>
    <tableColumn id="3" xr3:uid="{91EB07C8-F273-4827-9DC6-E1764A1D98D8}" name="RATED POWER" dataDxfId="49"/>
    <tableColumn id="4" xr3:uid="{9DB9AC4A-83DA-435E-B931-EE90501CBB09}" name="FULL LOAD CURRENT"/>
    <tableColumn id="5" xr3:uid="{ED5BEAC5-BD21-411F-AE24-B42D7C0B8D04}" name="Starter Type"/>
    <tableColumn id="6" xr3:uid="{C6285B4E-49D9-493E-8F1A-CC0D55871FD0}" name="CIRCUIT TYPE" dataDxfId="48">
      <calculatedColumnFormula>_xlfn.LET(
  _xlpm.tag, A2,
  _xlpm.p, N(C2),
  _xlpm.i, N(D2),
  _xlpm.st, UPPER(TRIM(E2)),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calculatedColumnFormula>
    </tableColumn>
    <tableColumn id="7" xr3:uid="{85411F78-02B5-4598-9BC5-36028C2C3DA9}" name="E_UNITS" dataDxfId="47">
      <calculatedColumnFormula array="1">_xlfn.LET(
  _xlpm.c, UPPER(TRIM(_81IK610001[[#This Row],[Starter Type]])),
  _xlpm.kw, N(_81IK610001[[#This Row],[RATED POWER]]),
  _xlpm.flc, N(_81IK610001[[#This Row],[FULL LOAD CURRENT]]),
  _xlpm.feederType,
    IFERROR(
      _xlfn.IFS(
        _xlpm.c="M-A1", "M_A1",
        _xlpm.c="M-B1", "M_B1",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"8E",
    _xlpm.feederType="M_B1", IF(_xlpm.kw&lt;=37, "8E", "12E"),
    _xlpm.feederType="M_C1", IF(_xlpm.kw&lt;132, "12E", "16E"),
    _xlpm.feederType="M_D1", "16E",
    _xlpm.feederType="M_E1", "24E",
    _xlpm.feederType="UPS", IF(_xlpm.flc&lt;=50, "8E", IF(_xlpm.flc&lt;=100, "12E", IF(_xlpm.flc&lt;=250, "16E", IF(_xlpm.flc&lt;=400, "24E", "36E")))),
    _xlpm.feederType="FEEDER", IF(_xlpm.flc&lt;=160, _xlpm.LowE(_xlpm.flc), _xlpm.HighE(_xlpm.flc)),
    _xlpm.feederType="LIGHT",  IF(_xlpm.flc&lt;=160, _xlpm.LowE(_xlpm.flc), _xlpm.HighE(_xlpm.flc)),
    _xlpm.feederType="HEATER", IF(_xlpm.flc&lt;=160, _xlpm.LowE(_xlpm.flc), _xlpm.HighE(_xlpm.flc)),
    TRUE, "&lt;review&gt;"
  )
)</calculatedColumnFormula>
    </tableColumn>
    <tableColumn id="8" xr3:uid="{A2C05B3D-A6E2-4227-868A-AB8ED9379426}" name="REMARKS"/>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44DEC0-2DFB-417C-83E3-C95E910BE609}" name="Table001__Page_1_11" displayName="Table001__Page_1_11" ref="A1:AO335" tableType="queryTable" totalsRowShown="0" headerRowDxfId="46">
  <autoFilter ref="A1:AO335" xr:uid="{946EEFB3-8F56-47A1-AF77-59711DC93D3F}">
    <filterColumn colId="13">
      <filters>
        <filter val="HV"/>
      </filters>
    </filterColumn>
  </autoFilter>
  <tableColumns count="41">
    <tableColumn id="1" xr3:uid="{97571A6E-CB71-4D64-AAAB-478624938BAA}" uniqueName="1" name="TAG STATUS_x000a_O - Operational_x000a_V- Void" queryTableFieldId="1" dataDxfId="45"/>
    <tableColumn id="2" xr3:uid="{D6C520C2-614E-4907-90C4-E9DEF5008FAD}" uniqueName="2" name="WBS" queryTableFieldId="2" dataDxfId="44"/>
    <tableColumn id="3" xr3:uid="{8098207F-271B-48BE-AFA0-695CA8218E08}" uniqueName="3" name="Sector code" queryTableFieldId="3" dataDxfId="43"/>
    <tableColumn id="4" xr3:uid="{17FC6F4E-9B54-4090-8E5D-B1430ABD788D}" uniqueName="4" name="Equipment Type" queryTableFieldId="4" dataDxfId="42"/>
    <tableColumn id="5" xr3:uid="{C61F1DB7-4387-4A6D-988B-7E300B8727B3}" uniqueName="5" name="System and sub system code" queryTableFieldId="5" dataDxfId="41"/>
    <tableColumn id="6" xr3:uid="{06A8DCAC-69DA-44BA-AF25-C599833950CD}" uniqueName="6" name="Sequential Serial Number" queryTableFieldId="6" dataDxfId="40"/>
    <tableColumn id="7" xr3:uid="{EE33EB71-DD0A-4C33-ABE8-B8CD1173B6AF}" uniqueName="7" name="Suffix" queryTableFieldId="7" dataDxfId="39"/>
    <tableColumn id="8" xr3:uid="{61293638-AB34-4D0B-8B15-B73F32559A4F}" uniqueName="8" name="Equipment Tag" queryTableFieldId="8" dataDxfId="38"/>
    <tableColumn id="9" xr3:uid="{A331C5CA-8C07-456D-912F-CDDECEBEF360}" uniqueName="9" name="Description" queryTableFieldId="9" dataDxfId="37"/>
    <tableColumn id="10" xr3:uid="{E0F6C5DF-B373-42E6-8885-9473F2A34C5E}" uniqueName="10" name="PROCESS OE CODE" queryTableFieldId="10" dataDxfId="36"/>
    <tableColumn id="11" xr3:uid="{6008D474-30C7-47D4-8C7A-63CB11BD942E}" uniqueName="11" name="OWNER OE CODE" queryTableFieldId="11" dataDxfId="35"/>
    <tableColumn id="12" xr3:uid="{2EDBB81B-C5FB-4108-9B3F-6666910AF33F}" uniqueName="12" name="3D MODEL OE CODE" queryTableFieldId="12" dataDxfId="34"/>
    <tableColumn id="13" xr3:uid="{D5BB40DE-3081-42FB-B5D2-E0A833464A25}" uniqueName="13" name="PARENT TAG" queryTableFieldId="13" dataDxfId="33"/>
    <tableColumn id="14" xr3:uid="{AC9FAB5D-B07E-4083-B944-703FA207FA58}" uniqueName="14" name="Discipline Code" queryTableFieldId="14" dataDxfId="32"/>
    <tableColumn id="15" xr3:uid="{420D3C23-623C-4D95-923C-DB1C8ABA73EC}" uniqueName="15" name="Equipment Type2" queryTableFieldId="15" dataDxfId="31"/>
    <tableColumn id="16" xr3:uid="{80DA89DF-F897-4C7B-879A-A01B0F9F13F1}" uniqueName="16" name="Operational Arrangement" queryTableFieldId="16" dataDxfId="30"/>
    <tableColumn id="17" xr3:uid="{6084B6F4-7DE7-44E2-A04A-7D9B7215B394}" uniqueName="17" name="Continuous_x000a_or_x000a_Intermittent" queryTableFieldId="17" dataDxfId="29"/>
    <tableColumn id="18" xr3:uid="{195102CC-5679-4DF9-AB1C-BD72508634E6}" uniqueName="18" name="Rated Duty_x000a_(kW)" queryTableFieldId="18" dataDxfId="28"/>
    <tableColumn id="19" xr3:uid="{798F2194-4247-40E7-B7B9-9F2BCC9A928D}" uniqueName="19" name="Rated Flowrate_x000a_(m³/h)" queryTableFieldId="19" dataDxfId="27"/>
    <tableColumn id="20" xr3:uid="{520ECBB9-D699-4E72-9FA9-F8D01E7F7EEC}" uniqueName="20" name="Rated Flowrate_x000a_(MMscfd)" queryTableFieldId="20" dataDxfId="26"/>
    <tableColumn id="21" xr3:uid="{C5AB423E-66EB-47B5-B454-8E44B6D3675A}" uniqueName="21" name="Rated Flowrate_x000a_(kg/h)" queryTableFieldId="21" dataDxfId="25"/>
    <tableColumn id="22" xr3:uid="{97CF89F9-7190-4148-9649-A1977CE462FE}" uniqueName="22" name="Capacity_x000a_(m³)" queryTableFieldId="22" dataDxfId="24"/>
    <tableColumn id="23" xr3:uid="{88977070-8CC2-4F7F-85BA-68DB37C94776}" uniqueName="23" name="MIN Operating_x000a_Pressure_x000a_(barg)" queryTableFieldId="23" dataDxfId="23"/>
    <tableColumn id="24" xr3:uid="{DE00C13B-9A07-413C-BAAA-C0E036902510}" uniqueName="24" name="MAX Operating_x000a_Pressure_x000a_(barg)" queryTableFieldId="24" dataDxfId="22"/>
    <tableColumn id="25" xr3:uid="{F27CAB9B-DCC3-4B63-88AF-95AE5B934C67}" uniqueName="25" name="MIN Operating Temperature_x000a_(°C)" queryTableFieldId="25" dataDxfId="21"/>
    <tableColumn id="26" xr3:uid="{83A13548-AB0C-4B83-812F-015B463EB709}" uniqueName="26" name="MAX Operating_x000a_Temperature_x000a_(°C)" queryTableFieldId="26" dataDxfId="20"/>
    <tableColumn id="27" xr3:uid="{0D89469B-87CF-482A-96B1-A40CE09FD09B}" uniqueName="27" name="MIN Design_x000a_Pressure_x000a_(barg)" queryTableFieldId="27" dataDxfId="19"/>
    <tableColumn id="28" xr3:uid="{8317842D-A6DB-4058-AC4D-62801FF95DD2}" uniqueName="28" name="MAX Design_x000a_Pressure_x000a_(barg)" queryTableFieldId="28" dataDxfId="18"/>
    <tableColumn id="29" xr3:uid="{4CCFBA8C-6641-4B96-BAEC-9CBBA46487AD}" uniqueName="29" name="MIN Design_x000a_Temperature_x000a_(°C)" queryTableFieldId="29" dataDxfId="17"/>
    <tableColumn id="30" xr3:uid="{41E12FF6-D1D6-494B-ADF6-416B204BA1AB}" uniqueName="30" name="MAX Design_x000a_Temperature_x000a_(°C)" queryTableFieldId="30" dataDxfId="16"/>
    <tableColumn id="31" xr3:uid="{29BAAE8E-DD89-4403-9907-6256AB88D00D}" uniqueName="31" name="Absorbed_x000a_Electrical Power_x000a_(kW)" queryTableFieldId="31" dataDxfId="15"/>
    <tableColumn id="32" xr3:uid="{FCB334C0-B962-4601-BAF6-91BEDD0BF78B}" uniqueName="32" name="Driver Rated_x000a_Power_x000a_(kW)" queryTableFieldId="32" dataDxfId="14"/>
    <tableColumn id="33" xr3:uid="{C863C565-8BE1-4CDB-A12A-74FB8DB9C612}" uniqueName="33" name="Emergency Load" queryTableFieldId="33" dataDxfId="13"/>
    <tableColumn id="34" xr3:uid="{F7B40E90-7A6C-41A5-B886-A2863FA47057}" uniqueName="34" name="Length / T-T_x000a_(m)" queryTableFieldId="34" dataDxfId="12"/>
    <tableColumn id="35" xr3:uid="{015A3D5D-5317-4080-94D2-A79837542B98}" uniqueName="35" name="Width / Diameter_x000a_(m)" queryTableFieldId="35" dataDxfId="11"/>
    <tableColumn id="36" xr3:uid="{3676270F-E4A7-43D4-859F-D9707CA21D60}" uniqueName="36" name="Height / T-T_x000a_(m)" queryTableFieldId="36" dataDxfId="10"/>
    <tableColumn id="37" xr3:uid="{1CF94615-DE7E-4A9A-8C81-14B81DB4D570}" uniqueName="37" name="Dry Weight_x000a_(kg)" queryTableFieldId="37" dataDxfId="9"/>
    <tableColumn id="38" xr3:uid="{48CE4301-1C45-4AB7-8E07-69CD5FA1F24D}" uniqueName="38" name="Operating Weight_x000a_(kg)" queryTableFieldId="38" dataDxfId="8"/>
    <tableColumn id="39" xr3:uid="{90C89CF5-23F4-4583-B49B-B0315F684EC6}" uniqueName="39" name="PFD/UFD Reference" queryTableFieldId="39" dataDxfId="7"/>
    <tableColumn id="40" xr3:uid="{EB0D0563-238F-4FCA-B797-BBA9AD976809}" uniqueName="40" name="Material" queryTableFieldId="40" dataDxfId="6"/>
    <tableColumn id="41" xr3:uid="{9DC76EAA-D55F-4858-8E87-DCF303A863F7}" uniqueName="41" name="Notes" queryTableFieldId="41" dataDxfId="5"/>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6D9BE8F-EF07-4F77-8C11-7ECB63631B17}" name="표23" displayName="표23" ref="A3:D18" totalsRowShown="0">
  <autoFilter ref="A3:D18" xr:uid="{E6D9BE8F-EF07-4F77-8C11-7ECB63631B17}"/>
  <tableColumns count="4">
    <tableColumn id="1" xr3:uid="{BAE4A503-3821-4850-95A9-50AC651DA676}" name="No."/>
    <tableColumn id="2" xr3:uid="{D9820842-F8A3-44F5-9785-E7A5385F92A2}" name="Equipment Tag No."/>
    <tableColumn id="3" xr3:uid="{77C08974-A5CA-4660-B86D-24922D2D9D9B}" name="Breaker Type"/>
    <tableColumn id="4" xr3:uid="{CBE3EB03-106A-4414-9F5F-F4076DC16EB9}" name="Rating (A)" dataDxfId="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7.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3"/>
  <sheetViews>
    <sheetView workbookViewId="0"/>
  </sheetViews>
  <sheetFormatPr defaultColWidth="12.6640625" defaultRowHeight="15.75" customHeight="1"/>
  <sheetData>
    <row r="1" spans="1:1">
      <c r="A1" s="1" t="s">
        <v>0</v>
      </c>
    </row>
    <row r="2" spans="1:1">
      <c r="A2" s="1" t="s">
        <v>1</v>
      </c>
    </row>
    <row r="3" spans="1:1">
      <c r="A3" s="1"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E36AB-42A2-41F4-98C7-944764E7A161}">
  <dimension ref="A1:V486"/>
  <sheetViews>
    <sheetView topLeftCell="E56" zoomScaleNormal="100" workbookViewId="0">
      <selection activeCell="G88" sqref="G88"/>
    </sheetView>
  </sheetViews>
  <sheetFormatPr defaultRowHeight="13.2"/>
  <cols>
    <col min="1" max="1" width="20.44140625" bestFit="1" customWidth="1"/>
    <col min="3" max="3" width="19.33203125" customWidth="1"/>
    <col min="4" max="4" width="23.6640625" customWidth="1"/>
    <col min="5" max="5" width="31.33203125" customWidth="1"/>
    <col min="6" max="6" width="67.6640625" customWidth="1"/>
    <col min="7" max="7" width="17.6640625" customWidth="1"/>
    <col min="8" max="8" width="27" customWidth="1"/>
    <col min="15" max="15" width="59.33203125" bestFit="1" customWidth="1"/>
    <col min="17" max="17" width="23.6640625" customWidth="1"/>
  </cols>
  <sheetData>
    <row r="1" spans="1:18" ht="22.8">
      <c r="A1" s="92" t="s">
        <v>3</v>
      </c>
      <c r="B1" s="34"/>
      <c r="C1" s="34"/>
    </row>
    <row r="2" spans="1:18">
      <c r="A2" s="49"/>
    </row>
    <row r="3" spans="1:18">
      <c r="A3" s="23" t="s">
        <v>4</v>
      </c>
      <c r="B3" s="24" t="s">
        <v>5</v>
      </c>
      <c r="C3" s="24" t="s">
        <v>6</v>
      </c>
      <c r="D3" s="24" t="s">
        <v>7</v>
      </c>
      <c r="E3" s="24" t="s">
        <v>8</v>
      </c>
      <c r="F3" s="24" t="s">
        <v>9</v>
      </c>
      <c r="G3" s="25" t="s">
        <v>10</v>
      </c>
      <c r="H3" s="24" t="s">
        <v>11</v>
      </c>
      <c r="I3" s="10"/>
      <c r="Q3" s="10" t="s">
        <v>12</v>
      </c>
      <c r="R3" s="10" t="s">
        <v>13</v>
      </c>
    </row>
    <row r="4" spans="1:18">
      <c r="A4" t="s">
        <v>14</v>
      </c>
      <c r="B4" s="10" t="s">
        <v>15</v>
      </c>
      <c r="C4" s="28">
        <v>78.8</v>
      </c>
      <c r="D4">
        <v>124.83439356990324</v>
      </c>
      <c r="E4" s="27" t="str" cm="1">
        <f t="array" ref="E4">_xlfn.LET(
  _xlpm.tag, UPPER(TRIM(A4)),
  _xlpm.kw, N(C4),
  _xlpm.parts, _xlfn.TEXTSPLIT(_xlpm.tag,"-"),
  _xlpm.mid, IF(COUNTA(_xlpm.parts)&gt;=2, INDEX(_xlpm.parts,1,2), ""),
  _xlpm.mapCodes, {"AHU";"CWP";"EF";"ACWC";"ACCU";"EDH";"WWG";"WWP";"HD"},
  _xlpm.mapType,  {"M";"M";"M";"F";"F";"F";"F";"F";"F"},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4" s="27" t="str" cm="1">
        <f t="array" ref="F4">_xlfn.LET(
  _xlpm.tag, UPPER(TRIM(A4)),
  _xlpm.kw, N(C4),
  _xlpm.flc, N(D4),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 s="27" t="str" cm="1">
        <f t="array" ref="G4">_xlfn.LET(
  _xlpm.c, UPPER(TRIM(_81IK6100018[[#This Row],[Starter Type]])),
  _xlpm.kw, N(_81IK6100018[[#This Row],[RATED POWER]]),
  _xlpm.flc, N(_81IK6100018[[#This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I4" s="10"/>
      <c r="N4" s="29" t="s">
        <v>16</v>
      </c>
      <c r="O4" s="29" t="s">
        <v>17</v>
      </c>
      <c r="P4" s="29" t="s">
        <v>18</v>
      </c>
      <c r="Q4">
        <f t="shared" ref="Q4:Q20" si="0">COUNTIFS($E$4:$E$18,N4,$F$4:$F$18,O4,$G$4:$G$18,P4)</f>
        <v>0</v>
      </c>
      <c r="R4">
        <f>ROUNDUP(Q4*0.2,0)</f>
        <v>0</v>
      </c>
    </row>
    <row r="5" spans="1:18">
      <c r="A5" t="s">
        <v>19</v>
      </c>
      <c r="B5" s="10" t="s">
        <v>15</v>
      </c>
      <c r="C5" s="28">
        <v>80.52</v>
      </c>
      <c r="D5">
        <v>127.55920520620063</v>
      </c>
      <c r="E5" s="27" t="str" cm="1">
        <f t="array" ref="E5">_xlfn.LET(
  _xlpm.tag, UPPER(TRIM(A5)),
  _xlpm.kw, N(C5),
  _xlpm.parts, _xlfn.TEXTSPLIT(_xlpm.tag,"-"),
  _xlpm.mid, IF(COUNTA(_xlpm.parts)&gt;=2, INDEX(_xlpm.parts,1,2), ""),
  _xlpm.mapCodes, {"AHU";"CWP";"EF";"ACWC";"ACCU";"EDH";"WWG";"WWP";"HD"},
  _xlpm.mapType,  {"M";"M";"M";"F";"F";"F";"F";"F";"F"},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5" s="27" t="str" cm="1">
        <f t="array" ref="F5">_xlfn.LET(
  _xlpm.tag, UPPER(TRIM(A5)),
  _xlpm.kw, N(C5),
  _xlpm.flc, N(D5),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5" s="27" t="str" cm="1">
        <f t="array" ref="G5">_xlfn.LET(
  _xlpm.c, UPPER(TRIM(_81IK6100018[[#This Row],[Starter Type]])),
  _xlpm.kw, N(_81IK6100018[[#This Row],[RATED POWER]]),
  _xlpm.flc, N(_81IK6100018[[#This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16E</v>
      </c>
      <c r="N5" s="33" t="s">
        <v>20</v>
      </c>
      <c r="O5" s="33" t="s">
        <v>21</v>
      </c>
      <c r="P5" s="33" t="s">
        <v>22</v>
      </c>
      <c r="Q5">
        <f t="shared" si="0"/>
        <v>2</v>
      </c>
      <c r="R5" s="34">
        <f t="shared" ref="R5:R20" si="1">ROUNDUP(Q5*0.2,0)</f>
        <v>1</v>
      </c>
    </row>
    <row r="6" spans="1:18">
      <c r="A6" t="s">
        <v>23</v>
      </c>
      <c r="B6" s="10" t="s">
        <v>15</v>
      </c>
      <c r="C6" s="28">
        <v>4.37</v>
      </c>
      <c r="D6">
        <v>6.9229225875695075</v>
      </c>
      <c r="E6" s="27" t="str" cm="1">
        <f t="array" ref="E6">_xlfn.LET(
  _xlpm.tag, UPPER(TRIM(A6)),
  _xlpm.kw, N(C6),
  _xlpm.parts, _xlfn.TEXTSPLIT(_xlpm.tag,"-"),
  _xlpm.mid, IF(COUNTA(_xlpm.parts)&gt;=2, INDEX(_xlpm.parts,1,2), ""),
  _xlpm.mapCodes, {"AHU";"CWP";"EF";"ACWC";"ACCU";"EDH";"WWG";"WWP";"HD"},
  _xlpm.mapType,  {"M";"M";"M";"F";"F";"F";"F";"F";"F"},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6" s="27" t="str" cm="1">
        <f t="array" ref="F6">_xlfn.LET(
  _xlpm.tag, UPPER(TRIM(A6)),
  _xlpm.kw, N(C6),
  _xlpm.flc, N(D6),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6" s="27" t="str" cm="1">
        <f t="array" ref="G6">_xlfn.LET(
  _xlpm.c, UPPER(TRIM(_81IK6100018[[#This Row],[Starter Type]])),
  _xlpm.kw, N(_81IK6100018[[#This Row],[RATED POWER]]),
  _xlpm.flc, N(_81IK6100018[[#This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6" s="29" t="s">
        <v>24</v>
      </c>
      <c r="O6" s="29" t="s">
        <v>25</v>
      </c>
      <c r="P6" s="29" t="s">
        <v>22</v>
      </c>
      <c r="Q6">
        <f t="shared" si="0"/>
        <v>0</v>
      </c>
      <c r="R6">
        <f t="shared" si="1"/>
        <v>0</v>
      </c>
    </row>
    <row r="7" spans="1:18">
      <c r="A7" t="s">
        <v>26</v>
      </c>
      <c r="B7" s="10" t="s">
        <v>15</v>
      </c>
      <c r="C7" s="28">
        <v>4.37</v>
      </c>
      <c r="D7">
        <v>6.9229225875695075</v>
      </c>
      <c r="E7" s="27" t="str" cm="1">
        <f t="array" ref="E7">_xlfn.LET(
  _xlpm.tag, UPPER(TRIM(A7)),
  _xlpm.kw, N(C7),
  _xlpm.parts, _xlfn.TEXTSPLIT(_xlpm.tag,"-"),
  _xlpm.mid, IF(COUNTA(_xlpm.parts)&gt;=2, INDEX(_xlpm.parts,1,2), ""),
  _xlpm.mapCodes, {"AHU";"CWP";"EF";"ACWC";"ACCU";"EDH";"WWG";"WWP";"HD"},
  _xlpm.mapType,  {"M";"M";"M";"F";"F";"F";"F";"F";"F"},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7" s="27" t="str" cm="1">
        <f t="array" ref="F7">_xlfn.LET(
  _xlpm.tag, UPPER(TRIM(A7)),
  _xlpm.kw, N(C7),
  _xlpm.flc, N(D7),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7" s="27" t="str" cm="1">
        <f t="array" ref="G7">_xlfn.LET(
  _xlpm.c, UPPER(TRIM(_81IK6100018[[#This Row],[Starter Type]])),
  _xlpm.kw, N(_81IK6100018[[#This Row],[RATED POWER]]),
  _xlpm.flc, N(_81IK6100018[[#This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7" s="29" t="s">
        <v>24</v>
      </c>
      <c r="O7" s="29" t="s">
        <v>25</v>
      </c>
      <c r="P7" s="29" t="s">
        <v>27</v>
      </c>
      <c r="Q7">
        <f t="shared" si="0"/>
        <v>0</v>
      </c>
      <c r="R7">
        <f t="shared" si="1"/>
        <v>0</v>
      </c>
    </row>
    <row r="8" spans="1:18">
      <c r="A8" t="s">
        <v>28</v>
      </c>
      <c r="B8" s="10" t="s">
        <v>15</v>
      </c>
      <c r="C8" s="28">
        <v>24.5</v>
      </c>
      <c r="D8">
        <v>38.81272388911966</v>
      </c>
      <c r="E8" s="27" t="str" cm="1">
        <f t="array" ref="E8">_xlfn.LET(
  _xlpm.tag, UPPER(TRIM(A8)),
  _xlpm.kw, N(C8),
  _xlpm.parts, _xlfn.TEXTSPLIT(_xlpm.tag,"-"),
  _xlpm.mid, IF(COUNTA(_xlpm.parts)&gt;=2, INDEX(_xlpm.parts,1,2), ""),
  _xlpm.mapCodes, {"AHU";"CWP";"EF";"ACWC";"ACCU";"EDH";"WWG";"WWP";"HD"},
  _xlpm.mapType,  {"M";"M";"M";"F";"F";"F";"F";"F";"F"},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8" s="27" t="str" cm="1">
        <f t="array" ref="F8">_xlfn.LET(
  _xlpm.tag, UPPER(TRIM(A8)),
  _xlpm.kw, N(C8),
  _xlpm.flc, N(D8),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8" s="27" t="str" cm="1">
        <f t="array" ref="G8">_xlfn.LET(
  _xlpm.c, UPPER(TRIM(_81IK6100018[[#This Row],[Starter Type]])),
  _xlpm.kw, N(_81IK6100018[[#This Row],[RATED POWER]]),
  _xlpm.flc, N(_81IK6100018[[#This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v>
      </c>
      <c r="N8" s="29" t="s">
        <v>29</v>
      </c>
      <c r="O8" s="29" t="s">
        <v>17</v>
      </c>
      <c r="P8" s="29" t="s">
        <v>18</v>
      </c>
      <c r="Q8">
        <f t="shared" si="0"/>
        <v>0</v>
      </c>
      <c r="R8">
        <f t="shared" si="1"/>
        <v>0</v>
      </c>
    </row>
    <row r="9" spans="1:18">
      <c r="A9" t="s">
        <v>30</v>
      </c>
      <c r="B9" s="10" t="s">
        <v>15</v>
      </c>
      <c r="C9" s="28">
        <v>24.5</v>
      </c>
      <c r="D9">
        <v>38.81272388911966</v>
      </c>
      <c r="E9" s="27" t="str" cm="1">
        <f t="array" ref="E9">_xlfn.LET(
  _xlpm.tag, UPPER(TRIM(A9)),
  _xlpm.kw, N(C9),
  _xlpm.parts, _xlfn.TEXTSPLIT(_xlpm.tag,"-"),
  _xlpm.mid, IF(COUNTA(_xlpm.parts)&gt;=2, INDEX(_xlpm.parts,1,2), ""),
  _xlpm.mapCodes, {"AHU";"CWP";"EF";"ACWC";"ACCU";"EDH";"WWG";"WWP";"HD"},
  _xlpm.mapType,  {"M";"M";"M";"F";"F";"F";"F";"F";"F"},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9" s="27" t="str" cm="1">
        <f t="array" ref="F9">_xlfn.LET(
  _xlpm.tag, UPPER(TRIM(A9)),
  _xlpm.kw, N(C9),
  _xlpm.flc, N(D9),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9" s="27" t="str" cm="1">
        <f t="array" ref="G9">_xlfn.LET(
  _xlpm.c, UPPER(TRIM(_81IK6100018[[#This Row],[Starter Type]])),
  _xlpm.kw, N(_81IK6100018[[#This Row],[RATED POWER]]),
  _xlpm.flc, N(_81IK6100018[[#This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v>
      </c>
      <c r="N9" s="29" t="s">
        <v>20</v>
      </c>
      <c r="O9" s="29" t="s">
        <v>31</v>
      </c>
      <c r="P9" s="29" t="s">
        <v>32</v>
      </c>
      <c r="Q9">
        <f t="shared" si="0"/>
        <v>0</v>
      </c>
      <c r="R9">
        <f t="shared" si="1"/>
        <v>0</v>
      </c>
    </row>
    <row r="10" spans="1:18">
      <c r="A10" t="s">
        <v>33</v>
      </c>
      <c r="B10" s="10" t="s">
        <v>15</v>
      </c>
      <c r="C10" s="28">
        <v>0.37</v>
      </c>
      <c r="D10">
        <v>1.0193936354196471</v>
      </c>
      <c r="E10" s="27" t="str" cm="1">
        <f t="array" ref="E10">_xlfn.LET(
  _xlpm.tag, UPPER(TRIM(A10)),
  _xlpm.kw, N(C10),
  _xlpm.parts, _xlfn.TEXTSPLIT(_xlpm.tag,"-"),
  _xlpm.mid, IF(COUNTA(_xlpm.parts)&gt;=2, INDEX(_xlpm.parts,1,2), ""),
  _xlpm.mapCodes, {"AHU";"CWP";"EF";"ACWC";"ACCU";"EDH";"WWG";"WWP";"HD"},
  _xlpm.mapType,  {"M";"M";"M";"F";"F";"F";"F";"F";"F"},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0" s="27" t="str" cm="1">
        <f t="array" ref="F10">_xlfn.LET(
  _xlpm.tag, UPPER(TRIM(A10)),
  _xlpm.kw, N(C10),
  _xlpm.flc, N(D10),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0" s="27" t="str" cm="1">
        <f t="array" ref="G10">_xlfn.LET(
  _xlpm.c, UPPER(TRIM(_81IK6100018[[#This Row],[Starter Type]])),
  _xlpm.kw, N(_81IK6100018[[#This Row],[RATED POWER]]),
  _xlpm.flc, N(_81IK6100018[[#This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0" s="29" t="s">
        <v>20</v>
      </c>
      <c r="O10" s="29" t="s">
        <v>21</v>
      </c>
      <c r="P10" s="29" t="s">
        <v>32</v>
      </c>
      <c r="Q10">
        <f t="shared" si="0"/>
        <v>1</v>
      </c>
      <c r="R10">
        <f t="shared" si="1"/>
        <v>1</v>
      </c>
    </row>
    <row r="11" spans="1:18">
      <c r="A11" t="s">
        <v>34</v>
      </c>
      <c r="B11" s="10" t="s">
        <v>15</v>
      </c>
      <c r="C11" s="28">
        <v>0.37</v>
      </c>
      <c r="D11">
        <v>0.58615134036629701</v>
      </c>
      <c r="E11" s="27" t="str" cm="1">
        <f t="array" ref="E11">_xlfn.LET(
  _xlpm.tag, UPPER(TRIM(A11)),
  _xlpm.kw, N(C11),
  _xlpm.parts, _xlfn.TEXTSPLIT(_xlpm.tag,"-"),
  _xlpm.mid, IF(COUNTA(_xlpm.parts)&gt;=2, INDEX(_xlpm.parts,1,2), ""),
  _xlpm.mapCodes, {"AHU";"CWP";"EF";"ACWC";"ACCU";"EDH";"WWG";"WWP";"HD"},
  _xlpm.mapType,  {"M";"M";"M";"F";"F";"F";"F";"F";"F"},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1" s="27" t="str" cm="1">
        <f t="array" ref="F11">_xlfn.LET(
  _xlpm.tag, UPPER(TRIM(A11)),
  _xlpm.kw, N(C11),
  _xlpm.flc, N(D11),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1" s="27" t="str" cm="1">
        <f t="array" ref="G11">_xlfn.LET(
  _xlpm.c, UPPER(TRIM(_81IK6100018[[#This Row],[Starter Type]])),
  _xlpm.kw, N(_81IK6100018[[#This Row],[RATED POWER]]),
  _xlpm.flc, N(_81IK6100018[[#This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1" s="33" t="s">
        <v>20</v>
      </c>
      <c r="O11" s="33" t="s">
        <v>21</v>
      </c>
      <c r="P11" s="33" t="s">
        <v>27</v>
      </c>
      <c r="Q11">
        <f t="shared" si="0"/>
        <v>0</v>
      </c>
      <c r="R11" s="34">
        <f t="shared" si="1"/>
        <v>0</v>
      </c>
    </row>
    <row r="12" spans="1:18">
      <c r="A12" t="s">
        <v>35</v>
      </c>
      <c r="B12" s="10" t="s">
        <v>15</v>
      </c>
      <c r="C12" s="28">
        <v>0.37</v>
      </c>
      <c r="D12">
        <v>0.58615134036629701</v>
      </c>
      <c r="E12" s="27" t="str" cm="1">
        <f t="array" ref="E12">_xlfn.LET(
  _xlpm.tag, UPPER(TRIM(A12)),
  _xlpm.kw, N(C12),
  _xlpm.parts, _xlfn.TEXTSPLIT(_xlpm.tag,"-"),
  _xlpm.mid, IF(COUNTA(_xlpm.parts)&gt;=2, INDEX(_xlpm.parts,1,2), ""),
  _xlpm.mapCodes, {"AHU";"CWP";"EF";"ACWC";"ACCU";"EDH";"WWG";"WWP";"HD"},
  _xlpm.mapType,  {"M";"M";"M";"F";"F";"F";"F";"F";"F"},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2" s="27" t="str" cm="1">
        <f t="array" ref="F12">_xlfn.LET(
  _xlpm.tag, UPPER(TRIM(A12)),
  _xlpm.kw, N(C12),
  _xlpm.flc, N(D12),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2" s="27" t="str" cm="1">
        <f t="array" ref="G12">_xlfn.LET(
  _xlpm.c, UPPER(TRIM(_81IK6100018[[#This Row],[Starter Type]])),
  _xlpm.kw, N(_81IK6100018[[#This Row],[RATED POWER]]),
  _xlpm.flc, N(_81IK6100018[[#This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2" s="29" t="s">
        <v>36</v>
      </c>
      <c r="O12" s="29" t="s">
        <v>37</v>
      </c>
      <c r="P12" s="29" t="s">
        <v>32</v>
      </c>
      <c r="Q12">
        <f t="shared" si="0"/>
        <v>0</v>
      </c>
      <c r="R12">
        <f t="shared" si="1"/>
        <v>0</v>
      </c>
    </row>
    <row r="13" spans="1:18">
      <c r="A13" t="s">
        <v>38</v>
      </c>
      <c r="B13" s="10" t="s">
        <v>15</v>
      </c>
      <c r="C13" s="28">
        <v>1.32</v>
      </c>
      <c r="D13">
        <v>2.0911345115770597</v>
      </c>
      <c r="E13" s="27" t="str" cm="1">
        <f t="array" ref="E13">_xlfn.LET(
  _xlpm.tag, UPPER(TRIM(A13)),
  _xlpm.kw, N(C13),
  _xlpm.parts, _xlfn.TEXTSPLIT(_xlpm.tag,"-"),
  _xlpm.mid, IF(COUNTA(_xlpm.parts)&gt;=2, INDEX(_xlpm.parts,1,2), ""),
  _xlpm.mapCodes, {"AHU";"CWP";"EF";"ACWC";"ACCU";"EDH";"WWG";"WWP";"HD"},
  _xlpm.mapType,  {"M";"M";"M";"F";"F";"F";"F";"F";"F"},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3" s="27" t="str" cm="1">
        <f t="array" ref="F13">_xlfn.LET(
  _xlpm.tag, UPPER(TRIM(A13)),
  _xlpm.kw, N(C13),
  _xlpm.flc, N(D13),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3" s="27" t="str" cm="1">
        <f t="array" ref="G13">_xlfn.LET(
  _xlpm.c, UPPER(TRIM(_81IK6100018[[#This Row],[Starter Type]])),
  _xlpm.kw, N(_81IK6100018[[#This Row],[RATED POWER]]),
  _xlpm.flc, N(_81IK6100018[[#This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3" s="29" t="s">
        <v>16</v>
      </c>
      <c r="O13" s="29" t="s">
        <v>17</v>
      </c>
      <c r="P13" s="29" t="s">
        <v>39</v>
      </c>
      <c r="Q13">
        <f t="shared" si="0"/>
        <v>0</v>
      </c>
      <c r="R13">
        <f t="shared" si="1"/>
        <v>0</v>
      </c>
    </row>
    <row r="14" spans="1:18">
      <c r="A14" t="s">
        <v>40</v>
      </c>
      <c r="B14" s="10" t="s">
        <v>15</v>
      </c>
      <c r="C14" s="28">
        <v>1.1000000000000001</v>
      </c>
      <c r="D14">
        <v>1.742612092980883</v>
      </c>
      <c r="E14" s="27" t="str" cm="1">
        <f t="array" ref="E14">_xlfn.LET(
  _xlpm.tag, UPPER(TRIM(A14)),
  _xlpm.kw, N(C14),
  _xlpm.parts, _xlfn.TEXTSPLIT(_xlpm.tag,"-"),
  _xlpm.mid, IF(COUNTA(_xlpm.parts)&gt;=2, INDEX(_xlpm.parts,1,2), ""),
  _xlpm.mapCodes, {"AHU";"CWP";"EF";"ACWC";"ACCU";"EDH";"WWG";"WWP";"HD"},
  _xlpm.mapType,  {"M";"M";"M";"F";"F";"F";"F";"F";"F"},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4" s="27" t="str" cm="1">
        <f t="array" ref="F14">_xlfn.LET(
  _xlpm.tag, UPPER(TRIM(A14)),
  _xlpm.kw, N(C14),
  _xlpm.flc, N(D14),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4" s="27" t="str" cm="1">
        <f t="array" ref="G14">_xlfn.LET(
  _xlpm.c, UPPER(TRIM(_81IK6100018[[#This Row],[Starter Type]])),
  _xlpm.kw, N(_81IK6100018[[#This Row],[RATED POWER]]),
  _xlpm.flc, N(_81IK6100018[[#This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4" s="33" t="s">
        <v>41</v>
      </c>
      <c r="O14" s="33" t="s">
        <v>17</v>
      </c>
      <c r="P14" s="33" t="s">
        <v>32</v>
      </c>
      <c r="Q14">
        <f t="shared" si="0"/>
        <v>0</v>
      </c>
      <c r="R14" s="34">
        <f t="shared" si="1"/>
        <v>0</v>
      </c>
    </row>
    <row r="15" spans="1:18">
      <c r="A15" t="s">
        <v>42</v>
      </c>
      <c r="B15" s="10"/>
      <c r="C15" s="28">
        <v>2</v>
      </c>
      <c r="D15">
        <v>3.1683856236016052</v>
      </c>
      <c r="E15" s="27" t="str" cm="1">
        <f t="array" ref="E15">_xlfn.LET(
  _xlpm.tag, UPPER(TRIM(A15)),
  _xlpm.kw, N(C15),
  _xlpm.parts, _xlfn.TEXTSPLIT(_xlpm.tag,"-"),
  _xlpm.mid, IF(COUNTA(_xlpm.parts)&gt;=2, INDEX(_xlpm.parts,1,2), ""),
  _xlpm.mapCodes, {"AHU";"CWP";"EF";"ACWC";"ACCU";"EDH";"WWG";"WWP";"HD"},
  _xlpm.mapType,  {"M";"M";"M";"F";"F";"F";"F";"F";"F"},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5" s="9" t="str" cm="1">
        <f t="array" ref="F15">_xlfn.LET(
  _xlpm.tag, UPPER(TRIM(A15)),
  _xlpm.kw, N(C15),
  _xlpm.flc, N(D15),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5" s="9" t="str" cm="1">
        <f t="array" ref="G15">_xlfn.LET(
  _xlpm.c, UPPER(TRIM(_81IK6100018[[#This Row],[Starter Type]])),
  _xlpm.kw, N(_81IK6100018[[#This Row],[RATED POWER]]),
  _xlpm.flc, N(_81IK6100018[[#This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c r="N15" s="29" t="s">
        <v>43</v>
      </c>
      <c r="O15" s="29" t="s">
        <v>44</v>
      </c>
      <c r="P15" s="29" t="s">
        <v>22</v>
      </c>
      <c r="Q15">
        <f t="shared" si="0"/>
        <v>0</v>
      </c>
      <c r="R15">
        <f t="shared" si="1"/>
        <v>0</v>
      </c>
    </row>
    <row r="16" spans="1:18">
      <c r="A16" t="s">
        <v>45</v>
      </c>
      <c r="B16" s="10"/>
      <c r="C16" s="28">
        <v>2</v>
      </c>
      <c r="D16">
        <v>3.1683856236016052</v>
      </c>
      <c r="E16" s="27" t="str" cm="1">
        <f t="array" ref="E16">_xlfn.LET(
  _xlpm.tag, UPPER(TRIM(A16)),
  _xlpm.kw, N(C16),
  _xlpm.parts, _xlfn.TEXTSPLIT(_xlpm.tag,"-"),
  _xlpm.mid, IF(COUNTA(_xlpm.parts)&gt;=2, INDEX(_xlpm.parts,1,2), ""),
  _xlpm.mapCodes, {"AHU";"CWP";"EF";"ACWC";"ACCU";"EDH";"WWG";"WWP";"HD"},
  _xlpm.mapType,  {"M";"M";"M";"F";"F";"F";"F";"F";"F"},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6" s="9" t="str" cm="1">
        <f t="array" ref="F16">_xlfn.LET(
  _xlpm.tag, UPPER(TRIM(A16)),
  _xlpm.kw, N(C16),
  _xlpm.flc, N(D16),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6" s="9" t="str" cm="1">
        <f t="array" ref="G16">_xlfn.LET(
  _xlpm.c, UPPER(TRIM(_81IK6100018[[#This Row],[Starter Type]])),
  _xlpm.kw, N(_81IK6100018[[#This Row],[RATED POWER]]),
  _xlpm.flc, N(_81IK6100018[[#This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c r="N16" s="29" t="s">
        <v>36</v>
      </c>
      <c r="O16" s="29" t="s">
        <v>37</v>
      </c>
      <c r="P16" s="29" t="s">
        <v>27</v>
      </c>
      <c r="Q16">
        <f t="shared" si="0"/>
        <v>0</v>
      </c>
      <c r="R16">
        <f t="shared" si="1"/>
        <v>0</v>
      </c>
    </row>
    <row r="17" spans="1:18">
      <c r="A17" t="s">
        <v>46</v>
      </c>
      <c r="B17" s="10"/>
      <c r="C17" s="28">
        <v>1</v>
      </c>
      <c r="D17">
        <v>2.7551179335666136</v>
      </c>
      <c r="E17" s="27" t="str" cm="1">
        <f t="array" ref="E17">_xlfn.LET(
  _xlpm.tag, UPPER(TRIM(A17)),
  _xlpm.kw, N(C17),
  _xlpm.parts, _xlfn.TEXTSPLIT(_xlpm.tag,"-"),
  _xlpm.mid, IF(COUNTA(_xlpm.parts)&gt;=2, INDEX(_xlpm.parts,1,2), ""),
  _xlpm.mapCodes, {"AHU";"CWP";"EF";"ACWC";"ACCU";"EDH";"WWG";"WWP";"HD"},
  _xlpm.mapType,  {"M";"M";"M";"F";"F";"F";"F";"F";"F"},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7" s="9" t="str" cm="1">
        <f t="array" ref="F17">_xlfn.LET(
  _xlpm.tag, UPPER(TRIM(A17)),
  _xlpm.kw, N(C17),
  _xlpm.flc, N(D17),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7" s="9" t="str" cm="1">
        <f t="array" ref="G17">_xlfn.LET(
  _xlpm.c, UPPER(TRIM(_81IK6100018[[#This Row],[Starter Type]])),
  _xlpm.kw, N(_81IK6100018[[#This Row],[RATED POWER]]),
  _xlpm.flc, N(_81IK6100018[[#This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c r="N17" t="s">
        <v>36</v>
      </c>
      <c r="O17" t="s">
        <v>37</v>
      </c>
      <c r="P17" t="s">
        <v>18</v>
      </c>
      <c r="Q17">
        <f t="shared" si="0"/>
        <v>0</v>
      </c>
      <c r="R17">
        <f t="shared" si="1"/>
        <v>0</v>
      </c>
    </row>
    <row r="18" spans="1:18">
      <c r="A18" t="s">
        <v>47</v>
      </c>
      <c r="B18" s="10"/>
      <c r="C18" s="28">
        <v>1</v>
      </c>
      <c r="D18">
        <v>2.7551179335666136</v>
      </c>
      <c r="E18" s="27" t="str" cm="1">
        <f t="array" ref="E18">_xlfn.LET(
  _xlpm.tag, UPPER(TRIM(A18)),
  _xlpm.kw, N(C18),
  _xlpm.parts, _xlfn.TEXTSPLIT(_xlpm.tag,"-"),
  _xlpm.mid, IF(COUNTA(_xlpm.parts)&gt;=2, INDEX(_xlpm.parts,1,2), ""),
  _xlpm.mapCodes, {"AHU";"CWP";"EF";"ACWC";"ACCU";"EDH";"WWG";"WWP";"HD"},
  _xlpm.mapType,  {"M";"M";"M";"F";"F";"F";"F";"F";"F"},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8" s="9" t="str" cm="1">
        <f t="array" ref="F18">_xlfn.LET(
  _xlpm.tag, UPPER(TRIM(A18)),
  _xlpm.kw, N(C18),
  _xlpm.flc, N(D18),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8" s="9" t="str" cm="1">
        <f t="array" ref="G18">_xlfn.LET(
  _xlpm.c, UPPER(TRIM(_81IK6100018[[#This Row],[Starter Type]])),
  _xlpm.kw, N(_81IK6100018[[#This Row],[RATED POWER]]),
  _xlpm.flc, N(_81IK6100018[[#This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c r="N18" t="s">
        <v>20</v>
      </c>
      <c r="O18" t="s">
        <v>31</v>
      </c>
      <c r="P18" t="s">
        <v>22</v>
      </c>
      <c r="Q18">
        <f t="shared" si="0"/>
        <v>0</v>
      </c>
      <c r="R18">
        <f t="shared" si="1"/>
        <v>0</v>
      </c>
    </row>
    <row r="19" spans="1:18">
      <c r="N19" t="s">
        <v>29</v>
      </c>
      <c r="O19" t="s">
        <v>17</v>
      </c>
      <c r="P19" t="s">
        <v>22</v>
      </c>
      <c r="Q19">
        <f t="shared" si="0"/>
        <v>0</v>
      </c>
      <c r="R19">
        <f t="shared" si="1"/>
        <v>0</v>
      </c>
    </row>
    <row r="20" spans="1:18">
      <c r="N20" t="s">
        <v>36</v>
      </c>
      <c r="O20" t="s">
        <v>37</v>
      </c>
      <c r="P20" t="s">
        <v>22</v>
      </c>
      <c r="Q20">
        <f t="shared" si="0"/>
        <v>0</v>
      </c>
      <c r="R20">
        <f t="shared" si="1"/>
        <v>0</v>
      </c>
    </row>
    <row r="22" spans="1:18">
      <c r="F22">
        <f>7600-3000</f>
        <v>4600</v>
      </c>
    </row>
    <row r="25" spans="1:18">
      <c r="R25" s="10"/>
    </row>
    <row r="31" spans="1:18">
      <c r="I31" t="s">
        <v>48</v>
      </c>
    </row>
    <row r="32" spans="1:18">
      <c r="H32" s="10" t="s">
        <v>49</v>
      </c>
      <c r="I32" s="10" t="s">
        <v>50</v>
      </c>
      <c r="J32" s="10" t="s">
        <v>51</v>
      </c>
      <c r="K32" s="10" t="s">
        <v>52</v>
      </c>
      <c r="L32" s="10" t="s">
        <v>53</v>
      </c>
    </row>
    <row r="33" spans="1:18">
      <c r="H33" s="10" t="s">
        <v>54</v>
      </c>
      <c r="I33">
        <f>(I34+I35)*1000</f>
        <v>2000</v>
      </c>
      <c r="J33">
        <f>(J34+J35)*800</f>
        <v>800</v>
      </c>
      <c r="K33">
        <f>400*K34</f>
        <v>0</v>
      </c>
      <c r="L33" s="34">
        <f>I33+J33+K33</f>
        <v>2800</v>
      </c>
      <c r="N33">
        <f>L33+(1200*1)+600</f>
        <v>4600</v>
      </c>
      <c r="O33" s="10" t="s">
        <v>55</v>
      </c>
    </row>
    <row r="34" spans="1:18">
      <c r="I34" cm="1">
        <f t="array" ref="I34">ROUNDUP(
  _xlfn.LET(
    _xlpm.arrange,$I$3,
    _xlpm.capE,IF(_xlpm.arrange="B2B",144,72),
    _xlpm.rng,G4:G18,
    _xlpm.totalE,SUMPRODUCT(
      IFERROR(
        VALUE(_xlfn.TEXTBEFORE(_xlpm.rng,"E")) / IFERROR(VALUE(_xlfn.TEXTAFTER(_xlpm.rng,"/")),1),
        0
      )
    ),
    CEILING((1+$J$4)*_xlpm.totalE/_xlpm.capE,1)
  ),
0)</f>
        <v>2</v>
      </c>
      <c r="J34">
        <v>1</v>
      </c>
      <c r="K34">
        <v>0</v>
      </c>
      <c r="L34" s="34">
        <f>I34+J34+K34+L35</f>
        <v>3</v>
      </c>
    </row>
    <row r="35" spans="1:18">
      <c r="I35">
        <v>0</v>
      </c>
      <c r="M35" t="s">
        <v>56</v>
      </c>
    </row>
    <row r="38" spans="1:18" ht="22.8">
      <c r="A38" s="56" t="s">
        <v>57</v>
      </c>
    </row>
    <row r="39" spans="1:18">
      <c r="A39" s="49"/>
    </row>
    <row r="40" spans="1:18">
      <c r="A40" s="23" t="s">
        <v>4</v>
      </c>
      <c r="B40" s="24" t="s">
        <v>5</v>
      </c>
      <c r="C40" s="24" t="s">
        <v>6</v>
      </c>
      <c r="D40" s="24" t="s">
        <v>7</v>
      </c>
      <c r="E40" s="24" t="s">
        <v>8</v>
      </c>
      <c r="F40" s="24" t="s">
        <v>9</v>
      </c>
      <c r="G40" s="25" t="s">
        <v>10</v>
      </c>
      <c r="H40" s="24" t="s">
        <v>11</v>
      </c>
      <c r="I40" s="10"/>
      <c r="Q40" s="10" t="s">
        <v>12</v>
      </c>
      <c r="R40" s="10" t="s">
        <v>13</v>
      </c>
    </row>
    <row r="41" spans="1:18">
      <c r="A41" t="s">
        <v>58</v>
      </c>
      <c r="B41" s="10" t="s">
        <v>15</v>
      </c>
      <c r="C41" s="28">
        <v>132.30000000000001</v>
      </c>
      <c r="D41">
        <v>17.062219797367096</v>
      </c>
      <c r="E41" s="27" t="s">
        <v>29</v>
      </c>
      <c r="F41" s="27" t="str" cm="1">
        <f t="array" ref="F41">_xlfn.LET(
  _xlpm.tag, UPPER(TRIM(A41)),
  _xlpm.kw, N(C41),
  _xlpm.flc, N(D41),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1" s="27" t="str" cm="1">
        <f t="array" ref="G41">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I41" s="10"/>
      <c r="N41" s="29" t="s">
        <v>16</v>
      </c>
      <c r="O41" s="29" t="s">
        <v>17</v>
      </c>
      <c r="P41" s="29" t="s">
        <v>18</v>
      </c>
      <c r="Q41">
        <f t="shared" ref="Q41:Q57" si="2">COUNTIFS($E$4:$E$18,N41,$F$4:$F$18,O41,$G$4:$G$18,P41)</f>
        <v>0</v>
      </c>
      <c r="R41">
        <f>ROUNDUP(Q41*0.2,0)</f>
        <v>0</v>
      </c>
    </row>
    <row r="42" spans="1:18">
      <c r="A42" t="s">
        <v>59</v>
      </c>
      <c r="B42" s="10" t="s">
        <v>15</v>
      </c>
      <c r="C42" s="28">
        <v>132.30000000000001</v>
      </c>
      <c r="D42">
        <v>17.062219797367096</v>
      </c>
      <c r="E42" s="27" t="s">
        <v>29</v>
      </c>
      <c r="F42" s="27" t="str" cm="1">
        <f t="array" ref="F42">_xlfn.LET(
  _xlpm.tag, UPPER(TRIM(A42)),
  _xlpm.kw, N(C42),
  _xlpm.flc, N(D42),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2" s="27" t="str" cm="1">
        <f t="array" ref="G42">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N42" s="33" t="s">
        <v>20</v>
      </c>
      <c r="O42" s="33" t="s">
        <v>21</v>
      </c>
      <c r="P42" s="33" t="s">
        <v>22</v>
      </c>
      <c r="Q42">
        <f t="shared" si="2"/>
        <v>2</v>
      </c>
      <c r="R42" s="34">
        <f t="shared" ref="R42:R57" si="3">ROUNDUP(Q42*0.2,0)</f>
        <v>1</v>
      </c>
    </row>
    <row r="43" spans="1:18">
      <c r="A43" t="s">
        <v>60</v>
      </c>
      <c r="B43" s="10" t="s">
        <v>15</v>
      </c>
      <c r="C43" s="28">
        <v>147.6</v>
      </c>
      <c r="D43">
        <v>201.82949936618391</v>
      </c>
      <c r="E43" s="27" t="s">
        <v>20</v>
      </c>
      <c r="F43" s="27" t="str" cm="1">
        <f t="array" ref="F43">_xlfn.LET(
  _xlpm.tag, UPPER(TRIM(A43)),
  _xlpm.kw, N(C43),
  _xlpm.flc, N(D43),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&gt; 160A, per Dwg LV3)</v>
      </c>
      <c r="G43" s="27" t="str" cm="1">
        <f t="array" ref="G43">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16E</v>
      </c>
      <c r="N43" s="29" t="s">
        <v>24</v>
      </c>
      <c r="O43" s="29" t="s">
        <v>25</v>
      </c>
      <c r="P43" s="29" t="s">
        <v>22</v>
      </c>
      <c r="Q43">
        <f t="shared" si="2"/>
        <v>0</v>
      </c>
      <c r="R43">
        <f t="shared" si="3"/>
        <v>0</v>
      </c>
    </row>
    <row r="44" spans="1:18">
      <c r="A44" t="s">
        <v>61</v>
      </c>
      <c r="B44" s="10" t="s">
        <v>15</v>
      </c>
      <c r="C44" s="28">
        <v>147.6</v>
      </c>
      <c r="D44">
        <v>201.82949936618391</v>
      </c>
      <c r="E44" s="27" t="s">
        <v>20</v>
      </c>
      <c r="F44" s="27" t="str" cm="1">
        <f t="array" ref="F44">_xlfn.LET(
  _xlpm.tag, UPPER(TRIM(A44)),
  _xlpm.kw, N(C44),
  _xlpm.flc, N(D44),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&gt; 160A, per Dwg LV3)</v>
      </c>
      <c r="G44" s="27" t="str" cm="1">
        <f t="array" ref="G44">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16E</v>
      </c>
      <c r="N44" s="29" t="s">
        <v>24</v>
      </c>
      <c r="O44" s="29" t="s">
        <v>25</v>
      </c>
      <c r="P44" s="29" t="s">
        <v>27</v>
      </c>
      <c r="Q44">
        <f t="shared" si="2"/>
        <v>0</v>
      </c>
      <c r="R44">
        <f t="shared" si="3"/>
        <v>0</v>
      </c>
    </row>
    <row r="45" spans="1:18">
      <c r="A45" t="s">
        <v>62</v>
      </c>
      <c r="B45" s="10" t="s">
        <v>15</v>
      </c>
      <c r="C45" s="28">
        <v>8.81</v>
      </c>
      <c r="D45">
        <v>12.046869169485637</v>
      </c>
      <c r="E45" s="27" t="s">
        <v>41</v>
      </c>
      <c r="F45" s="27" t="str" cm="1">
        <f t="array" ref="F45">_xlfn.LET(
  _xlpm.tag, UPPER(TRIM(A45)),
  _xlpm.kw, N(C45),
  _xlpm.flc, N(D45),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5" s="27" t="str" cm="1">
        <f t="array" ref="G45">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45" s="29" t="s">
        <v>29</v>
      </c>
      <c r="O45" s="29" t="s">
        <v>17</v>
      </c>
      <c r="P45" s="29" t="s">
        <v>18</v>
      </c>
      <c r="Q45">
        <f t="shared" si="2"/>
        <v>0</v>
      </c>
      <c r="R45">
        <f t="shared" si="3"/>
        <v>0</v>
      </c>
    </row>
    <row r="46" spans="1:18">
      <c r="A46" t="s">
        <v>63</v>
      </c>
      <c r="B46" s="10" t="s">
        <v>15</v>
      </c>
      <c r="C46" s="28">
        <v>8.81</v>
      </c>
      <c r="D46">
        <v>12.046869169485637</v>
      </c>
      <c r="E46" s="27" t="s">
        <v>41</v>
      </c>
      <c r="F46" s="27" t="str" cm="1">
        <f t="array" ref="F46">_xlfn.LET(
  _xlpm.tag, UPPER(TRIM(A46)),
  _xlpm.kw, N(C46),
  _xlpm.flc, N(D46),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6" s="27" t="str" cm="1">
        <f t="array" ref="G46">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46" s="29" t="s">
        <v>20</v>
      </c>
      <c r="O46" s="29" t="s">
        <v>31</v>
      </c>
      <c r="P46" s="29" t="s">
        <v>32</v>
      </c>
      <c r="Q46">
        <f t="shared" si="2"/>
        <v>0</v>
      </c>
      <c r="R46">
        <f t="shared" si="3"/>
        <v>0</v>
      </c>
    </row>
    <row r="47" spans="1:18">
      <c r="A47" t="s">
        <v>64</v>
      </c>
      <c r="B47" s="10" t="s">
        <v>15</v>
      </c>
      <c r="C47" s="28">
        <v>8.81</v>
      </c>
      <c r="D47">
        <v>12.046869169485637</v>
      </c>
      <c r="E47" s="27" t="s">
        <v>41</v>
      </c>
      <c r="F47" s="27" t="str" cm="1">
        <f t="array" ref="F47">_xlfn.LET(
  _xlpm.tag, UPPER(TRIM(A47)),
  _xlpm.kw, N(C47),
  _xlpm.flc, N(D47),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7" s="27" t="str" cm="1">
        <f t="array" ref="G47">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47" s="29" t="s">
        <v>20</v>
      </c>
      <c r="O47" s="29" t="s">
        <v>21</v>
      </c>
      <c r="P47" s="29" t="s">
        <v>32</v>
      </c>
      <c r="Q47">
        <f t="shared" si="2"/>
        <v>1</v>
      </c>
      <c r="R47">
        <f t="shared" si="3"/>
        <v>1</v>
      </c>
    </row>
    <row r="48" spans="1:18">
      <c r="A48" t="s">
        <v>65</v>
      </c>
      <c r="B48" s="10" t="s">
        <v>15</v>
      </c>
      <c r="C48" s="28">
        <v>8.81</v>
      </c>
      <c r="D48">
        <v>12.046869169485637</v>
      </c>
      <c r="E48" s="27" t="s">
        <v>41</v>
      </c>
      <c r="F48" s="27" t="str" cm="1">
        <f t="array" ref="F48">_xlfn.LET(
  _xlpm.tag, UPPER(TRIM(A48)),
  _xlpm.kw, N(C48),
  _xlpm.flc, N(D48),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8" s="27" t="str" cm="1">
        <f t="array" ref="G48">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48" s="33" t="s">
        <v>20</v>
      </c>
      <c r="O48" s="33" t="s">
        <v>21</v>
      </c>
      <c r="P48" s="33" t="s">
        <v>27</v>
      </c>
      <c r="Q48">
        <f t="shared" si="2"/>
        <v>0</v>
      </c>
      <c r="R48" s="34">
        <f t="shared" si="3"/>
        <v>0</v>
      </c>
    </row>
    <row r="49" spans="1:18">
      <c r="A49" t="s">
        <v>66</v>
      </c>
      <c r="B49" s="10" t="s">
        <v>15</v>
      </c>
      <c r="C49" s="28">
        <v>31.29</v>
      </c>
      <c r="D49">
        <v>42.786212975392239</v>
      </c>
      <c r="E49" s="27" t="s">
        <v>20</v>
      </c>
      <c r="F49" s="27" t="str" cm="1">
        <f t="array" ref="F49">_xlfn.LET(
  _xlpm.tag, UPPER(TRIM(A49)),
  _xlpm.kw, N(C49),
  _xlpm.flc, N(D49),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9" s="27" t="str" cm="1">
        <f t="array" ref="G49">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v>
      </c>
      <c r="N49" s="29" t="s">
        <v>36</v>
      </c>
      <c r="O49" s="29" t="s">
        <v>37</v>
      </c>
      <c r="P49" s="29" t="s">
        <v>32</v>
      </c>
      <c r="Q49">
        <f t="shared" si="2"/>
        <v>0</v>
      </c>
      <c r="R49">
        <f t="shared" si="3"/>
        <v>0</v>
      </c>
    </row>
    <row r="50" spans="1:18">
      <c r="A50" t="s">
        <v>67</v>
      </c>
      <c r="B50" s="10" t="s">
        <v>15</v>
      </c>
      <c r="C50" s="28">
        <v>31.29</v>
      </c>
      <c r="D50">
        <v>42.786212975392239</v>
      </c>
      <c r="E50" s="27" t="s">
        <v>20</v>
      </c>
      <c r="F50" s="27" t="str" cm="1">
        <f t="array" ref="F50">_xlfn.LET(
  _xlpm.tag, UPPER(TRIM(A50)),
  _xlpm.kw, N(C50),
  _xlpm.flc, N(D50),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50" s="27" t="str" cm="1">
        <f t="array" ref="G50">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v>
      </c>
      <c r="N50" s="29" t="s">
        <v>16</v>
      </c>
      <c r="O50" s="29" t="s">
        <v>17</v>
      </c>
      <c r="P50" s="29" t="s">
        <v>39</v>
      </c>
      <c r="Q50">
        <f t="shared" si="2"/>
        <v>0</v>
      </c>
      <c r="R50">
        <f t="shared" si="3"/>
        <v>0</v>
      </c>
    </row>
    <row r="51" spans="1:18">
      <c r="A51" t="s">
        <v>68</v>
      </c>
      <c r="B51" s="10" t="s">
        <v>15</v>
      </c>
      <c r="C51" s="28">
        <v>19.22</v>
      </c>
      <c r="D51">
        <v>26.281591990637221</v>
      </c>
      <c r="E51" s="27" t="s">
        <v>20</v>
      </c>
      <c r="F51" s="27" t="str" cm="1">
        <f t="array" ref="F51">_xlfn.LET(
  _xlpm.tag, UPPER(TRIM(A51)),
  _xlpm.kw, N(C51),
  _xlpm.flc, N(D51),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51" s="27" t="str" cm="1">
        <f t="array" ref="G51">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51" s="33" t="s">
        <v>41</v>
      </c>
      <c r="O51" s="33" t="s">
        <v>17</v>
      </c>
      <c r="P51" s="33" t="s">
        <v>32</v>
      </c>
      <c r="Q51">
        <f t="shared" si="2"/>
        <v>0</v>
      </c>
      <c r="R51" s="34">
        <f t="shared" si="3"/>
        <v>0</v>
      </c>
    </row>
    <row r="52" spans="1:18">
      <c r="A52" t="s">
        <v>69</v>
      </c>
      <c r="B52" s="10" t="s">
        <v>15</v>
      </c>
      <c r="C52" s="28">
        <v>19.22</v>
      </c>
      <c r="D52">
        <v>26.281591990637221</v>
      </c>
      <c r="E52" s="27" t="s">
        <v>20</v>
      </c>
      <c r="F52" s="27" t="str" cm="1">
        <f t="array" ref="F52">_xlfn.LET(
  _xlpm.tag, UPPER(TRIM(A52)),
  _xlpm.kw, N(C52),
  _xlpm.flc, N(D52),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52" t="str" cm="1">
        <f t="array" ref="G52">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52" s="29" t="s">
        <v>43</v>
      </c>
      <c r="O52" s="29" t="s">
        <v>44</v>
      </c>
      <c r="P52" s="29" t="s">
        <v>22</v>
      </c>
      <c r="Q52">
        <f t="shared" si="2"/>
        <v>0</v>
      </c>
      <c r="R52">
        <f t="shared" si="3"/>
        <v>0</v>
      </c>
    </row>
    <row r="53" spans="1:18">
      <c r="A53" t="s">
        <v>70</v>
      </c>
      <c r="B53" s="10" t="s">
        <v>15</v>
      </c>
      <c r="C53" s="28">
        <v>0.37</v>
      </c>
      <c r="D53">
        <v>0.87989766425695837</v>
      </c>
      <c r="E53" s="27" t="s">
        <v>41</v>
      </c>
      <c r="F53" s="27" t="str" cm="1">
        <f t="array" ref="F53">_xlfn.LET(
  _xlpm.tag, UPPER(TRIM(A53)),
  _xlpm.kw, N(C53),
  _xlpm.flc, N(D53),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53" t="str" cm="1">
        <f t="array" ref="G53">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53" s="29" t="s">
        <v>36</v>
      </c>
      <c r="O53" s="29" t="s">
        <v>37</v>
      </c>
      <c r="P53" s="29" t="s">
        <v>27</v>
      </c>
      <c r="Q53">
        <f t="shared" si="2"/>
        <v>0</v>
      </c>
      <c r="R53">
        <f t="shared" si="3"/>
        <v>0</v>
      </c>
    </row>
    <row r="54" spans="1:18">
      <c r="A54" t="s">
        <v>71</v>
      </c>
      <c r="B54" s="10" t="s">
        <v>15</v>
      </c>
      <c r="C54" s="28">
        <v>2.1</v>
      </c>
      <c r="D54">
        <v>2.8715579178115598</v>
      </c>
      <c r="E54" s="27" t="s">
        <v>41</v>
      </c>
      <c r="F54" s="27" t="str" cm="1">
        <f t="array" ref="F54">_xlfn.LET(
  _xlpm.tag, UPPER(TRIM(A54)),
  _xlpm.kw, N(C54),
  _xlpm.flc, N(D54),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54" t="str" cm="1">
        <f t="array" ref="G54">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54" t="s">
        <v>36</v>
      </c>
      <c r="O54" t="s">
        <v>37</v>
      </c>
      <c r="P54" t="s">
        <v>18</v>
      </c>
      <c r="Q54">
        <f t="shared" si="2"/>
        <v>0</v>
      </c>
      <c r="R54">
        <f t="shared" si="3"/>
        <v>0</v>
      </c>
    </row>
    <row r="55" spans="1:18">
      <c r="A55" t="s">
        <v>72</v>
      </c>
      <c r="B55" s="10" t="s">
        <v>15</v>
      </c>
      <c r="C55" s="28">
        <v>2.1</v>
      </c>
      <c r="D55">
        <v>2.8715579178115598</v>
      </c>
      <c r="E55" s="27" t="s">
        <v>41</v>
      </c>
      <c r="F55" s="27" t="str" cm="1">
        <f t="array" ref="F55">_xlfn.LET(
  _xlpm.tag, UPPER(TRIM(A55)),
  _xlpm.kw, N(C55),
  _xlpm.flc, N(D55),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55" t="str" cm="1">
        <f t="array" ref="G55">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55" t="s">
        <v>20</v>
      </c>
      <c r="O55" t="s">
        <v>31</v>
      </c>
      <c r="P55" t="s">
        <v>22</v>
      </c>
      <c r="Q55">
        <f t="shared" si="2"/>
        <v>0</v>
      </c>
      <c r="R55">
        <f t="shared" si="3"/>
        <v>0</v>
      </c>
    </row>
    <row r="56" spans="1:18">
      <c r="A56" t="s">
        <v>73</v>
      </c>
      <c r="B56" s="10" t="s">
        <v>15</v>
      </c>
      <c r="C56" s="28">
        <v>0.37</v>
      </c>
      <c r="D56">
        <v>0.50594115694775099</v>
      </c>
      <c r="E56" s="27" t="s">
        <v>41</v>
      </c>
      <c r="F56" s="27" t="str" cm="1">
        <f t="array" ref="F56">_xlfn.LET(
  _xlpm.tag, UPPER(TRIM(A56)),
  _xlpm.kw, N(C56),
  _xlpm.flc, N(D56),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56" t="str" cm="1">
        <f t="array" ref="G56">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56" t="s">
        <v>29</v>
      </c>
      <c r="O56" t="s">
        <v>17</v>
      </c>
      <c r="P56" t="s">
        <v>22</v>
      </c>
      <c r="Q56">
        <f t="shared" si="2"/>
        <v>0</v>
      </c>
      <c r="R56">
        <f t="shared" si="3"/>
        <v>0</v>
      </c>
    </row>
    <row r="57" spans="1:18">
      <c r="A57" t="s">
        <v>74</v>
      </c>
      <c r="B57" s="10" t="s">
        <v>15</v>
      </c>
      <c r="C57" s="28">
        <v>0.37</v>
      </c>
      <c r="D57">
        <v>0.50594115694775099</v>
      </c>
      <c r="E57" s="27" t="s">
        <v>41</v>
      </c>
      <c r="F57" s="27" t="str" cm="1">
        <f t="array" ref="F57">_xlfn.LET(
  _xlpm.tag, UPPER(TRIM(A57)),
  _xlpm.kw, N(C57),
  _xlpm.flc, N(D57),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57" t="str" cm="1">
        <f t="array" ref="G57">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57" t="s">
        <v>36</v>
      </c>
      <c r="O57" t="s">
        <v>37</v>
      </c>
      <c r="P57" t="s">
        <v>22</v>
      </c>
      <c r="Q57">
        <f t="shared" si="2"/>
        <v>0</v>
      </c>
      <c r="R57">
        <f t="shared" si="3"/>
        <v>0</v>
      </c>
    </row>
    <row r="58" spans="1:18">
      <c r="A58" t="s">
        <v>75</v>
      </c>
      <c r="B58" s="10" t="s">
        <v>15</v>
      </c>
      <c r="C58" s="28">
        <v>0.4</v>
      </c>
      <c r="D58">
        <v>0.54696341291648753</v>
      </c>
      <c r="E58" s="27" t="s">
        <v>41</v>
      </c>
      <c r="F58" s="27" t="str" cm="1">
        <f t="array" ref="F58">_xlfn.LET(
  _xlpm.tag, UPPER(TRIM(A58)),
  _xlpm.kw, N(C58),
  _xlpm.flc, N(D58),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58" t="str" cm="1">
        <f t="array" ref="G58">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59" spans="1:18">
      <c r="A59" t="s">
        <v>76</v>
      </c>
      <c r="B59" s="10" t="s">
        <v>15</v>
      </c>
      <c r="C59" s="28">
        <v>0.4</v>
      </c>
      <c r="D59">
        <v>0.54696341291648753</v>
      </c>
      <c r="E59" s="27" t="s">
        <v>41</v>
      </c>
      <c r="F59" s="27" t="str" cm="1">
        <f t="array" ref="F59">_xlfn.LET(
  _xlpm.tag, UPPER(TRIM(A59)),
  _xlpm.kw, N(C59),
  _xlpm.flc, N(D59),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59" t="str" cm="1">
        <f t="array" ref="G59">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60" spans="1:18">
      <c r="A60" t="s">
        <v>77</v>
      </c>
      <c r="B60" s="10" t="s">
        <v>15</v>
      </c>
      <c r="C60" s="28">
        <v>0.4</v>
      </c>
      <c r="D60">
        <v>0.54696341291648753</v>
      </c>
      <c r="E60" s="27" t="s">
        <v>41</v>
      </c>
      <c r="F60" s="27" t="str" cm="1">
        <f t="array" ref="F60">_xlfn.LET(
  _xlpm.tag, UPPER(TRIM(A60)),
  _xlpm.kw, N(C60),
  _xlpm.flc, N(D60),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60" t="str" cm="1">
        <f t="array" ref="G60">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61" spans="1:18">
      <c r="A61" t="s">
        <v>78</v>
      </c>
      <c r="B61" s="10" t="s">
        <v>15</v>
      </c>
      <c r="C61" s="28">
        <v>0.4</v>
      </c>
      <c r="D61">
        <v>0.54696341291648753</v>
      </c>
      <c r="E61" s="27" t="s">
        <v>41</v>
      </c>
      <c r="F61" s="27" t="str" cm="1">
        <f t="array" ref="F61">_xlfn.LET(
  _xlpm.tag, UPPER(TRIM(A61)),
  _xlpm.kw, N(C61),
  _xlpm.flc, N(D61),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61" t="str" cm="1">
        <f t="array" ref="G61">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62" spans="1:18">
      <c r="A62" t="s">
        <v>79</v>
      </c>
      <c r="B62" s="10" t="s">
        <v>15</v>
      </c>
      <c r="C62" s="61">
        <v>0.4</v>
      </c>
      <c r="D62">
        <v>0.54696341291648753</v>
      </c>
      <c r="E62" s="27" t="s">
        <v>41</v>
      </c>
      <c r="F62" s="27" t="str" cm="1">
        <f t="array" ref="F62">_xlfn.LET(
  _xlpm.tag, UPPER(TRIM(A62)),
  _xlpm.kw, N(C62),
  _xlpm.flc, N(D62),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62" t="str" cm="1">
        <f t="array" ref="G62">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R62" s="10"/>
    </row>
    <row r="63" spans="1:18">
      <c r="A63" t="s">
        <v>80</v>
      </c>
      <c r="B63" s="10" t="s">
        <v>15</v>
      </c>
      <c r="C63" s="61">
        <v>0.88</v>
      </c>
      <c r="D63">
        <v>1.2033195084162727</v>
      </c>
      <c r="E63" s="27" t="s">
        <v>20</v>
      </c>
      <c r="F63" s="27" t="str" cm="1">
        <f t="array" ref="F63">_xlfn.LET(
  _xlpm.tag, UPPER(TRIM(A63)),
  _xlpm.kw, N(C63),
  _xlpm.flc, N(D63),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CHECK TAG CODE: VAV</v>
      </c>
      <c r="G63" t="str" cm="1">
        <f t="array" ref="G63">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64" spans="1:18">
      <c r="A64" t="s">
        <v>81</v>
      </c>
      <c r="B64" s="10" t="s">
        <v>15</v>
      </c>
      <c r="C64" s="61">
        <v>1.65</v>
      </c>
      <c r="D64">
        <v>2.256224078280511</v>
      </c>
      <c r="E64" s="27" t="s">
        <v>20</v>
      </c>
      <c r="F64" s="27" t="str" cm="1">
        <f t="array" ref="F64">_xlfn.LET(
  _xlpm.tag, UPPER(TRIM(A64)),
  _xlpm.kw, N(C64),
  _xlpm.flc, N(D64),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CHECK TAG CODE: VAV</v>
      </c>
      <c r="G64" t="str" cm="1">
        <f t="array" ref="G64">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65" spans="1:7">
      <c r="A65" t="s">
        <v>82</v>
      </c>
      <c r="B65" s="10" t="s">
        <v>15</v>
      </c>
      <c r="C65" s="61">
        <v>1.32</v>
      </c>
      <c r="D65">
        <v>1.804979262624409</v>
      </c>
      <c r="E65" s="27" t="s">
        <v>20</v>
      </c>
      <c r="F65" s="27" t="str" cm="1">
        <f t="array" ref="F65">_xlfn.LET(
  _xlpm.tag, UPPER(TRIM(A65)),
  _xlpm.kw, N(C65),
  _xlpm.flc, N(D65),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
  _xlpm.mapType,  {"M";"M";"M";"F";"F";"F";"F";"F";"F"},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CHECK TAG CODE: VAV</v>
      </c>
      <c r="G65" t="str" cm="1">
        <f t="array" ref="G65">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66" spans="1:7">
      <c r="A66" t="s">
        <v>83</v>
      </c>
      <c r="B66" s="10" t="s">
        <v>15</v>
      </c>
      <c r="C66" s="28">
        <v>2.09</v>
      </c>
      <c r="D66">
        <v>2.8578838324886471</v>
      </c>
      <c r="E66" s="27" t="s">
        <v>20</v>
      </c>
      <c r="F66" t="str">
        <f>_xlfn.LET(
  _xlpm.tag, A66,
  _xlpm.p, N(C66),
  _xlpm.i, N(D66),
  _xlpm.st, UPPER(TRIM(E66)),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f>
        <v>400V MCCB Feeder Cubicle (I &lt; 160A, per Dwg LV4)</v>
      </c>
      <c r="G66" t="str" cm="1">
        <f t="array" ref="G66">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67" spans="1:7">
      <c r="A67" t="s">
        <v>84</v>
      </c>
      <c r="B67" s="10" t="s">
        <v>15</v>
      </c>
      <c r="C67" s="28">
        <v>1.87</v>
      </c>
      <c r="D67">
        <v>2.5570539553845792</v>
      </c>
      <c r="E67" s="27" t="s">
        <v>20</v>
      </c>
      <c r="F67" t="str">
        <f t="shared" ref="F67:F85" si="4">_xlfn.LET(
  _xlpm.tag, A67,
  _xlpm.p, N(C67),
  _xlpm.i, N(D67),
  _xlpm.st, UPPER(TRIM(E67)),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f>
        <v>400V MCCB Feeder Cubicle (I &lt; 160A, per Dwg LV4)</v>
      </c>
      <c r="G67" t="str" cm="1">
        <f t="array" ref="G67">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row>
    <row r="68" spans="1:7">
      <c r="A68" t="s">
        <v>85</v>
      </c>
      <c r="B68" s="10" t="s">
        <v>15</v>
      </c>
      <c r="C68" s="28">
        <v>9.68</v>
      </c>
      <c r="D68">
        <v>13.236514592578997</v>
      </c>
      <c r="E68" s="27" t="s">
        <v>20</v>
      </c>
      <c r="F68" t="str">
        <f t="shared" si="4"/>
        <v>400V MCCB Feeder Cubicle (I &lt; 160A, per Dwg LV4)</v>
      </c>
      <c r="G68" t="str" cm="1">
        <f t="array" ref="G68">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row>
    <row r="69" spans="1:7">
      <c r="A69" t="s">
        <v>86</v>
      </c>
      <c r="B69" s="10" t="s">
        <v>15</v>
      </c>
      <c r="C69" s="28">
        <v>3.74</v>
      </c>
      <c r="D69">
        <v>5.1141079107691585</v>
      </c>
      <c r="E69" s="27" t="s">
        <v>20</v>
      </c>
      <c r="F69" t="str">
        <f t="shared" si="4"/>
        <v>400V MCCB Feeder Cubicle (I &lt; 160A, per Dwg LV4)</v>
      </c>
      <c r="G69" t="str" cm="1">
        <f t="array" ref="G69">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row>
    <row r="70" spans="1:7">
      <c r="A70" t="s">
        <v>87</v>
      </c>
      <c r="B70" s="10" t="s">
        <v>15</v>
      </c>
      <c r="C70" s="28">
        <v>3.63</v>
      </c>
      <c r="D70">
        <v>4.9636929722171237</v>
      </c>
      <c r="E70" s="27" t="s">
        <v>20</v>
      </c>
      <c r="F70" t="str">
        <f t="shared" si="4"/>
        <v>400V MCCB Feeder Cubicle (I &lt; 160A, per Dwg LV4)</v>
      </c>
      <c r="G70" t="str" cm="1">
        <f t="array" ref="G70">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row>
    <row r="71" spans="1:7">
      <c r="A71" t="s">
        <v>88</v>
      </c>
      <c r="B71" s="10" t="s">
        <v>15</v>
      </c>
      <c r="C71" s="28">
        <v>2.42</v>
      </c>
      <c r="D71">
        <v>3.3091286481447493</v>
      </c>
      <c r="E71" s="27" t="s">
        <v>20</v>
      </c>
      <c r="F71" t="str">
        <f t="shared" si="4"/>
        <v>400V MCCB Feeder Cubicle (I &lt; 160A, per Dwg LV4)</v>
      </c>
      <c r="G71" t="str" cm="1">
        <f t="array" ref="G71">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row>
    <row r="72" spans="1:7">
      <c r="A72" t="s">
        <v>89</v>
      </c>
      <c r="B72" s="10" t="s">
        <v>15</v>
      </c>
      <c r="C72" s="28">
        <v>11.11</v>
      </c>
      <c r="D72">
        <v>15.191908793755442</v>
      </c>
      <c r="E72" s="27" t="s">
        <v>20</v>
      </c>
      <c r="F72" t="str">
        <f t="shared" si="4"/>
        <v>400V MCCB Feeder Cubicle (I &lt; 160A, per Dwg LV4)</v>
      </c>
      <c r="G72" t="str" cm="1">
        <f t="array" ref="G72">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row>
    <row r="73" spans="1:7">
      <c r="A73" t="s">
        <v>90</v>
      </c>
      <c r="B73" s="10" t="s">
        <v>15</v>
      </c>
      <c r="C73" s="28">
        <v>1.76</v>
      </c>
      <c r="D73">
        <v>2.4066390168325453</v>
      </c>
      <c r="E73" s="27" t="s">
        <v>20</v>
      </c>
      <c r="F73" t="str">
        <f t="shared" si="4"/>
        <v>400V MCCB Feeder Cubicle (I &lt; 160A, per Dwg LV4)</v>
      </c>
      <c r="G73" t="str" cm="1">
        <f t="array" ref="G73">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row>
    <row r="74" spans="1:7">
      <c r="A74" t="s">
        <v>91</v>
      </c>
      <c r="B74" s="10" t="s">
        <v>15</v>
      </c>
      <c r="C74" s="28">
        <v>2.2000000000000002</v>
      </c>
      <c r="D74">
        <v>3.0082987710406814</v>
      </c>
      <c r="E74" s="27" t="s">
        <v>20</v>
      </c>
      <c r="F74" t="str">
        <f t="shared" si="4"/>
        <v>400V MCCB Feeder Cubicle (I &lt; 160A, per Dwg LV4)</v>
      </c>
      <c r="G74" t="str" cm="1">
        <f t="array" ref="G74">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row>
    <row r="75" spans="1:7">
      <c r="A75" t="s">
        <v>92</v>
      </c>
      <c r="B75" s="10" t="s">
        <v>15</v>
      </c>
      <c r="C75" s="28">
        <v>2.42</v>
      </c>
      <c r="D75">
        <v>3.3091286481447493</v>
      </c>
      <c r="E75" s="27" t="s">
        <v>20</v>
      </c>
      <c r="F75" t="str">
        <f t="shared" si="4"/>
        <v>400V MCCB Feeder Cubicle (I &lt; 160A, per Dwg LV4)</v>
      </c>
      <c r="G75" t="str" cm="1">
        <f t="array" ref="G75">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row>
    <row r="76" spans="1:7">
      <c r="A76" t="s">
        <v>93</v>
      </c>
      <c r="B76" s="10" t="s">
        <v>15</v>
      </c>
      <c r="C76" s="28">
        <v>4.18</v>
      </c>
      <c r="D76">
        <v>5.7157676649772942</v>
      </c>
      <c r="E76" s="27" t="s">
        <v>20</v>
      </c>
      <c r="F76" t="str">
        <f t="shared" si="4"/>
        <v>400V MCCB Feeder Cubicle (I &lt; 160A, per Dwg LV4)</v>
      </c>
      <c r="G76" t="str" cm="1">
        <f t="array" ref="G76">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row>
    <row r="77" spans="1:7">
      <c r="A77" t="s">
        <v>94</v>
      </c>
      <c r="B77" s="10" t="s">
        <v>15</v>
      </c>
      <c r="C77" s="28">
        <v>4.51</v>
      </c>
      <c r="D77">
        <v>6.1670124806333968</v>
      </c>
      <c r="E77" s="27" t="s">
        <v>20</v>
      </c>
      <c r="F77" t="str">
        <f t="shared" si="4"/>
        <v>400V MCCB Feeder Cubicle (I &lt; 160A, per Dwg LV4)</v>
      </c>
      <c r="G77" t="str" cm="1">
        <f t="array" ref="G77">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row>
    <row r="78" spans="1:7">
      <c r="A78" t="s">
        <v>95</v>
      </c>
      <c r="B78" s="10" t="s">
        <v>15</v>
      </c>
      <c r="C78" s="28">
        <v>1.1000000000000001</v>
      </c>
      <c r="D78">
        <v>1.5041493855203407</v>
      </c>
      <c r="E78" s="27" t="s">
        <v>20</v>
      </c>
      <c r="F78" t="str">
        <f t="shared" si="4"/>
        <v>400V MCCB Feeder Cubicle (I &lt; 160A, per Dwg LV4)</v>
      </c>
      <c r="G78" t="str" cm="1">
        <f t="array" ref="G78">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row>
    <row r="79" spans="1:7">
      <c r="A79" t="s">
        <v>96</v>
      </c>
      <c r="B79" s="10" t="s">
        <v>15</v>
      </c>
      <c r="C79" s="28">
        <v>1.21</v>
      </c>
      <c r="D79">
        <v>1.6545643240723746</v>
      </c>
      <c r="E79" s="27" t="s">
        <v>20</v>
      </c>
      <c r="F79" t="str">
        <f t="shared" si="4"/>
        <v>400V MCCB Feeder Cubicle (I &lt; 160A, per Dwg LV4)</v>
      </c>
      <c r="G79" t="str" cm="1">
        <f t="array" ref="G79">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row>
    <row r="80" spans="1:7">
      <c r="A80" t="s">
        <v>97</v>
      </c>
      <c r="B80" s="10" t="s">
        <v>15</v>
      </c>
      <c r="C80" s="28">
        <v>0.88</v>
      </c>
      <c r="D80">
        <v>1.2033195084162727</v>
      </c>
      <c r="E80" s="27" t="s">
        <v>20</v>
      </c>
      <c r="F80" t="str">
        <f t="shared" si="4"/>
        <v>400V MCCB Feeder Cubicle (I &lt; 160A, per Dwg LV4)</v>
      </c>
      <c r="G80" t="str" cm="1">
        <f t="array" ref="G80">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row>
    <row r="81" spans="1:18">
      <c r="A81" t="s">
        <v>98</v>
      </c>
      <c r="B81" s="10" t="s">
        <v>15</v>
      </c>
      <c r="C81" s="28">
        <v>1.87</v>
      </c>
      <c r="D81">
        <v>2.5570539553845792</v>
      </c>
      <c r="E81" s="27" t="s">
        <v>20</v>
      </c>
      <c r="F81" t="str">
        <f t="shared" si="4"/>
        <v>400V MCCB Feeder Cubicle (I &lt; 160A, per Dwg LV4)</v>
      </c>
      <c r="G81" t="str" cm="1">
        <f t="array" ref="G81">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row>
    <row r="82" spans="1:18">
      <c r="A82" t="s">
        <v>99</v>
      </c>
      <c r="B82" s="10" t="s">
        <v>15</v>
      </c>
      <c r="C82" s="28">
        <v>10</v>
      </c>
      <c r="D82">
        <v>13.674085322912187</v>
      </c>
      <c r="E82" s="27" t="s">
        <v>20</v>
      </c>
      <c r="F82" t="str">
        <f t="shared" si="4"/>
        <v>400V MCCB Feeder Cubicle (I &lt; 160A, per Dwg LV4)</v>
      </c>
      <c r="G82" t="str" cm="1">
        <f t="array" ref="G82">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row>
    <row r="83" spans="1:18">
      <c r="A83" t="s">
        <v>100</v>
      </c>
      <c r="B83" s="10" t="s">
        <v>15</v>
      </c>
      <c r="C83" s="28">
        <v>0.3</v>
      </c>
      <c r="D83">
        <v>0.71343053858672301</v>
      </c>
      <c r="E83" t="s">
        <v>20</v>
      </c>
      <c r="F83" t="str">
        <f t="shared" si="4"/>
        <v>400V MCCB Feeder Cubicle (I &lt; 160A, per Dwg LV4)</v>
      </c>
      <c r="G83" t="str" cm="1">
        <f t="array" ref="G83">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row>
    <row r="84" spans="1:18">
      <c r="A84" t="s">
        <v>101</v>
      </c>
      <c r="B84" s="10" t="s">
        <v>15</v>
      </c>
      <c r="C84" s="28">
        <v>1</v>
      </c>
      <c r="D84">
        <v>2.3781017952890764</v>
      </c>
      <c r="E84" t="s">
        <v>20</v>
      </c>
      <c r="F84" t="str">
        <f t="shared" si="4"/>
        <v>400V MCCB Feeder Cubicle (I &lt; 160A, per Dwg LV4)</v>
      </c>
      <c r="G84" t="str" cm="1">
        <f t="array" ref="G84">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row>
    <row r="85" spans="1:18">
      <c r="A85" t="s">
        <v>102</v>
      </c>
      <c r="B85" s="10" t="s">
        <v>15</v>
      </c>
      <c r="C85" s="28">
        <v>1</v>
      </c>
      <c r="D85">
        <v>2.3781017952890764</v>
      </c>
      <c r="E85" t="s">
        <v>20</v>
      </c>
      <c r="F85" t="str">
        <f t="shared" si="4"/>
        <v>400V MCCB Feeder Cubicle (I &lt; 160A, per Dwg LV4)</v>
      </c>
      <c r="G85" t="str" cm="1">
        <f t="array" ref="G85">_xlfn.LET(
  _xlpm.c, UPPER(TRIM(_81IK61000189[[#This Row],[Starter Type]])),
  _xlpm.kw, N(_81IK61000189[[#This Row],[RATED POWER]]),
  _xlpm.flc, N(_81IK61000189[[#This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"8E/2",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"8E/2",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8E/2</v>
      </c>
      <c r="I85" s="10" t="s">
        <v>50</v>
      </c>
      <c r="J85" s="10" t="s">
        <v>51</v>
      </c>
      <c r="K85" s="10" t="s">
        <v>52</v>
      </c>
      <c r="L85" s="10" t="s">
        <v>53</v>
      </c>
    </row>
    <row r="86" spans="1:18">
      <c r="I86">
        <f>I87*1000</f>
        <v>3000</v>
      </c>
      <c r="J86">
        <f>800*J87</f>
        <v>800</v>
      </c>
      <c r="K86">
        <f>400*K87</f>
        <v>0</v>
      </c>
      <c r="L86" s="34">
        <f>I86+J86+K86</f>
        <v>3800</v>
      </c>
      <c r="N86">
        <f>L86+(1200)+600</f>
        <v>5600</v>
      </c>
      <c r="O86" s="10" t="s">
        <v>55</v>
      </c>
    </row>
    <row r="87" spans="1:18">
      <c r="I87" cm="1">
        <f t="array" ref="I87">ROUNDUP(
  _xlfn.LET(
    _xlpm.arrange,$I$3,
    _xlpm.capE,IF(_xlpm.arrange="B2B",144,72),
    _xlpm.rng,G41:G85,
    _xlpm.totalE,SUMPRODUCT(
      IFERROR(
        VALUE(_xlfn.TEXTBEFORE(_xlpm.rng,"E")) / IFERROR(VALUE(_xlfn.TEXTAFTER(_xlpm.rng,"/")),1),
        0
      )
    ),
    CEILING((1+$J$4)*_xlpm.totalE/_xlpm.capE,1)
  ),
0)</f>
        <v>3</v>
      </c>
      <c r="J87">
        <v>1</v>
      </c>
      <c r="K87">
        <v>0</v>
      </c>
      <c r="L87" s="34">
        <f>I87+J87+K87</f>
        <v>4</v>
      </c>
    </row>
    <row r="88" spans="1:18">
      <c r="M88" t="s">
        <v>56</v>
      </c>
    </row>
    <row r="94" spans="1:18" ht="22.8">
      <c r="A94" s="56" t="s">
        <v>103</v>
      </c>
    </row>
    <row r="95" spans="1:18">
      <c r="A95" s="49"/>
    </row>
    <row r="96" spans="1:18">
      <c r="A96" s="23" t="s">
        <v>4</v>
      </c>
      <c r="B96" s="24" t="s">
        <v>5</v>
      </c>
      <c r="C96" s="24" t="s">
        <v>6</v>
      </c>
      <c r="D96" s="24" t="s">
        <v>7</v>
      </c>
      <c r="E96" s="24" t="s">
        <v>8</v>
      </c>
      <c r="F96" s="24" t="s">
        <v>9</v>
      </c>
      <c r="G96" s="25" t="s">
        <v>10</v>
      </c>
      <c r="H96" s="24" t="s">
        <v>11</v>
      </c>
      <c r="I96" s="10"/>
      <c r="Q96" s="10" t="s">
        <v>12</v>
      </c>
      <c r="R96" s="10" t="s">
        <v>13</v>
      </c>
    </row>
    <row r="97" spans="1:18">
      <c r="A97" t="s">
        <v>104</v>
      </c>
      <c r="B97" s="10" t="s">
        <v>15</v>
      </c>
      <c r="C97" s="28">
        <v>154.6</v>
      </c>
      <c r="D97">
        <v>244.91620870440406</v>
      </c>
      <c r="E97" s="27" t="str" cm="1">
        <f t="array" ref="E97">_xlfn.LET(
  _xlpm.tag, UPPER(TRIM(A97)),
  _xlpm.kw, N(C97),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97" s="27" t="str" cm="1">
        <f t="array" ref="F97">_xlfn.LET(
  _xlpm.tag, UPPER(TRIM(A97)),
  _xlpm.kw, N(C97),
  _xlpm.flc, N(D97),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97" s="27" t="str" cm="1">
        <f t="array" ref="G97">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I97" s="10"/>
      <c r="N97" s="29" t="s">
        <v>16</v>
      </c>
      <c r="O97" s="29" t="s">
        <v>17</v>
      </c>
      <c r="P97" s="29" t="s">
        <v>18</v>
      </c>
      <c r="Q97">
        <f t="shared" ref="Q97:Q113" si="5">COUNTIFS($E$4:$E$18,N97,$F$4:$F$18,O97,$G$4:$G$18,P97)</f>
        <v>0</v>
      </c>
      <c r="R97">
        <f>ROUNDUP(Q97*0.2,0)</f>
        <v>0</v>
      </c>
    </row>
    <row r="98" spans="1:18">
      <c r="A98" t="s">
        <v>105</v>
      </c>
      <c r="B98" s="10" t="s">
        <v>15</v>
      </c>
      <c r="C98" s="28">
        <v>154.6</v>
      </c>
      <c r="D98">
        <v>244.91620870440406</v>
      </c>
      <c r="E98" s="27" t="str" cm="1">
        <f t="array" ref="E98">_xlfn.LET(
  _xlpm.tag, UPPER(TRIM(A98)),
  _xlpm.kw, N(C98),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98" s="27" t="str" cm="1">
        <f t="array" ref="F98">_xlfn.LET(
  _xlpm.tag, UPPER(TRIM(A98)),
  _xlpm.kw, N(C98),
  _xlpm.flc, N(D98),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98" s="27" t="str" cm="1">
        <f t="array" ref="G98">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N98" s="33" t="s">
        <v>20</v>
      </c>
      <c r="O98" s="33" t="s">
        <v>21</v>
      </c>
      <c r="P98" s="33" t="s">
        <v>22</v>
      </c>
      <c r="Q98">
        <f t="shared" si="5"/>
        <v>2</v>
      </c>
      <c r="R98" s="34">
        <f t="shared" ref="R98:R113" si="6">ROUNDUP(Q98*0.2,0)</f>
        <v>1</v>
      </c>
    </row>
    <row r="99" spans="1:18">
      <c r="A99" t="s">
        <v>106</v>
      </c>
      <c r="B99" s="10" t="s">
        <v>15</v>
      </c>
      <c r="C99" s="28">
        <v>56.7</v>
      </c>
      <c r="D99">
        <v>89.823732429105505</v>
      </c>
      <c r="E99" s="27" t="str" cm="1">
        <f t="array" ref="E99">_xlfn.LET(
  _xlpm.tag, UPPER(TRIM(A99)),
  _xlpm.kw, N(C99),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99" s="27" t="str" cm="1">
        <f t="array" ref="F99">_xlfn.LET(
  _xlpm.tag, UPPER(TRIM(A99)),
  _xlpm.kw, N(C99),
  _xlpm.flc, N(D99),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99" s="27" t="str" cm="1">
        <f t="array" ref="G99">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N99" s="29" t="s">
        <v>24</v>
      </c>
      <c r="O99" s="29" t="s">
        <v>25</v>
      </c>
      <c r="P99" s="29" t="s">
        <v>22</v>
      </c>
      <c r="Q99">
        <f t="shared" si="5"/>
        <v>0</v>
      </c>
      <c r="R99">
        <f t="shared" si="6"/>
        <v>0</v>
      </c>
    </row>
    <row r="100" spans="1:18">
      <c r="A100" t="s">
        <v>107</v>
      </c>
      <c r="B100" s="10" t="s">
        <v>15</v>
      </c>
      <c r="C100" s="28">
        <v>56.7</v>
      </c>
      <c r="D100">
        <v>89.823732429105505</v>
      </c>
      <c r="E100" s="27" t="str" cm="1">
        <f t="array" ref="E100">_xlfn.LET(
  _xlpm.tag, UPPER(TRIM(A100)),
  _xlpm.kw, N(C100),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100" s="27" t="str" cm="1">
        <f t="array" ref="F100">_xlfn.LET(
  _xlpm.tag, UPPER(TRIM(A100)),
  _xlpm.kw, N(C100),
  _xlpm.flc, N(D100),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00" s="27" t="str" cm="1">
        <f t="array" ref="G100">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N100" s="29" t="s">
        <v>24</v>
      </c>
      <c r="O100" s="29" t="s">
        <v>25</v>
      </c>
      <c r="P100" s="29" t="s">
        <v>27</v>
      </c>
      <c r="Q100">
        <f t="shared" si="5"/>
        <v>0</v>
      </c>
      <c r="R100">
        <f t="shared" si="6"/>
        <v>0</v>
      </c>
    </row>
    <row r="101" spans="1:18">
      <c r="A101" t="s">
        <v>108</v>
      </c>
      <c r="B101" s="10" t="s">
        <v>15</v>
      </c>
      <c r="C101" s="28">
        <v>211.2</v>
      </c>
      <c r="D101">
        <v>334.58152185232944</v>
      </c>
      <c r="E101" s="27" t="str" cm="1">
        <f t="array" ref="E101">_xlfn.LET(
  _xlpm.tag, UPPER(TRIM(A101)),
  _xlpm.kw, N(C101),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01" s="27" t="str" cm="1">
        <f t="array" ref="F101">_xlfn.LET(
  _xlpm.tag, UPPER(TRIM(A101)),
  _xlpm.kw, N(C101),
  _xlpm.flc, N(D101),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&gt; 160A, per Dwg LV3)</v>
      </c>
      <c r="G101" s="27" t="str" cm="1">
        <f t="array" ref="G101">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N101" s="29" t="s">
        <v>29</v>
      </c>
      <c r="O101" s="29" t="s">
        <v>17</v>
      </c>
      <c r="P101" s="29" t="s">
        <v>18</v>
      </c>
      <c r="Q101">
        <f t="shared" si="5"/>
        <v>0</v>
      </c>
      <c r="R101">
        <f t="shared" si="6"/>
        <v>0</v>
      </c>
    </row>
    <row r="102" spans="1:18">
      <c r="A102" t="s">
        <v>109</v>
      </c>
      <c r="B102" s="10" t="s">
        <v>15</v>
      </c>
      <c r="C102" s="28">
        <v>211.2</v>
      </c>
      <c r="D102">
        <v>334.58152185232944</v>
      </c>
      <c r="E102" s="27" t="str" cm="1">
        <f t="array" ref="E102">_xlfn.LET(
  _xlpm.tag, UPPER(TRIM(A102)),
  _xlpm.kw, N(C102),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02" s="27" t="str" cm="1">
        <f t="array" ref="F102">_xlfn.LET(
  _xlpm.tag, UPPER(TRIM(A102)),
  _xlpm.kw, N(C102),
  _xlpm.flc, N(D102),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&gt; 160A, per Dwg LV3)</v>
      </c>
      <c r="G102" s="27" t="str" cm="1">
        <f t="array" ref="G102">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N102" s="29" t="s">
        <v>20</v>
      </c>
      <c r="O102" s="29" t="s">
        <v>31</v>
      </c>
      <c r="P102" s="29" t="s">
        <v>32</v>
      </c>
      <c r="Q102">
        <f t="shared" si="5"/>
        <v>0</v>
      </c>
      <c r="R102">
        <f t="shared" si="6"/>
        <v>0</v>
      </c>
    </row>
    <row r="103" spans="1:18">
      <c r="A103" t="s">
        <v>110</v>
      </c>
      <c r="B103" s="10" t="s">
        <v>15</v>
      </c>
      <c r="C103" s="28">
        <v>82.72</v>
      </c>
      <c r="D103">
        <v>131.04442939216239</v>
      </c>
      <c r="E103" s="27" t="str" cm="1">
        <f t="array" ref="E103">_xlfn.LET(
  _xlpm.tag, UPPER(TRIM(A103)),
  _xlpm.kw, N(C103),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03" s="27" t="str" cm="1">
        <f t="array" ref="F103">_xlfn.LET(
  _xlpm.tag, UPPER(TRIM(A103)),
  _xlpm.kw, N(C103),
  _xlpm.flc, N(D103),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03" s="27" t="str" cm="1">
        <f t="array" ref="G103">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16E</v>
      </c>
      <c r="N103" s="29" t="s">
        <v>20</v>
      </c>
      <c r="O103" s="29" t="s">
        <v>21</v>
      </c>
      <c r="P103" s="29" t="s">
        <v>32</v>
      </c>
      <c r="Q103">
        <f t="shared" si="5"/>
        <v>1</v>
      </c>
      <c r="R103">
        <f t="shared" si="6"/>
        <v>1</v>
      </c>
    </row>
    <row r="104" spans="1:18">
      <c r="A104" t="s">
        <v>111</v>
      </c>
      <c r="B104" s="10" t="s">
        <v>15</v>
      </c>
      <c r="C104" s="28">
        <v>82.72</v>
      </c>
      <c r="D104">
        <v>131.04442939216239</v>
      </c>
      <c r="E104" s="27" t="str" cm="1">
        <f t="array" ref="E104">_xlfn.LET(
  _xlpm.tag, UPPER(TRIM(A104)),
  _xlpm.kw, N(C104),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04" s="27" t="str" cm="1">
        <f t="array" ref="F104">_xlfn.LET(
  _xlpm.tag, UPPER(TRIM(A104)),
  _xlpm.kw, N(C104),
  _xlpm.flc, N(D104),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04" s="27" t="str" cm="1">
        <f t="array" ref="G104">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16E</v>
      </c>
      <c r="N104" s="33" t="s">
        <v>20</v>
      </c>
      <c r="O104" s="33" t="s">
        <v>21</v>
      </c>
      <c r="P104" s="33" t="s">
        <v>27</v>
      </c>
      <c r="Q104">
        <f t="shared" si="5"/>
        <v>0</v>
      </c>
      <c r="R104" s="34">
        <f t="shared" si="6"/>
        <v>0</v>
      </c>
    </row>
    <row r="105" spans="1:18">
      <c r="A105" t="s">
        <v>112</v>
      </c>
      <c r="B105" s="10" t="s">
        <v>15</v>
      </c>
      <c r="C105" s="28">
        <v>11.46</v>
      </c>
      <c r="D105">
        <v>18.154849623237201</v>
      </c>
      <c r="E105" s="27" t="str" cm="1">
        <f t="array" ref="E105">_xlfn.LET(
  _xlpm.tag, UPPER(TRIM(A105)),
  _xlpm.kw, N(C105),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05" s="27" t="str" cm="1">
        <f t="array" ref="F105">_xlfn.LET(
  _xlpm.tag, UPPER(TRIM(A105)),
  _xlpm.kw, N(C105),
  _xlpm.flc, N(D105),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05" s="27" t="str" cm="1">
        <f t="array" ref="G105">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05" s="29" t="s">
        <v>36</v>
      </c>
      <c r="O105" s="29" t="s">
        <v>37</v>
      </c>
      <c r="P105" s="29" t="s">
        <v>32</v>
      </c>
      <c r="Q105">
        <f t="shared" si="5"/>
        <v>0</v>
      </c>
      <c r="R105">
        <f t="shared" si="6"/>
        <v>0</v>
      </c>
    </row>
    <row r="106" spans="1:18">
      <c r="A106" t="s">
        <v>113</v>
      </c>
      <c r="B106" s="10" t="s">
        <v>15</v>
      </c>
      <c r="C106" s="28">
        <v>11.46</v>
      </c>
      <c r="D106">
        <v>18.154849623237201</v>
      </c>
      <c r="E106" s="27" t="str" cm="1">
        <f t="array" ref="E106">_xlfn.LET(
  _xlpm.tag, UPPER(TRIM(A106)),
  _xlpm.kw, N(C106),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06" s="27" t="str" cm="1">
        <f t="array" ref="F106">_xlfn.LET(
  _xlpm.tag, UPPER(TRIM(A106)),
  _xlpm.kw, N(C106),
  _xlpm.flc, N(D106),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06" s="27" t="str" cm="1">
        <f t="array" ref="G106">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06" s="29" t="s">
        <v>16</v>
      </c>
      <c r="O106" s="29" t="s">
        <v>17</v>
      </c>
      <c r="P106" s="29" t="s">
        <v>39</v>
      </c>
      <c r="Q106">
        <f t="shared" si="5"/>
        <v>0</v>
      </c>
      <c r="R106">
        <f t="shared" si="6"/>
        <v>0</v>
      </c>
    </row>
    <row r="107" spans="1:18">
      <c r="A107" t="s">
        <v>114</v>
      </c>
      <c r="B107" s="10" t="s">
        <v>15</v>
      </c>
      <c r="C107" s="28">
        <v>4.49</v>
      </c>
      <c r="D107">
        <v>7.1130257249856044</v>
      </c>
      <c r="E107" s="27" t="str" cm="1">
        <f t="array" ref="E107">_xlfn.LET(
  _xlpm.tag, UPPER(TRIM(A107)),
  _xlpm.kw, N(C107),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07" s="27" t="str" cm="1">
        <f t="array" ref="F107">_xlfn.LET(
  _xlpm.tag, UPPER(TRIM(A107)),
  _xlpm.kw, N(C107),
  _xlpm.flc, N(D107),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07" s="27" t="str" cm="1">
        <f t="array" ref="G107">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07" s="33" t="s">
        <v>41</v>
      </c>
      <c r="O107" s="33" t="s">
        <v>17</v>
      </c>
      <c r="P107" s="33" t="s">
        <v>32</v>
      </c>
      <c r="Q107">
        <f t="shared" si="5"/>
        <v>0</v>
      </c>
      <c r="R107" s="34">
        <f t="shared" si="6"/>
        <v>0</v>
      </c>
    </row>
    <row r="108" spans="1:18">
      <c r="A108" t="s">
        <v>115</v>
      </c>
      <c r="B108" s="10" t="s">
        <v>15</v>
      </c>
      <c r="C108" s="28">
        <v>4.49</v>
      </c>
      <c r="D108">
        <v>7.1130257249856044</v>
      </c>
      <c r="E108" s="27" t="str" cm="1">
        <f t="array" ref="E108">_xlfn.LET(
  _xlpm.tag, UPPER(TRIM(A108)),
  _xlpm.kw, N(C108),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08" s="27" t="str" cm="1">
        <f t="array" ref="F108">_xlfn.LET(
  _xlpm.tag, UPPER(TRIM(A108)),
  _xlpm.kw, N(C108),
  _xlpm.flc, N(D108),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08" s="27" t="str" cm="1">
        <f t="array" ref="G108">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08" s="29" t="s">
        <v>43</v>
      </c>
      <c r="O108" s="29" t="s">
        <v>44</v>
      </c>
      <c r="P108" s="29" t="s">
        <v>22</v>
      </c>
      <c r="Q108">
        <f t="shared" si="5"/>
        <v>0</v>
      </c>
      <c r="R108">
        <f t="shared" si="6"/>
        <v>0</v>
      </c>
    </row>
    <row r="109" spans="1:18">
      <c r="A109" t="s">
        <v>116</v>
      </c>
      <c r="B109" s="10" t="s">
        <v>15</v>
      </c>
      <c r="C109" s="28">
        <v>2.7</v>
      </c>
      <c r="D109">
        <v>4.2773205918621668</v>
      </c>
      <c r="E109" s="27" t="str" cm="1">
        <f t="array" ref="E109">_xlfn.LET(
  _xlpm.tag, UPPER(TRIM(A109)),
  _xlpm.kw, N(C109),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09" s="27" t="str" cm="1">
        <f t="array" ref="F109">_xlfn.LET(
  _xlpm.tag, UPPER(TRIM(A109)),
  _xlpm.kw, N(C109),
  _xlpm.flc, N(D109),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09" s="27" t="str" cm="1">
        <f t="array" ref="G109">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09" s="29" t="s">
        <v>36</v>
      </c>
      <c r="O109" s="29" t="s">
        <v>37</v>
      </c>
      <c r="P109" s="29" t="s">
        <v>27</v>
      </c>
      <c r="Q109">
        <f t="shared" si="5"/>
        <v>0</v>
      </c>
      <c r="R109">
        <f t="shared" si="6"/>
        <v>0</v>
      </c>
    </row>
    <row r="110" spans="1:18">
      <c r="A110" t="s">
        <v>117</v>
      </c>
      <c r="B110" s="10" t="s">
        <v>15</v>
      </c>
      <c r="C110" s="28">
        <v>0.4</v>
      </c>
      <c r="D110">
        <v>0.63367712472032112</v>
      </c>
      <c r="E110" s="27" t="str" cm="1">
        <f t="array" ref="E110">_xlfn.LET(
  _xlpm.tag, UPPER(TRIM(A110)),
  _xlpm.kw, N(C110),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10" s="27" t="str" cm="1">
        <f t="array" ref="F110">_xlfn.LET(
  _xlpm.tag, UPPER(TRIM(A110)),
  _xlpm.kw, N(C110),
  _xlpm.flc, N(D110),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10" s="27" t="str" cm="1">
        <f t="array" ref="G110">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10" t="s">
        <v>36</v>
      </c>
      <c r="O110" t="s">
        <v>37</v>
      </c>
      <c r="P110" t="s">
        <v>18</v>
      </c>
      <c r="Q110">
        <f t="shared" si="5"/>
        <v>0</v>
      </c>
      <c r="R110">
        <f t="shared" si="6"/>
        <v>0</v>
      </c>
    </row>
    <row r="111" spans="1:18">
      <c r="A111" t="s">
        <v>118</v>
      </c>
      <c r="B111" s="10" t="s">
        <v>15</v>
      </c>
      <c r="C111" s="28">
        <v>0.4</v>
      </c>
      <c r="D111">
        <v>0.63367712472032112</v>
      </c>
      <c r="E111" s="27" t="str" cm="1">
        <f t="array" ref="E111">_xlfn.LET(
  _xlpm.tag, UPPER(TRIM(A111)),
  _xlpm.kw, N(C111),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11" s="27" t="str" cm="1">
        <f t="array" ref="F111">_xlfn.LET(
  _xlpm.tag, UPPER(TRIM(A111)),
  _xlpm.kw, N(C111),
  _xlpm.flc, N(D111),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11" s="27" t="str" cm="1">
        <f t="array" ref="G111">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11" t="s">
        <v>20</v>
      </c>
      <c r="O111" t="s">
        <v>31</v>
      </c>
      <c r="P111" t="s">
        <v>22</v>
      </c>
      <c r="Q111">
        <f t="shared" si="5"/>
        <v>0</v>
      </c>
      <c r="R111">
        <f t="shared" si="6"/>
        <v>0</v>
      </c>
    </row>
    <row r="112" spans="1:18">
      <c r="A112" t="s">
        <v>119</v>
      </c>
      <c r="B112" s="10" t="s">
        <v>15</v>
      </c>
      <c r="C112" s="28">
        <v>0.7</v>
      </c>
      <c r="D112">
        <v>1.1089349682605618</v>
      </c>
      <c r="E112" s="27" t="str" cm="1">
        <f t="array" ref="E112">_xlfn.LET(
  _xlpm.tag, UPPER(TRIM(A112)),
  _xlpm.kw, N(C112),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12" s="27" t="str" cm="1">
        <f t="array" ref="F112">_xlfn.LET(
  _xlpm.tag, UPPER(TRIM(A112)),
  _xlpm.kw, N(C112),
  _xlpm.flc, N(D112),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12" s="27" t="str" cm="1">
        <f t="array" ref="G112">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12" t="s">
        <v>29</v>
      </c>
      <c r="O112" t="s">
        <v>17</v>
      </c>
      <c r="P112" t="s">
        <v>22</v>
      </c>
      <c r="Q112">
        <f t="shared" si="5"/>
        <v>0</v>
      </c>
      <c r="R112">
        <f t="shared" si="6"/>
        <v>0</v>
      </c>
    </row>
    <row r="113" spans="1:18">
      <c r="A113" t="s">
        <v>120</v>
      </c>
      <c r="B113" s="10" t="s">
        <v>15</v>
      </c>
      <c r="C113" s="28">
        <v>0.7</v>
      </c>
      <c r="D113">
        <v>1.1089349682605618</v>
      </c>
      <c r="E113" s="27" t="str" cm="1">
        <f t="array" ref="E113">_xlfn.LET(
  _xlpm.tag, UPPER(TRIM(A113)),
  _xlpm.kw, N(C113),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13" s="27" t="str" cm="1">
        <f t="array" ref="F113">_xlfn.LET(
  _xlpm.tag, UPPER(TRIM(A113)),
  _xlpm.kw, N(C113),
  _xlpm.flc, N(D113),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13" s="27" t="str" cm="1">
        <f t="array" ref="G113">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13" t="s">
        <v>36</v>
      </c>
      <c r="O113" t="s">
        <v>37</v>
      </c>
      <c r="P113" t="s">
        <v>22</v>
      </c>
      <c r="Q113">
        <f t="shared" si="5"/>
        <v>0</v>
      </c>
      <c r="R113">
        <f t="shared" si="6"/>
        <v>0</v>
      </c>
    </row>
    <row r="114" spans="1:18">
      <c r="A114" t="s">
        <v>121</v>
      </c>
      <c r="B114" s="10" t="s">
        <v>15</v>
      </c>
      <c r="C114" s="28">
        <v>0.4</v>
      </c>
      <c r="D114">
        <v>1.1020471734266455</v>
      </c>
      <c r="E114" s="27" t="str" cm="1">
        <f t="array" ref="E114">_xlfn.LET(
  _xlpm.tag, UPPER(TRIM(A114)),
  _xlpm.kw, N(C114),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14" s="27" t="str" cm="1">
        <f t="array" ref="F114">_xlfn.LET(
  _xlpm.tag, UPPER(TRIM(A114)),
  _xlpm.kw, N(C114),
  _xlpm.flc, N(D114),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14" s="27" t="str" cm="1">
        <f t="array" ref="G114">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15" spans="1:18">
      <c r="A115" t="s">
        <v>122</v>
      </c>
      <c r="B115" s="10" t="s">
        <v>15</v>
      </c>
      <c r="C115" s="28">
        <v>1.9</v>
      </c>
      <c r="D115">
        <v>3.0099663424215248</v>
      </c>
      <c r="E115" s="27" t="str" cm="1">
        <f t="array" ref="E115">_xlfn.LET(
  _xlpm.tag, UPPER(TRIM(A115)),
  _xlpm.kw, N(C115),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15" s="27" t="str" cm="1">
        <f t="array" ref="F115">_xlfn.LET(
  _xlpm.tag, UPPER(TRIM(A115)),
  _xlpm.kw, N(C115),
  _xlpm.flc, N(D115),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15" s="27" t="str" cm="1">
        <f t="array" ref="G115">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16" spans="1:18">
      <c r="A116" t="s">
        <v>123</v>
      </c>
      <c r="B116" s="10" t="s">
        <v>15</v>
      </c>
      <c r="C116" s="28">
        <v>1.9</v>
      </c>
      <c r="D116">
        <v>3.0099663424215248</v>
      </c>
      <c r="E116" s="27" t="str" cm="1">
        <f t="array" ref="E116">_xlfn.LET(
  _xlpm.tag, UPPER(TRIM(A116)),
  _xlpm.kw, N(C116),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16" s="27" t="str" cm="1">
        <f t="array" ref="F116">_xlfn.LET(
  _xlpm.tag, UPPER(TRIM(A116)),
  _xlpm.kw, N(C116),
  _xlpm.flc, N(D116),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16" s="27" t="str" cm="1">
        <f t="array" ref="G116">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17" spans="1:18">
      <c r="A117" t="s">
        <v>124</v>
      </c>
      <c r="B117" s="10" t="s">
        <v>15</v>
      </c>
      <c r="C117" s="28">
        <v>0.4</v>
      </c>
      <c r="D117">
        <v>0.63367712472032112</v>
      </c>
      <c r="E117" s="27" t="str" cm="1">
        <f t="array" ref="E117">_xlfn.LET(
  _xlpm.tag, UPPER(TRIM(A117)),
  _xlpm.kw, N(C117),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17" s="27" t="str" cm="1">
        <f t="array" ref="F117">_xlfn.LET(
  _xlpm.tag, UPPER(TRIM(A117)),
  _xlpm.kw, N(C117),
  _xlpm.flc, N(D117),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17" s="27" t="str" cm="1">
        <f t="array" ref="G117">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18" spans="1:18">
      <c r="A118" t="s">
        <v>125</v>
      </c>
      <c r="B118" s="10" t="s">
        <v>15</v>
      </c>
      <c r="C118" s="28">
        <v>0.4</v>
      </c>
      <c r="D118">
        <v>0.63367712472032112</v>
      </c>
      <c r="E118" s="27" t="str" cm="1">
        <f t="array" ref="E118">_xlfn.LET(
  _xlpm.tag, UPPER(TRIM(A118)),
  _xlpm.kw, N(C118),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18" s="27" t="str" cm="1">
        <f t="array" ref="F118">_xlfn.LET(
  _xlpm.tag, UPPER(TRIM(A118)),
  _xlpm.kw, N(C118),
  _xlpm.flc, N(D118),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18" s="27" t="str" cm="1">
        <f t="array" ref="G118">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R118" s="10"/>
    </row>
    <row r="119" spans="1:18">
      <c r="A119" t="s">
        <v>126</v>
      </c>
      <c r="B119" s="10" t="s">
        <v>15</v>
      </c>
      <c r="C119" s="28">
        <v>1.54</v>
      </c>
      <c r="D119">
        <v>2.439656930173236</v>
      </c>
      <c r="E119" s="27" t="str" cm="1">
        <f t="array" ref="E119">_xlfn.LET(
  _xlpm.tag, UPPER(TRIM(A119)),
  _xlpm.kw, N(C119),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19" s="27" t="str" cm="1">
        <f t="array" ref="F119">_xlfn.LET(
  _xlpm.tag, UPPER(TRIM(A119)),
  _xlpm.kw, N(C119),
  _xlpm.flc, N(D119),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19" s="27" t="str" cm="1">
        <f t="array" ref="G119">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20" spans="1:18">
      <c r="A120" t="s">
        <v>127</v>
      </c>
      <c r="B120" s="10" t="s">
        <v>15</v>
      </c>
      <c r="C120" s="28">
        <v>3.19</v>
      </c>
      <c r="D120">
        <v>5.0535750696445598</v>
      </c>
      <c r="E120" s="27" t="str" cm="1">
        <f t="array" ref="E120">_xlfn.LET(
  _xlpm.tag, UPPER(TRIM(A120)),
  _xlpm.kw, N(C120),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20" s="27" t="str" cm="1">
        <f t="array" ref="F120">_xlfn.LET(
  _xlpm.tag, UPPER(TRIM(A120)),
  _xlpm.kw, N(C120),
  _xlpm.flc, N(D120),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20" s="27" t="str" cm="1">
        <f t="array" ref="G120">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21" spans="1:18">
      <c r="A121" t="s">
        <v>128</v>
      </c>
      <c r="B121" s="10" t="s">
        <v>15</v>
      </c>
      <c r="C121" s="28">
        <v>6.16</v>
      </c>
      <c r="D121">
        <v>9.7586277206929442</v>
      </c>
      <c r="E121" s="27" t="str" cm="1">
        <f t="array" ref="E121">_xlfn.LET(
  _xlpm.tag, UPPER(TRIM(A121)),
  _xlpm.kw, N(C121),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21" s="27" t="str" cm="1">
        <f t="array" ref="F121">_xlfn.LET(
  _xlpm.tag, UPPER(TRIM(A121)),
  _xlpm.kw, N(C121),
  _xlpm.flc, N(D121),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21" s="27" t="str" cm="1">
        <f t="array" ref="G121">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22" spans="1:18">
      <c r="A122" t="s">
        <v>129</v>
      </c>
      <c r="B122" s="10" t="s">
        <v>15</v>
      </c>
      <c r="C122" s="28">
        <v>1.87</v>
      </c>
      <c r="D122">
        <v>2.9624405580675006</v>
      </c>
      <c r="E122" s="27" t="str" cm="1">
        <f t="array" ref="E122">_xlfn.LET(
  _xlpm.tag, UPPER(TRIM(A122)),
  _xlpm.kw, N(C122),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22" s="27" t="str" cm="1">
        <f t="array" ref="F122">_xlfn.LET(
  _xlpm.tag, UPPER(TRIM(A122)),
  _xlpm.kw, N(C122),
  _xlpm.flc, N(D122),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22" s="27" t="str" cm="1">
        <f t="array" ref="G122">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23" spans="1:18">
      <c r="A123" t="s">
        <v>130</v>
      </c>
      <c r="B123" s="10" t="s">
        <v>15</v>
      </c>
      <c r="C123" s="28">
        <v>2.5299999999999998</v>
      </c>
      <c r="D123">
        <v>4.0080078138560298</v>
      </c>
      <c r="E123" s="27" t="str" cm="1">
        <f t="array" ref="E123">_xlfn.LET(
  _xlpm.tag, UPPER(TRIM(A123)),
  _xlpm.kw, N(C123),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23" s="27" t="str" cm="1">
        <f t="array" ref="F123">_xlfn.LET(
  _xlpm.tag, UPPER(TRIM(A123)),
  _xlpm.kw, N(C123),
  _xlpm.flc, N(D123),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23" s="27" t="str" cm="1">
        <f t="array" ref="G123">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24" spans="1:18">
      <c r="A124" t="s">
        <v>131</v>
      </c>
      <c r="B124" s="10" t="s">
        <v>15</v>
      </c>
      <c r="C124" s="28">
        <v>2.9700000000000006</v>
      </c>
      <c r="D124">
        <v>4.7050526510483843</v>
      </c>
      <c r="E124" s="27" t="str" cm="1">
        <f t="array" ref="E124">_xlfn.LET(
  _xlpm.tag, UPPER(TRIM(A124)),
  _xlpm.kw, N(C124),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24" s="27" t="str" cm="1">
        <f t="array" ref="F124">_xlfn.LET(
  _xlpm.tag, UPPER(TRIM(A124)),
  _xlpm.kw, N(C124),
  _xlpm.flc, N(D124),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24" s="27" t="str" cm="1">
        <f t="array" ref="G124">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25" spans="1:18">
      <c r="A125" t="s">
        <v>132</v>
      </c>
      <c r="B125" s="10" t="s">
        <v>15</v>
      </c>
      <c r="C125" s="28">
        <v>3.3000000000000003</v>
      </c>
      <c r="D125">
        <v>5.2278362789426485</v>
      </c>
      <c r="E125" s="27" t="str" cm="1">
        <f t="array" ref="E125">_xlfn.LET(
  _xlpm.tag, UPPER(TRIM(A125)),
  _xlpm.kw, N(C125),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25" s="27" t="str" cm="1">
        <f t="array" ref="F125">_xlfn.LET(
  _xlpm.tag, UPPER(TRIM(A125)),
  _xlpm.kw, N(C125),
  _xlpm.flc, N(D125),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25" s="27" t="str" cm="1">
        <f t="array" ref="G125">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26" spans="1:18">
      <c r="A126" t="s">
        <v>133</v>
      </c>
      <c r="B126" s="10" t="s">
        <v>15</v>
      </c>
      <c r="C126" s="28">
        <v>1.87</v>
      </c>
      <c r="D126">
        <v>2.9624405580675006</v>
      </c>
      <c r="E126" s="27" t="str" cm="1">
        <f t="array" ref="E126">_xlfn.LET(
  _xlpm.tag, UPPER(TRIM(A126)),
  _xlpm.kw, N(C126),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26" s="27" t="str" cm="1">
        <f t="array" ref="F126">_xlfn.LET(
  _xlpm.tag, UPPER(TRIM(A126)),
  _xlpm.kw, N(C126),
  _xlpm.flc, N(D126),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26" s="27" t="str" cm="1">
        <f t="array" ref="G126">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27" spans="1:18">
      <c r="A127" t="s">
        <v>134</v>
      </c>
      <c r="B127" s="10" t="s">
        <v>15</v>
      </c>
      <c r="C127" s="28">
        <v>1.87</v>
      </c>
      <c r="D127">
        <v>2.9624405580675006</v>
      </c>
      <c r="E127" s="27" t="str" cm="1">
        <f t="array" ref="E127">_xlfn.LET(
  _xlpm.tag, UPPER(TRIM(A127)),
  _xlpm.kw, N(C127),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27" s="27" t="str" cm="1">
        <f t="array" ref="F127">_xlfn.LET(
  _xlpm.tag, UPPER(TRIM(A127)),
  _xlpm.kw, N(C127),
  _xlpm.flc, N(D127),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27" s="27" t="str" cm="1">
        <f t="array" ref="G127">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28" spans="1:18">
      <c r="A128" t="s">
        <v>135</v>
      </c>
      <c r="B128" s="10" t="s">
        <v>15</v>
      </c>
      <c r="C128" s="28">
        <v>4.07</v>
      </c>
      <c r="D128">
        <v>6.4476647440292663</v>
      </c>
      <c r="E128" s="27" t="str" cm="1">
        <f t="array" ref="E128">_xlfn.LET(
  _xlpm.tag, UPPER(TRIM(A128)),
  _xlpm.kw, N(C128),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28" s="27" t="str" cm="1">
        <f t="array" ref="F128">_xlfn.LET(
  _xlpm.tag, UPPER(TRIM(A128)),
  _xlpm.kw, N(C128),
  _xlpm.flc, N(D128),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28" s="27" t="str" cm="1">
        <f t="array" ref="G128">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29" spans="1:15">
      <c r="A129" t="s">
        <v>136</v>
      </c>
      <c r="B129" s="10" t="s">
        <v>15</v>
      </c>
      <c r="C129" s="28">
        <v>1.1000000000000001</v>
      </c>
      <c r="D129">
        <v>1.742612092980883</v>
      </c>
      <c r="E129" s="27" t="str" cm="1">
        <f t="array" ref="E129">_xlfn.LET(
  _xlpm.tag, UPPER(TRIM(A129)),
  _xlpm.kw, N(C129),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29" s="27" t="str" cm="1">
        <f t="array" ref="F129">_xlfn.LET(
  _xlpm.tag, UPPER(TRIM(A129)),
  _xlpm.kw, N(C129),
  _xlpm.flc, N(D129),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29" s="27" t="str" cm="1">
        <f t="array" ref="G129">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30" spans="1:15">
      <c r="A130" t="s">
        <v>137</v>
      </c>
      <c r="B130" s="10" t="s">
        <v>15</v>
      </c>
      <c r="C130" s="28">
        <v>1.2100000000000002</v>
      </c>
      <c r="D130">
        <v>1.9168733022789715</v>
      </c>
      <c r="E130" s="27" t="str" cm="1">
        <f t="array" ref="E130">_xlfn.LET(
  _xlpm.tag, UPPER(TRIM(A130)),
  _xlpm.kw, N(C130),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30" s="27" t="str" cm="1">
        <f t="array" ref="F130">_xlfn.LET(
  _xlpm.tag, UPPER(TRIM(A130)),
  _xlpm.kw, N(C130),
  _xlpm.flc, N(D130),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30" s="27" t="str" cm="1">
        <f t="array" ref="G130">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31" spans="1:15">
      <c r="A131" t="s">
        <v>138</v>
      </c>
      <c r="B131" s="10" t="s">
        <v>15</v>
      </c>
      <c r="C131" s="28">
        <v>5</v>
      </c>
      <c r="D131">
        <v>7.9209640590040129</v>
      </c>
      <c r="E131" s="27" t="str" cm="1">
        <f t="array" ref="E131">_xlfn.LET(
  _xlpm.tag, UPPER(TRIM(A131)),
  _xlpm.kw, N(C131),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31" s="27" t="str" cm="1">
        <f t="array" ref="F131">_xlfn.LET(
  _xlpm.tag, UPPER(TRIM(A131)),
  _xlpm.kw, N(C131),
  _xlpm.flc, N(D131),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31" s="27" t="str" cm="1">
        <f t="array" ref="G131">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32" spans="1:15">
      <c r="A132" t="s">
        <v>139</v>
      </c>
      <c r="B132" s="10" t="s">
        <v>15</v>
      </c>
      <c r="C132" s="28">
        <v>0.3</v>
      </c>
      <c r="D132">
        <v>0.82653538006998406</v>
      </c>
      <c r="E132" s="27" t="str" cm="1">
        <f t="array" ref="E132">_xlfn.LET(
  _xlpm.tag, UPPER(TRIM(A132)),
  _xlpm.kw, N(C132),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32" s="27" t="str" cm="1">
        <f t="array" ref="F132">_xlfn.LET(
  _xlpm.tag, UPPER(TRIM(A132)),
  _xlpm.kw, N(C132),
  _xlpm.flc, N(D132),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32" s="27" t="str" cm="1">
        <f t="array" ref="G132">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33" spans="1:15">
      <c r="A133" t="s">
        <v>140</v>
      </c>
      <c r="B133" s="10" t="s">
        <v>15</v>
      </c>
      <c r="C133" s="28">
        <v>1</v>
      </c>
      <c r="D133">
        <v>2.7551179335666136</v>
      </c>
      <c r="E133" s="27" t="str" cm="1">
        <f t="array" ref="E133">_xlfn.LET(
  _xlpm.tag, UPPER(TRIM(A133)),
  _xlpm.kw, N(C133),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33" s="27" t="str" cm="1">
        <f t="array" ref="F133">_xlfn.LET(
  _xlpm.tag, UPPER(TRIM(A133)),
  _xlpm.kw, N(C133),
  _xlpm.flc, N(D133),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33" s="27" t="str" cm="1">
        <f t="array" ref="G133">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34" spans="1:15">
      <c r="A134" t="s">
        <v>141</v>
      </c>
      <c r="B134" s="10" t="s">
        <v>15</v>
      </c>
      <c r="C134" s="28">
        <v>1</v>
      </c>
      <c r="D134">
        <v>2.7551179335666136</v>
      </c>
      <c r="E134" s="27" t="str" cm="1">
        <f t="array" ref="E134">_xlfn.LET(
  _xlpm.tag, UPPER(TRIM(A134)),
  _xlpm.kw, N(C134),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34" s="27" t="str" cm="1">
        <f t="array" ref="F134">_xlfn.LET(
  _xlpm.tag, UPPER(TRIM(A134)),
  _xlpm.kw, N(C134),
  _xlpm.flc, N(D134),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34" s="27" t="str" cm="1">
        <f t="array" ref="G134">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35" spans="1:15">
      <c r="A135" t="s">
        <v>142</v>
      </c>
      <c r="B135" s="10" t="s">
        <v>15</v>
      </c>
      <c r="C135" s="28">
        <v>1</v>
      </c>
      <c r="D135">
        <v>2.7551179335666136</v>
      </c>
      <c r="E135" s="27" t="str" cm="1">
        <f t="array" ref="E135">_xlfn.LET(
  _xlpm.tag, UPPER(TRIM(A135)),
  _xlpm.kw, N(C135),
  _xlpm.parts, _xlfn.TEXTSPLIT(_xlpm.tag,"-"),
  _xlpm.mid, IF(COUNTA(_xlpm.parts)&gt;=2, INDEX(_xlpm.parts,1,2), ""),
  _xlpm.mapCodes, {"AHU";"CWP";"EF";"ACWC";"ACCU";"EDH";"WWG";"WWP";"HD";"ASU"},
  _xlpm.mapType,  {"M";"M";"M";"F";"F";"F";"F";"F";"F";"F"},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35" s="27" t="str" cm="1">
        <f t="array" ref="F135">_xlfn.LET(
  _xlpm.tag, UPPER(TRIM(A135)),
  _xlpm.kw, N(C135),
  _xlpm.flc, N(D135),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
  _xlpm.mapType,  {"M";"M";"M";"F";"F";"F";"F";"F";"F";"F"},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35" s="27" t="str" cm="1">
        <f t="array" ref="G135">_xlfn.LET(
  _xlpm.c, UPPER(TRIM(_81IK6100018910[[#This Row],[Starter Type]])),
  _xlpm.kw, N(_81IK6100018910[[#This Row],[RATED POWER]]),
  _xlpm.flc, N(_81IK6100018910[[#This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37" spans="1:15">
      <c r="I137" s="10" t="s">
        <v>50</v>
      </c>
      <c r="J137" s="10" t="s">
        <v>51</v>
      </c>
      <c r="K137" s="10" t="s">
        <v>52</v>
      </c>
      <c r="L137" s="10" t="s">
        <v>53</v>
      </c>
    </row>
    <row r="138" spans="1:15">
      <c r="I138">
        <f>I139*1000</f>
        <v>4000</v>
      </c>
      <c r="J138">
        <f>800*J139</f>
        <v>2400</v>
      </c>
      <c r="K138">
        <f>400*K139</f>
        <v>0</v>
      </c>
      <c r="L138" s="34">
        <f>I138+J138+K138</f>
        <v>6400</v>
      </c>
      <c r="N138">
        <f>L138+(1200*2)+600</f>
        <v>9400</v>
      </c>
      <c r="O138" s="10" t="s">
        <v>55</v>
      </c>
    </row>
    <row r="139" spans="1:15">
      <c r="I139" cm="1">
        <f t="array" ref="I139">ROUNDUP(
  _xlfn.LET(
    _xlpm.arrange,$I$3,
    _xlpm.capE,IF(_xlpm.arrange="B2B",144,72),
    _xlpm.rng,G97:G135,
    _xlpm.totalE,SUMPRODUCT(
      IFERROR(
        VALUE(_xlfn.TEXTBEFORE(_xlpm.rng,"E")) / IFERROR(VALUE(_xlfn.TEXTAFTER(_xlpm.rng,"/")),1),
        0
      )
    ),
    CEILING((1+$J$4)*_xlpm.totalE/_xlpm.capE,1)
  ),
0)</f>
        <v>4</v>
      </c>
      <c r="J139">
        <v>3</v>
      </c>
      <c r="K139">
        <v>0</v>
      </c>
      <c r="L139" s="34">
        <f>I139+J139+K139</f>
        <v>7</v>
      </c>
    </row>
    <row r="140" spans="1:15">
      <c r="M140" t="s">
        <v>56</v>
      </c>
    </row>
    <row r="146" spans="1:18" ht="22.8">
      <c r="A146" s="56" t="s">
        <v>143</v>
      </c>
    </row>
    <row r="147" spans="1:18">
      <c r="A147" s="49"/>
    </row>
    <row r="148" spans="1:18">
      <c r="A148" s="23" t="s">
        <v>4</v>
      </c>
      <c r="B148" s="24" t="s">
        <v>5</v>
      </c>
      <c r="C148" s="24" t="s">
        <v>6</v>
      </c>
      <c r="D148" s="24" t="s">
        <v>7</v>
      </c>
      <c r="E148" s="24" t="s">
        <v>8</v>
      </c>
      <c r="F148" s="24" t="s">
        <v>9</v>
      </c>
      <c r="G148" s="25" t="s">
        <v>10</v>
      </c>
      <c r="H148" s="24" t="s">
        <v>11</v>
      </c>
      <c r="I148" s="10"/>
      <c r="Q148" s="10" t="s">
        <v>12</v>
      </c>
      <c r="R148" s="10" t="s">
        <v>13</v>
      </c>
    </row>
    <row r="149" spans="1:18">
      <c r="A149" t="s">
        <v>144</v>
      </c>
      <c r="B149" s="10" t="s">
        <v>15</v>
      </c>
      <c r="C149" s="28">
        <v>26.3</v>
      </c>
      <c r="D149">
        <v>41.664270950361107</v>
      </c>
      <c r="E149" s="27" t="str" cm="1">
        <f t="array" ref="E149">_xlfn.LET(
  _xlpm.tag, UPPER(TRIM(A149)),
  _xlpm.kw, N(C149),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149" s="27" t="str" cm="1">
        <f t="array" ref="F149">_xlfn.LET(
  _xlpm.tag, UPPER(TRIM(A149)),
  _xlpm.kw, N(C149),
  _xlpm.flc, N(D149),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49" s="27" t="str" cm="1">
        <f t="array" ref="G149">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I149" s="10"/>
      <c r="N149" s="29" t="s">
        <v>16</v>
      </c>
      <c r="O149" s="29" t="s">
        <v>17</v>
      </c>
      <c r="P149" s="29" t="s">
        <v>18</v>
      </c>
      <c r="Q149">
        <f t="shared" ref="Q149:Q165" si="7">COUNTIFS($E$4:$E$18,N149,$F$4:$F$18,O149,$G$4:$G$18,P149)</f>
        <v>0</v>
      </c>
      <c r="R149">
        <f>ROUNDUP(Q149*0.2,0)</f>
        <v>0</v>
      </c>
    </row>
    <row r="150" spans="1:18">
      <c r="A150" t="s">
        <v>145</v>
      </c>
      <c r="B150" s="10" t="s">
        <v>15</v>
      </c>
      <c r="C150" s="28">
        <v>26.3</v>
      </c>
      <c r="D150">
        <v>41.664270950361107</v>
      </c>
      <c r="E150" s="27" t="str" cm="1">
        <f t="array" ref="E150">_xlfn.LET(
  _xlpm.tag, UPPER(TRIM(A150)),
  _xlpm.kw, N(C150),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150" s="27" t="str" cm="1">
        <f t="array" ref="F150">_xlfn.LET(
  _xlpm.tag, UPPER(TRIM(A150)),
  _xlpm.kw, N(C150),
  _xlpm.flc, N(D150),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50" s="27" t="str" cm="1">
        <f t="array" ref="G150">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N150" s="33" t="s">
        <v>20</v>
      </c>
      <c r="O150" s="33" t="s">
        <v>21</v>
      </c>
      <c r="P150" s="33" t="s">
        <v>22</v>
      </c>
      <c r="Q150">
        <f t="shared" si="7"/>
        <v>2</v>
      </c>
      <c r="R150" s="34">
        <f t="shared" ref="R150:R165" si="8">ROUNDUP(Q150*0.2,0)</f>
        <v>1</v>
      </c>
    </row>
    <row r="151" spans="1:18">
      <c r="A151" t="s">
        <v>146</v>
      </c>
      <c r="B151" s="10" t="s">
        <v>15</v>
      </c>
      <c r="C151" s="28">
        <v>64.7</v>
      </c>
      <c r="D151">
        <v>102.49727492351192</v>
      </c>
      <c r="E151" s="27" t="str" cm="1">
        <f t="array" ref="E151">_xlfn.LET(
  _xlpm.tag, UPPER(TRIM(A151)),
  _xlpm.kw, N(C151),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151" s="27" t="str" cm="1">
        <f t="array" ref="F151">_xlfn.LET(
  _xlpm.tag, UPPER(TRIM(A151)),
  _xlpm.kw, N(C151),
  _xlpm.flc, N(D151),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51" s="27" t="str" cm="1">
        <f t="array" ref="G151">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N151" s="29" t="s">
        <v>24</v>
      </c>
      <c r="O151" s="29" t="s">
        <v>25</v>
      </c>
      <c r="P151" s="29" t="s">
        <v>22</v>
      </c>
      <c r="Q151">
        <f t="shared" si="7"/>
        <v>0</v>
      </c>
      <c r="R151">
        <f t="shared" si="8"/>
        <v>0</v>
      </c>
    </row>
    <row r="152" spans="1:18">
      <c r="A152" t="s">
        <v>147</v>
      </c>
      <c r="B152" s="10" t="s">
        <v>15</v>
      </c>
      <c r="C152" s="28">
        <v>33.200000000000003</v>
      </c>
      <c r="D152">
        <v>52.595201351786649</v>
      </c>
      <c r="E152" s="27" t="str" cm="1">
        <f t="array" ref="E152">_xlfn.LET(
  _xlpm.tag, UPPER(TRIM(A152)),
  _xlpm.kw, N(C152),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52" s="27" t="str" cm="1">
        <f t="array" ref="F152">_xlfn.LET(
  _xlpm.tag, UPPER(TRIM(A152)),
  _xlpm.kw, N(C152),
  _xlpm.flc, N(D152),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52" s="27" t="str" cm="1">
        <f t="array" ref="G152">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12E</v>
      </c>
      <c r="N152" s="29" t="s">
        <v>24</v>
      </c>
      <c r="O152" s="29" t="s">
        <v>25</v>
      </c>
      <c r="P152" s="29" t="s">
        <v>27</v>
      </c>
      <c r="Q152">
        <f t="shared" si="7"/>
        <v>0</v>
      </c>
      <c r="R152">
        <f t="shared" si="8"/>
        <v>0</v>
      </c>
    </row>
    <row r="153" spans="1:18">
      <c r="A153" t="s">
        <v>148</v>
      </c>
      <c r="B153" s="10" t="s">
        <v>15</v>
      </c>
      <c r="C153" s="28">
        <v>33.200000000000003</v>
      </c>
      <c r="D153">
        <v>52.595201351786649</v>
      </c>
      <c r="E153" s="27" t="str" cm="1">
        <f t="array" ref="E153">_xlfn.LET(
  _xlpm.tag, UPPER(TRIM(A153)),
  _xlpm.kw, N(C153),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53" s="27" t="str" cm="1">
        <f t="array" ref="F153">_xlfn.LET(
  _xlpm.tag, UPPER(TRIM(A153)),
  _xlpm.kw, N(C153),
  _xlpm.flc, N(D153),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53" s="27" t="str" cm="1">
        <f t="array" ref="G153">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12E</v>
      </c>
      <c r="N153" s="29" t="s">
        <v>29</v>
      </c>
      <c r="O153" s="29" t="s">
        <v>17</v>
      </c>
      <c r="P153" s="29" t="s">
        <v>18</v>
      </c>
      <c r="Q153">
        <f t="shared" si="7"/>
        <v>0</v>
      </c>
      <c r="R153">
        <f t="shared" si="8"/>
        <v>0</v>
      </c>
    </row>
    <row r="154" spans="1:18">
      <c r="A154" t="s">
        <v>149</v>
      </c>
      <c r="B154" s="10" t="s">
        <v>15</v>
      </c>
      <c r="C154" s="28">
        <v>70.8</v>
      </c>
      <c r="D154">
        <v>112.16085107549682</v>
      </c>
      <c r="E154" s="27" t="str" cm="1">
        <f t="array" ref="E154">_xlfn.LET(
  _xlpm.tag, UPPER(TRIM(A154)),
  _xlpm.kw, N(C154),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54" s="27" t="str" cm="1">
        <f t="array" ref="F154">_xlfn.LET(
  _xlpm.tag, UPPER(TRIM(A154)),
  _xlpm.kw, N(C154),
  _xlpm.flc, N(D154),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54" s="27" t="str" cm="1">
        <f t="array" ref="G154">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16E</v>
      </c>
      <c r="N154" s="29" t="s">
        <v>20</v>
      </c>
      <c r="O154" s="29" t="s">
        <v>31</v>
      </c>
      <c r="P154" s="29" t="s">
        <v>32</v>
      </c>
      <c r="Q154">
        <f t="shared" si="7"/>
        <v>0</v>
      </c>
      <c r="R154">
        <f t="shared" si="8"/>
        <v>0</v>
      </c>
    </row>
    <row r="155" spans="1:18">
      <c r="A155" t="s">
        <v>150</v>
      </c>
      <c r="B155" s="10" t="s">
        <v>15</v>
      </c>
      <c r="C155" s="28">
        <v>3.84</v>
      </c>
      <c r="D155">
        <v>6.0833003973150817</v>
      </c>
      <c r="E155" s="27" t="str" cm="1">
        <f t="array" ref="E155">_xlfn.LET(
  _xlpm.tag, UPPER(TRIM(A155)),
  _xlpm.kw, N(C155),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55" s="27" t="str" cm="1">
        <f t="array" ref="F155">_xlfn.LET(
  _xlpm.tag, UPPER(TRIM(A155)),
  _xlpm.kw, N(C155),
  _xlpm.flc, N(D155),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55" s="27" t="str" cm="1">
        <f t="array" ref="G155">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55" s="29" t="s">
        <v>20</v>
      </c>
      <c r="O155" s="29" t="s">
        <v>21</v>
      </c>
      <c r="P155" s="29" t="s">
        <v>32</v>
      </c>
      <c r="Q155">
        <f t="shared" si="7"/>
        <v>1</v>
      </c>
      <c r="R155">
        <f t="shared" si="8"/>
        <v>1</v>
      </c>
    </row>
    <row r="156" spans="1:18">
      <c r="A156" t="s">
        <v>151</v>
      </c>
      <c r="B156" s="10" t="s">
        <v>15</v>
      </c>
      <c r="C156" s="28">
        <v>3.84</v>
      </c>
      <c r="D156">
        <v>6.0833003973150817</v>
      </c>
      <c r="E156" s="27" t="str" cm="1">
        <f t="array" ref="E156">_xlfn.LET(
  _xlpm.tag, UPPER(TRIM(A156)),
  _xlpm.kw, N(C156),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56" s="27" t="str" cm="1">
        <f t="array" ref="F156">_xlfn.LET(
  _xlpm.tag, UPPER(TRIM(A156)),
  _xlpm.kw, N(C156),
  _xlpm.flc, N(D156),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56" s="27" t="str" cm="1">
        <f t="array" ref="G156">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56" s="33" t="s">
        <v>20</v>
      </c>
      <c r="O156" s="33" t="s">
        <v>21</v>
      </c>
      <c r="P156" s="33" t="s">
        <v>27</v>
      </c>
      <c r="Q156">
        <f t="shared" si="7"/>
        <v>0</v>
      </c>
      <c r="R156" s="34">
        <f t="shared" si="8"/>
        <v>0</v>
      </c>
    </row>
    <row r="157" spans="1:18">
      <c r="A157" t="s">
        <v>152</v>
      </c>
      <c r="B157" s="10" t="s">
        <v>15</v>
      </c>
      <c r="C157" s="28">
        <v>1.83</v>
      </c>
      <c r="D157">
        <v>2.8990728455954686</v>
      </c>
      <c r="E157" s="27" t="str" cm="1">
        <f t="array" ref="E157">_xlfn.LET(
  _xlpm.tag, UPPER(TRIM(A157)),
  _xlpm.kw, N(C157),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57" s="27" t="str" cm="1">
        <f t="array" ref="F157">_xlfn.LET(
  _xlpm.tag, UPPER(TRIM(A157)),
  _xlpm.kw, N(C157),
  _xlpm.flc, N(D157),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57" s="27" t="str" cm="1">
        <f t="array" ref="G157">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57" s="29" t="s">
        <v>36</v>
      </c>
      <c r="O157" s="29" t="s">
        <v>37</v>
      </c>
      <c r="P157" s="29" t="s">
        <v>32</v>
      </c>
      <c r="Q157">
        <f t="shared" si="7"/>
        <v>0</v>
      </c>
      <c r="R157">
        <f t="shared" si="8"/>
        <v>0</v>
      </c>
    </row>
    <row r="158" spans="1:18">
      <c r="A158" t="s">
        <v>153</v>
      </c>
      <c r="B158" s="10" t="s">
        <v>15</v>
      </c>
      <c r="C158" s="28">
        <v>3.82</v>
      </c>
      <c r="D158">
        <v>10.524550506224463</v>
      </c>
      <c r="E158" s="27" t="str" cm="1">
        <f t="array" ref="E158">_xlfn.LET(
  _xlpm.tag, UPPER(TRIM(A158)),
  _xlpm.kw, N(C158),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58" s="27" t="str" cm="1">
        <f t="array" ref="F158">_xlfn.LET(
  _xlpm.tag, UPPER(TRIM(A158)),
  _xlpm.kw, N(C158),
  _xlpm.flc, N(D158),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58" s="27" t="str" cm="1">
        <f t="array" ref="G158">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58" s="29" t="s">
        <v>16</v>
      </c>
      <c r="O158" s="29" t="s">
        <v>17</v>
      </c>
      <c r="P158" s="29" t="s">
        <v>39</v>
      </c>
      <c r="Q158">
        <f t="shared" si="7"/>
        <v>0</v>
      </c>
      <c r="R158">
        <f t="shared" si="8"/>
        <v>0</v>
      </c>
    </row>
    <row r="159" spans="1:18">
      <c r="A159" t="s">
        <v>154</v>
      </c>
      <c r="B159" s="10" t="s">
        <v>15</v>
      </c>
      <c r="C159" s="28">
        <v>3.82</v>
      </c>
      <c r="D159">
        <v>10.524550506224463</v>
      </c>
      <c r="E159" s="27" t="str" cm="1">
        <f t="array" ref="E159">_xlfn.LET(
  _xlpm.tag, UPPER(TRIM(A159)),
  _xlpm.kw, N(C159),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59" s="27" t="str" cm="1">
        <f t="array" ref="F159">_xlfn.LET(
  _xlpm.tag, UPPER(TRIM(A159)),
  _xlpm.kw, N(C159),
  _xlpm.flc, N(D159),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59" s="27" t="str" cm="1">
        <f t="array" ref="G159">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59" s="33" t="s">
        <v>41</v>
      </c>
      <c r="O159" s="33" t="s">
        <v>17</v>
      </c>
      <c r="P159" s="33" t="s">
        <v>32</v>
      </c>
      <c r="Q159">
        <f t="shared" si="7"/>
        <v>0</v>
      </c>
      <c r="R159" s="34">
        <f t="shared" si="8"/>
        <v>0</v>
      </c>
    </row>
    <row r="160" spans="1:18">
      <c r="A160" t="s">
        <v>155</v>
      </c>
      <c r="B160" s="10" t="s">
        <v>15</v>
      </c>
      <c r="C160" s="28">
        <v>3.82</v>
      </c>
      <c r="D160">
        <v>10.524550506224463</v>
      </c>
      <c r="E160" s="27" t="str" cm="1">
        <f t="array" ref="E160">_xlfn.LET(
  _xlpm.tag, UPPER(TRIM(A160)),
  _xlpm.kw, N(C160),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60" s="27" t="str" cm="1">
        <f t="array" ref="F160">_xlfn.LET(
  _xlpm.tag, UPPER(TRIM(A160)),
  _xlpm.kw, N(C160),
  _xlpm.flc, N(D160),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60" s="27" t="str" cm="1">
        <f t="array" ref="G160">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60" s="29" t="s">
        <v>43</v>
      </c>
      <c r="O160" s="29" t="s">
        <v>44</v>
      </c>
      <c r="P160" s="29" t="s">
        <v>22</v>
      </c>
      <c r="Q160">
        <f t="shared" si="7"/>
        <v>0</v>
      </c>
      <c r="R160">
        <f t="shared" si="8"/>
        <v>0</v>
      </c>
    </row>
    <row r="161" spans="1:18">
      <c r="A161" t="s">
        <v>156</v>
      </c>
      <c r="B161" s="10" t="s">
        <v>15</v>
      </c>
      <c r="C161" s="28">
        <v>2.72</v>
      </c>
      <c r="D161">
        <v>7.4939207793011899</v>
      </c>
      <c r="E161" s="27" t="str" cm="1">
        <f t="array" ref="E161">_xlfn.LET(
  _xlpm.tag, UPPER(TRIM(A161)),
  _xlpm.kw, N(C161),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61" s="27" t="str" cm="1">
        <f t="array" ref="F161">_xlfn.LET(
  _xlpm.tag, UPPER(TRIM(A161)),
  _xlpm.kw, N(C161),
  _xlpm.flc, N(D161),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61" s="27" t="str" cm="1">
        <f t="array" ref="G161">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61" s="29" t="s">
        <v>36</v>
      </c>
      <c r="O161" s="29" t="s">
        <v>37</v>
      </c>
      <c r="P161" s="29" t="s">
        <v>27</v>
      </c>
      <c r="Q161">
        <f t="shared" si="7"/>
        <v>0</v>
      </c>
      <c r="R161">
        <f t="shared" si="8"/>
        <v>0</v>
      </c>
    </row>
    <row r="162" spans="1:18">
      <c r="A162" t="s">
        <v>157</v>
      </c>
      <c r="B162" s="10" t="s">
        <v>15</v>
      </c>
      <c r="C162" s="28">
        <v>4.9400000000000004</v>
      </c>
      <c r="D162">
        <v>13.610282591819072</v>
      </c>
      <c r="E162" s="27" t="str" cm="1">
        <f t="array" ref="E162">_xlfn.LET(
  _xlpm.tag, UPPER(TRIM(A162)),
  _xlpm.kw, N(C162),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62" s="27" t="str" cm="1">
        <f t="array" ref="F162">_xlfn.LET(
  _xlpm.tag, UPPER(TRIM(A162)),
  _xlpm.kw, N(C162),
  _xlpm.flc, N(D162),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62" s="27" t="str" cm="1">
        <f t="array" ref="G162">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62" t="s">
        <v>36</v>
      </c>
      <c r="O162" t="s">
        <v>37</v>
      </c>
      <c r="P162" t="s">
        <v>18</v>
      </c>
      <c r="Q162">
        <f t="shared" si="7"/>
        <v>0</v>
      </c>
      <c r="R162">
        <f t="shared" si="8"/>
        <v>0</v>
      </c>
    </row>
    <row r="163" spans="1:18">
      <c r="A163" t="s">
        <v>158</v>
      </c>
      <c r="B163" s="10" t="s">
        <v>15</v>
      </c>
      <c r="C163" s="28">
        <v>4.9400000000000004</v>
      </c>
      <c r="D163">
        <v>13.610282591819072</v>
      </c>
      <c r="E163" s="27" t="str" cm="1">
        <f t="array" ref="E163">_xlfn.LET(
  _xlpm.tag, UPPER(TRIM(A163)),
  _xlpm.kw, N(C163),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63" s="27" t="str" cm="1">
        <f t="array" ref="F163">_xlfn.LET(
  _xlpm.tag, UPPER(TRIM(A163)),
  _xlpm.kw, N(C163),
  _xlpm.flc, N(D163),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63" s="27" t="str" cm="1">
        <f t="array" ref="G163">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63" t="s">
        <v>20</v>
      </c>
      <c r="O163" t="s">
        <v>31</v>
      </c>
      <c r="P163" t="s">
        <v>22</v>
      </c>
      <c r="Q163">
        <f t="shared" si="7"/>
        <v>0</v>
      </c>
      <c r="R163">
        <f t="shared" si="8"/>
        <v>0</v>
      </c>
    </row>
    <row r="164" spans="1:18">
      <c r="A164" t="s">
        <v>159</v>
      </c>
      <c r="B164" s="10" t="s">
        <v>15</v>
      </c>
      <c r="C164" s="28">
        <v>4.9400000000000004</v>
      </c>
      <c r="D164">
        <v>13.610282591819072</v>
      </c>
      <c r="E164" s="27" t="str" cm="1">
        <f t="array" ref="E164">_xlfn.LET(
  _xlpm.tag, UPPER(TRIM(A164)),
  _xlpm.kw, N(C164),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64" s="27" t="str" cm="1">
        <f t="array" ref="F164">_xlfn.LET(
  _xlpm.tag, UPPER(TRIM(A164)),
  _xlpm.kw, N(C164),
  _xlpm.flc, N(D164),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64" s="27" t="str" cm="1">
        <f t="array" ref="G164">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64" t="s">
        <v>29</v>
      </c>
      <c r="O164" t="s">
        <v>17</v>
      </c>
      <c r="P164" t="s">
        <v>22</v>
      </c>
      <c r="Q164">
        <f t="shared" si="7"/>
        <v>0</v>
      </c>
      <c r="R164">
        <f t="shared" si="8"/>
        <v>0</v>
      </c>
    </row>
    <row r="165" spans="1:18">
      <c r="A165" t="s">
        <v>160</v>
      </c>
      <c r="B165" s="10" t="s">
        <v>15</v>
      </c>
      <c r="C165" s="28">
        <v>4.6900000000000004</v>
      </c>
      <c r="D165">
        <v>12.921503108427418</v>
      </c>
      <c r="E165" s="27" t="str" cm="1">
        <f t="array" ref="E165">_xlfn.LET(
  _xlpm.tag, UPPER(TRIM(A165)),
  _xlpm.kw, N(C165),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65" s="27" t="str" cm="1">
        <f t="array" ref="F165">_xlfn.LET(
  _xlpm.tag, UPPER(TRIM(A165)),
  _xlpm.kw, N(C165),
  _xlpm.flc, N(D165),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65" s="27" t="str" cm="1">
        <f t="array" ref="G165">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165" t="s">
        <v>36</v>
      </c>
      <c r="O165" t="s">
        <v>37</v>
      </c>
      <c r="P165" t="s">
        <v>22</v>
      </c>
      <c r="Q165">
        <f t="shared" si="7"/>
        <v>0</v>
      </c>
      <c r="R165">
        <f t="shared" si="8"/>
        <v>0</v>
      </c>
    </row>
    <row r="166" spans="1:18">
      <c r="A166" t="s">
        <v>161</v>
      </c>
      <c r="B166" s="10" t="s">
        <v>15</v>
      </c>
      <c r="C166" s="28">
        <v>4.6900000000000004</v>
      </c>
      <c r="D166">
        <v>12.921503108427418</v>
      </c>
      <c r="E166" s="27" t="str" cm="1">
        <f t="array" ref="E166">_xlfn.LET(
  _xlpm.tag, UPPER(TRIM(A166)),
  _xlpm.kw, N(C166),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66" s="27" t="str" cm="1">
        <f t="array" ref="F166">_xlfn.LET(
  _xlpm.tag, UPPER(TRIM(A166)),
  _xlpm.kw, N(C166),
  _xlpm.flc, N(D166),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66" s="27" t="str" cm="1">
        <f t="array" ref="G166">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67" spans="1:18">
      <c r="A167" t="s">
        <v>162</v>
      </c>
      <c r="B167" s="10" t="s">
        <v>15</v>
      </c>
      <c r="C167" s="28">
        <v>3.5</v>
      </c>
      <c r="D167">
        <v>9.6429127674831463</v>
      </c>
      <c r="E167" s="27" t="str" cm="1">
        <f t="array" ref="E167">_xlfn.LET(
  _xlpm.tag, UPPER(TRIM(A167)),
  _xlpm.kw, N(C167),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67" s="27" t="str" cm="1">
        <f t="array" ref="F167">_xlfn.LET(
  _xlpm.tag, UPPER(TRIM(A167)),
  _xlpm.kw, N(C167),
  _xlpm.flc, N(D167),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67" s="27" t="str" cm="1">
        <f t="array" ref="G167">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68" spans="1:18">
      <c r="A168" t="s">
        <v>163</v>
      </c>
      <c r="B168" s="10" t="s">
        <v>15</v>
      </c>
      <c r="C168" s="28">
        <v>3.67</v>
      </c>
      <c r="D168">
        <v>10.111282816189471</v>
      </c>
      <c r="E168" s="27" t="str" cm="1">
        <f t="array" ref="E168">_xlfn.LET(
  _xlpm.tag, UPPER(TRIM(A168)),
  _xlpm.kw, N(C168),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68" s="27" t="str" cm="1">
        <f t="array" ref="F168">_xlfn.LET(
  _xlpm.tag, UPPER(TRIM(A168)),
  _xlpm.kw, N(C168),
  _xlpm.flc, N(D168),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68" s="27" t="str" cm="1">
        <f t="array" ref="G168">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69" spans="1:18">
      <c r="A169" t="s">
        <v>164</v>
      </c>
      <c r="B169" s="10" t="s">
        <v>15</v>
      </c>
      <c r="C169" s="28">
        <v>2.77</v>
      </c>
      <c r="D169">
        <v>7.6316766759795192</v>
      </c>
      <c r="E169" s="27" t="str" cm="1">
        <f t="array" ref="E169">_xlfn.LET(
  _xlpm.tag, UPPER(TRIM(A169)),
  _xlpm.kw, N(C169),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69" s="27" t="str" cm="1">
        <f t="array" ref="F169">_xlfn.LET(
  _xlpm.tag, UPPER(TRIM(A169)),
  _xlpm.kw, N(C169),
  _xlpm.flc, N(D169),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69" s="27" t="str" cm="1">
        <f t="array" ref="G169">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70" spans="1:18">
      <c r="A170" t="s">
        <v>165</v>
      </c>
      <c r="B170" s="10" t="s">
        <v>15</v>
      </c>
      <c r="C170" s="28">
        <v>2.77</v>
      </c>
      <c r="D170">
        <v>7.6316766759795192</v>
      </c>
      <c r="E170" s="27" t="str" cm="1">
        <f t="array" ref="E170">_xlfn.LET(
  _xlpm.tag, UPPER(TRIM(A170)),
  _xlpm.kw, N(C170),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70" s="27" t="str" cm="1">
        <f t="array" ref="F170">_xlfn.LET(
  _xlpm.tag, UPPER(TRIM(A170)),
  _xlpm.kw, N(C170),
  _xlpm.flc, N(D170),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70" s="27" t="str" cm="1">
        <f t="array" ref="G170">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R170" s="10"/>
    </row>
    <row r="171" spans="1:18">
      <c r="A171" t="s">
        <v>166</v>
      </c>
      <c r="B171" s="10" t="s">
        <v>15</v>
      </c>
      <c r="C171" s="28">
        <v>2.0299999999999998</v>
      </c>
      <c r="D171">
        <v>5.5928894051402249</v>
      </c>
      <c r="E171" s="27" t="str" cm="1">
        <f t="array" ref="E171">_xlfn.LET(
  _xlpm.tag, UPPER(TRIM(A171)),
  _xlpm.kw, N(C171),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71" s="27" t="str" cm="1">
        <f t="array" ref="F171">_xlfn.LET(
  _xlpm.tag, UPPER(TRIM(A171)),
  _xlpm.kw, N(C171),
  _xlpm.flc, N(D171),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71" s="27" t="str" cm="1">
        <f t="array" ref="G171">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72" spans="1:18">
      <c r="A172" t="s">
        <v>167</v>
      </c>
      <c r="B172" s="10" t="s">
        <v>15</v>
      </c>
      <c r="C172" s="28">
        <v>2.2999999999999998</v>
      </c>
      <c r="D172">
        <v>6.3367712472032105</v>
      </c>
      <c r="E172" s="27" t="str" cm="1">
        <f t="array" ref="E172">_xlfn.LET(
  _xlpm.tag, UPPER(TRIM(A172)),
  _xlpm.kw, N(C172),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72" s="27" t="str" cm="1">
        <f t="array" ref="F172">_xlfn.LET(
  _xlpm.tag, UPPER(TRIM(A172)),
  _xlpm.kw, N(C172),
  _xlpm.flc, N(D172),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72" s="27" t="str" cm="1">
        <f t="array" ref="G172">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73" spans="1:18">
      <c r="A173" t="s">
        <v>168</v>
      </c>
      <c r="B173" s="10" t="s">
        <v>15</v>
      </c>
      <c r="C173" s="28">
        <v>3.39</v>
      </c>
      <c r="D173">
        <v>9.3398497947908208</v>
      </c>
      <c r="E173" s="27" t="str" cm="1">
        <f t="array" ref="E173">_xlfn.LET(
  _xlpm.tag, UPPER(TRIM(A173)),
  _xlpm.kw, N(C173),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73" s="27" t="str" cm="1">
        <f t="array" ref="F173">_xlfn.LET(
  _xlpm.tag, UPPER(TRIM(A173)),
  _xlpm.kw, N(C173),
  _xlpm.flc, N(D173),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73" s="27" t="str" cm="1">
        <f t="array" ref="G173">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74" spans="1:18">
      <c r="A174" t="s">
        <v>169</v>
      </c>
      <c r="B174" s="10" t="s">
        <v>15</v>
      </c>
      <c r="C174" s="28">
        <v>3.39</v>
      </c>
      <c r="D174">
        <v>9.3398497947908208</v>
      </c>
      <c r="E174" s="27" t="str" cm="1">
        <f t="array" ref="E174">_xlfn.LET(
  _xlpm.tag, UPPER(TRIM(A174)),
  _xlpm.kw, N(C174),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74" s="27" t="str" cm="1">
        <f t="array" ref="F174">_xlfn.LET(
  _xlpm.tag, UPPER(TRIM(A174)),
  _xlpm.kw, N(C174),
  _xlpm.flc, N(D174),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74" s="27" t="str" cm="1">
        <f t="array" ref="G174">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75" spans="1:18">
      <c r="A175" t="s">
        <v>170</v>
      </c>
      <c r="B175" s="10" t="s">
        <v>15</v>
      </c>
      <c r="C175" s="28">
        <v>3.39</v>
      </c>
      <c r="D175">
        <v>9.3398497947908208</v>
      </c>
      <c r="E175" s="27" t="str" cm="1">
        <f t="array" ref="E175">_xlfn.LET(
  _xlpm.tag, UPPER(TRIM(A175)),
  _xlpm.kw, N(C175),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75" s="27" t="str" cm="1">
        <f t="array" ref="F175">_xlfn.LET(
  _xlpm.tag, UPPER(TRIM(A175)),
  _xlpm.kw, N(C175),
  _xlpm.flc, N(D175),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75" s="27" t="str" cm="1">
        <f t="array" ref="G175">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76" spans="1:18">
      <c r="A176" t="s">
        <v>171</v>
      </c>
      <c r="B176" s="10" t="s">
        <v>15</v>
      </c>
      <c r="C176" s="28">
        <v>2.77</v>
      </c>
      <c r="D176">
        <v>7.6316766759795192</v>
      </c>
      <c r="E176" s="27" t="str" cm="1">
        <f t="array" ref="E176">_xlfn.LET(
  _xlpm.tag, UPPER(TRIM(A176)),
  _xlpm.kw, N(C176),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76" s="27" t="str" cm="1">
        <f t="array" ref="F176">_xlfn.LET(
  _xlpm.tag, UPPER(TRIM(A176)),
  _xlpm.kw, N(C176),
  _xlpm.flc, N(D176),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76" s="27" t="str" cm="1">
        <f t="array" ref="G176">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77" spans="1:7">
      <c r="A177" t="s">
        <v>172</v>
      </c>
      <c r="B177" s="10" t="s">
        <v>15</v>
      </c>
      <c r="C177" s="28">
        <v>2.77</v>
      </c>
      <c r="D177">
        <v>7.6316766759795192</v>
      </c>
      <c r="E177" s="27" t="str" cm="1">
        <f t="array" ref="E177">_xlfn.LET(
  _xlpm.tag, UPPER(TRIM(A177)),
  _xlpm.kw, N(C177),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77" s="27" t="str" cm="1">
        <f t="array" ref="F177">_xlfn.LET(
  _xlpm.tag, UPPER(TRIM(A177)),
  _xlpm.kw, N(C177),
  _xlpm.flc, N(D177),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77" s="27" t="str" cm="1">
        <f t="array" ref="G177">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78" spans="1:7">
      <c r="A178" t="s">
        <v>173</v>
      </c>
      <c r="B178" s="10" t="s">
        <v>15</v>
      </c>
      <c r="C178" s="28">
        <v>3.34</v>
      </c>
      <c r="D178">
        <v>9.2020938981124889</v>
      </c>
      <c r="E178" s="27" t="str" cm="1">
        <f t="array" ref="E178">_xlfn.LET(
  _xlpm.tag, UPPER(TRIM(A178)),
  _xlpm.kw, N(C178),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78" s="27" t="str" cm="1">
        <f t="array" ref="F178">_xlfn.LET(
  _xlpm.tag, UPPER(TRIM(A178)),
  _xlpm.kw, N(C178),
  _xlpm.flc, N(D178),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78" s="27" t="str" cm="1">
        <f t="array" ref="G178">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79" spans="1:7">
      <c r="A179" t="s">
        <v>174</v>
      </c>
      <c r="B179" s="10" t="s">
        <v>15</v>
      </c>
      <c r="C179" s="28">
        <v>3.34</v>
      </c>
      <c r="D179">
        <v>9.2020938981124889</v>
      </c>
      <c r="E179" s="27" t="str" cm="1">
        <f t="array" ref="E179">_xlfn.LET(
  _xlpm.tag, UPPER(TRIM(A179)),
  _xlpm.kw, N(C179),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79" s="27" t="str" cm="1">
        <f t="array" ref="F179">_xlfn.LET(
  _xlpm.tag, UPPER(TRIM(A179)),
  _xlpm.kw, N(C179),
  _xlpm.flc, N(D179),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79" s="27" t="str" cm="1">
        <f t="array" ref="G179">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80" spans="1:7">
      <c r="A180" t="s">
        <v>175</v>
      </c>
      <c r="B180" s="10" t="s">
        <v>15</v>
      </c>
      <c r="C180" s="28">
        <v>3.42</v>
      </c>
      <c r="D180">
        <v>9.4225033327978185</v>
      </c>
      <c r="E180" s="27" t="str" cm="1">
        <f t="array" ref="E180">_xlfn.LET(
  _xlpm.tag, UPPER(TRIM(A180)),
  _xlpm.kw, N(C180),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80" s="27" t="str" cm="1">
        <f t="array" ref="F180">_xlfn.LET(
  _xlpm.tag, UPPER(TRIM(A180)),
  _xlpm.kw, N(C180),
  _xlpm.flc, N(D180),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80" s="27" t="str" cm="1">
        <f t="array" ref="G180">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81" spans="1:7">
      <c r="A181" t="s">
        <v>176</v>
      </c>
      <c r="B181" s="10" t="s">
        <v>15</v>
      </c>
      <c r="C181" s="28">
        <v>3.42</v>
      </c>
      <c r="D181">
        <v>9.4225033327978185</v>
      </c>
      <c r="E181" s="27" t="str" cm="1">
        <f t="array" ref="E181">_xlfn.LET(
  _xlpm.tag, UPPER(TRIM(A181)),
  _xlpm.kw, N(C181),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81" s="27" t="str" cm="1">
        <f t="array" ref="F181">_xlfn.LET(
  _xlpm.tag, UPPER(TRIM(A181)),
  _xlpm.kw, N(C181),
  _xlpm.flc, N(D181),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81" s="27" t="str" cm="1">
        <f t="array" ref="G181">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82" spans="1:7">
      <c r="A182" t="s">
        <v>177</v>
      </c>
      <c r="B182" s="10" t="s">
        <v>15</v>
      </c>
      <c r="C182" s="28">
        <v>4.6900000000000004</v>
      </c>
      <c r="D182">
        <v>12.921503108427418</v>
      </c>
      <c r="E182" s="27" t="str" cm="1">
        <f t="array" ref="E182">_xlfn.LET(
  _xlpm.tag, UPPER(TRIM(A182)),
  _xlpm.kw, N(C182),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82" s="27" t="str" cm="1">
        <f t="array" ref="F182">_xlfn.LET(
  _xlpm.tag, UPPER(TRIM(A182)),
  _xlpm.kw, N(C182),
  _xlpm.flc, N(D182),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82" s="27" t="str" cm="1">
        <f t="array" ref="G182">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83" spans="1:7">
      <c r="A183" t="s">
        <v>178</v>
      </c>
      <c r="B183" s="10" t="s">
        <v>15</v>
      </c>
      <c r="C183" s="28">
        <v>4.6900000000000004</v>
      </c>
      <c r="D183">
        <v>12.921503108427418</v>
      </c>
      <c r="E183" s="27" t="str" cm="1">
        <f t="array" ref="E183">_xlfn.LET(
  _xlpm.tag, UPPER(TRIM(A183)),
  _xlpm.kw, N(C183),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83" s="27" t="str" cm="1">
        <f t="array" ref="F183">_xlfn.LET(
  _xlpm.tag, UPPER(TRIM(A183)),
  _xlpm.kw, N(C183),
  _xlpm.flc, N(D183),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83" s="27" t="str" cm="1">
        <f t="array" ref="G183">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84" spans="1:7">
      <c r="A184" t="s">
        <v>179</v>
      </c>
      <c r="B184" s="10" t="s">
        <v>15</v>
      </c>
      <c r="C184" s="28">
        <v>3.94</v>
      </c>
      <c r="D184">
        <v>10.855164658252457</v>
      </c>
      <c r="E184" s="27" t="str" cm="1">
        <f t="array" ref="E184">_xlfn.LET(
  _xlpm.tag, UPPER(TRIM(A184)),
  _xlpm.kw, N(C184),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84" s="27" t="str" cm="1">
        <f t="array" ref="F184">_xlfn.LET(
  _xlpm.tag, UPPER(TRIM(A184)),
  _xlpm.kw, N(C184),
  _xlpm.flc, N(D184),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84" s="27" t="str" cm="1">
        <f t="array" ref="G184">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85" spans="1:7">
      <c r="A185" t="s">
        <v>180</v>
      </c>
      <c r="B185" s="10" t="s">
        <v>15</v>
      </c>
      <c r="C185" s="28">
        <v>6.68</v>
      </c>
      <c r="D185">
        <v>18.404187796224978</v>
      </c>
      <c r="E185" s="27" t="str" cm="1">
        <f t="array" ref="E185">_xlfn.LET(
  _xlpm.tag, UPPER(TRIM(A185)),
  _xlpm.kw, N(C185),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85" s="27" t="str" cm="1">
        <f t="array" ref="F185">_xlfn.LET(
  _xlpm.tag, UPPER(TRIM(A185)),
  _xlpm.kw, N(C185),
  _xlpm.flc, N(D185),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85" s="27" t="str" cm="1">
        <f t="array" ref="G185">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86" spans="1:7">
      <c r="A186" t="s">
        <v>181</v>
      </c>
      <c r="B186" s="10" t="s">
        <v>15</v>
      </c>
      <c r="C186" s="28">
        <v>6.06</v>
      </c>
      <c r="D186">
        <v>16.696014677413675</v>
      </c>
      <c r="E186" s="27" t="str" cm="1">
        <f t="array" ref="E186">_xlfn.LET(
  _xlpm.tag, UPPER(TRIM(A186)),
  _xlpm.kw, N(C186),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86" s="27" t="str" cm="1">
        <f t="array" ref="F186">_xlfn.LET(
  _xlpm.tag, UPPER(TRIM(A186)),
  _xlpm.kw, N(C186),
  _xlpm.flc, N(D186),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86" s="27" t="str" cm="1">
        <f t="array" ref="G186">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87" spans="1:7">
      <c r="A187" t="s">
        <v>182</v>
      </c>
      <c r="B187" s="10" t="s">
        <v>15</v>
      </c>
      <c r="C187" s="28">
        <v>6.06</v>
      </c>
      <c r="D187">
        <v>16.696014677413675</v>
      </c>
      <c r="E187" s="27" t="str" cm="1">
        <f t="array" ref="E187">_xlfn.LET(
  _xlpm.tag, UPPER(TRIM(A187)),
  _xlpm.kw, N(C187),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87" s="27" t="str" cm="1">
        <f t="array" ref="F187">_xlfn.LET(
  _xlpm.tag, UPPER(TRIM(A187)),
  _xlpm.kw, N(C187),
  _xlpm.flc, N(D187),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87" s="27" t="str" cm="1">
        <f t="array" ref="G187">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88" spans="1:7">
      <c r="A188" t="s">
        <v>183</v>
      </c>
      <c r="B188" s="10" t="s">
        <v>15</v>
      </c>
      <c r="C188" s="28">
        <v>6.06</v>
      </c>
      <c r="D188">
        <v>16.696014677413675</v>
      </c>
      <c r="E188" s="27" t="str" cm="1">
        <f t="array" ref="E188">_xlfn.LET(
  _xlpm.tag, UPPER(TRIM(A188)),
  _xlpm.kw, N(C188),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88" t="str" cm="1">
        <f t="array" ref="F188">_xlfn.LET(
  _xlpm.tag, UPPER(TRIM(A188)),
  _xlpm.kw, N(C188),
  _xlpm.flc, N(D188),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88" t="str" cm="1">
        <f t="array" ref="G188">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89" spans="1:7">
      <c r="A189" t="s">
        <v>184</v>
      </c>
      <c r="B189" s="10" t="s">
        <v>15</v>
      </c>
      <c r="C189" s="28">
        <v>6.06</v>
      </c>
      <c r="D189">
        <v>16.696014677413675</v>
      </c>
      <c r="E189" s="27" t="str" cm="1">
        <f t="array" ref="E189">_xlfn.LET(
  _xlpm.tag, UPPER(TRIM(A189)),
  _xlpm.kw, N(C189),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89" t="str" cm="1">
        <f t="array" ref="F189">_xlfn.LET(
  _xlpm.tag, UPPER(TRIM(A189)),
  _xlpm.kw, N(C189),
  _xlpm.flc, N(D189),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89" t="str" cm="1">
        <f t="array" ref="G189">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90" spans="1:7">
      <c r="A190" t="s">
        <v>185</v>
      </c>
      <c r="B190" s="10" t="s">
        <v>15</v>
      </c>
      <c r="C190" s="28">
        <v>6.06</v>
      </c>
      <c r="D190">
        <v>16.696014677413675</v>
      </c>
      <c r="E190" s="27" t="str" cm="1">
        <f t="array" ref="E190">_xlfn.LET(
  _xlpm.tag, UPPER(TRIM(A190)),
  _xlpm.kw, N(C190),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90" t="str" cm="1">
        <f t="array" ref="F190">_xlfn.LET(
  _xlpm.tag, UPPER(TRIM(A190)),
  _xlpm.kw, N(C190),
  _xlpm.flc, N(D190),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90" t="str" cm="1">
        <f t="array" ref="G190">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91" spans="1:7">
      <c r="A191" t="s">
        <v>186</v>
      </c>
      <c r="B191" s="10" t="s">
        <v>15</v>
      </c>
      <c r="C191" s="28">
        <v>6.06</v>
      </c>
      <c r="D191">
        <v>16.696014677413675</v>
      </c>
      <c r="E191" s="27" t="str" cm="1">
        <f t="array" ref="E191">_xlfn.LET(
  _xlpm.tag, UPPER(TRIM(A191)),
  _xlpm.kw, N(C191),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91" t="str" cm="1">
        <f t="array" ref="F191">_xlfn.LET(
  _xlpm.tag, UPPER(TRIM(A191)),
  _xlpm.kw, N(C191),
  _xlpm.flc, N(D191),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91" t="str" cm="1">
        <f t="array" ref="G191">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92" spans="1:7">
      <c r="A192" t="s">
        <v>187</v>
      </c>
      <c r="B192" s="10" t="s">
        <v>15</v>
      </c>
      <c r="C192" s="28">
        <v>0.4</v>
      </c>
      <c r="D192">
        <v>0.63367712472032112</v>
      </c>
      <c r="E192" s="27" t="str" cm="1">
        <f t="array" ref="E192">_xlfn.LET(
  _xlpm.tag, UPPER(TRIM(A192)),
  _xlpm.kw, N(C192),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92" t="str" cm="1">
        <f t="array" ref="F192">_xlfn.LET(
  _xlpm.tag, UPPER(TRIM(A192)),
  _xlpm.kw, N(C192),
  _xlpm.flc, N(D192),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92" t="str" cm="1">
        <f t="array" ref="G192">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93" spans="1:12">
      <c r="A193" t="s">
        <v>188</v>
      </c>
      <c r="B193" s="10" t="s">
        <v>15</v>
      </c>
      <c r="C193" s="28">
        <v>0.37</v>
      </c>
      <c r="D193">
        <v>1.0193936354196471</v>
      </c>
      <c r="E193" s="27" t="str" cm="1">
        <f t="array" ref="E193">_xlfn.LET(
  _xlpm.tag, UPPER(TRIM(A193)),
  _xlpm.kw, N(C193),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93" t="str" cm="1">
        <f t="array" ref="F193">_xlfn.LET(
  _xlpm.tag, UPPER(TRIM(A193)),
  _xlpm.kw, N(C193),
  _xlpm.flc, N(D193),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93" t="str" cm="1">
        <f t="array" ref="G193">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94" spans="1:12">
      <c r="A194" t="s">
        <v>189</v>
      </c>
      <c r="B194" s="10" t="s">
        <v>15</v>
      </c>
      <c r="C194" s="28">
        <v>0.7</v>
      </c>
      <c r="D194">
        <v>1.1089349682605618</v>
      </c>
      <c r="E194" s="27" t="str" cm="1">
        <f t="array" ref="E194">_xlfn.LET(
  _xlpm.tag, UPPER(TRIM(A194)),
  _xlpm.kw, N(C194),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94" t="str" cm="1">
        <f t="array" ref="F194">_xlfn.LET(
  _xlpm.tag, UPPER(TRIM(A194)),
  _xlpm.kw, N(C194),
  _xlpm.flc, N(D194),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94" t="str" cm="1">
        <f t="array" ref="G194">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95" spans="1:12">
      <c r="A195" t="s">
        <v>190</v>
      </c>
      <c r="B195" s="10" t="s">
        <v>15</v>
      </c>
      <c r="C195" s="28">
        <v>0.7</v>
      </c>
      <c r="D195">
        <v>1.1089349682605618</v>
      </c>
      <c r="E195" s="27" t="str" cm="1">
        <f t="array" ref="E195">_xlfn.LET(
  _xlpm.tag, UPPER(TRIM(A195)),
  _xlpm.kw, N(C195),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95" t="str" cm="1">
        <f t="array" ref="F195">_xlfn.LET(
  _xlpm.tag, UPPER(TRIM(A195)),
  _xlpm.kw, N(C195),
  _xlpm.flc, N(D195),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95" t="str" cm="1">
        <f t="array" ref="G195">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96" spans="1:12">
      <c r="A196" t="s">
        <v>191</v>
      </c>
      <c r="B196" s="10" t="s">
        <v>15</v>
      </c>
      <c r="C196" s="28">
        <v>0.4</v>
      </c>
      <c r="D196">
        <v>0.63367712472032112</v>
      </c>
      <c r="E196" s="27" t="str" cm="1">
        <f t="array" ref="E196">_xlfn.LET(
  _xlpm.tag, UPPER(TRIM(A196)),
  _xlpm.kw, N(C196),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96" t="str" cm="1">
        <f t="array" ref="F196">_xlfn.LET(
  _xlpm.tag, UPPER(TRIM(A196)),
  _xlpm.kw, N(C196),
  _xlpm.flc, N(D196),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96" t="str" cm="1">
        <f t="array" ref="G196">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97" spans="1:12">
      <c r="A197" t="s">
        <v>192</v>
      </c>
      <c r="B197" s="10" t="s">
        <v>15</v>
      </c>
      <c r="C197" s="28">
        <v>0.4</v>
      </c>
      <c r="D197">
        <v>0.63367712472032112</v>
      </c>
      <c r="E197" s="27" t="str" cm="1">
        <f t="array" ref="E197">_xlfn.LET(
  _xlpm.tag, UPPER(TRIM(A197)),
  _xlpm.kw, N(C197),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197" t="str" cm="1">
        <f t="array" ref="F197">_xlfn.LET(
  _xlpm.tag, UPPER(TRIM(A197)),
  _xlpm.kw, N(C197),
  _xlpm.flc, N(D197),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197" t="str" cm="1">
        <f t="array" ref="G197">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98" spans="1:12">
      <c r="A198" t="s">
        <v>193</v>
      </c>
      <c r="B198" s="10" t="s">
        <v>15</v>
      </c>
      <c r="C198" s="28">
        <v>2.4200000000000004</v>
      </c>
      <c r="D198">
        <v>3.8337466045579429</v>
      </c>
      <c r="E198" s="27" t="str" cm="1">
        <f t="array" ref="E198">_xlfn.LET(
  _xlpm.tag, UPPER(TRIM(A198)),
  _xlpm.kw, N(C198),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98" t="str" cm="1">
        <f t="array" ref="F198">_xlfn.LET(
  _xlpm.tag, UPPER(TRIM(A198)),
  _xlpm.kw, N(C198),
  _xlpm.flc, N(D198),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98" t="str" cm="1">
        <f t="array" ref="G198">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199" spans="1:12">
      <c r="A199" t="s">
        <v>194</v>
      </c>
      <c r="B199" s="10" t="s">
        <v>15</v>
      </c>
      <c r="C199" s="28">
        <v>10</v>
      </c>
      <c r="D199">
        <v>15.841928118008026</v>
      </c>
      <c r="E199" s="27" t="str" cm="1">
        <f t="array" ref="E199">_xlfn.LET(
  _xlpm.tag, UPPER(TRIM(A199)),
  _xlpm.kw, N(C199),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199" t="str" cm="1">
        <f t="array" ref="F199">_xlfn.LET(
  _xlpm.tag, UPPER(TRIM(A199)),
  _xlpm.kw, N(C199),
  _xlpm.flc, N(D199),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199" t="str" cm="1">
        <f t="array" ref="G199">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200" spans="1:12">
      <c r="A200" t="s">
        <v>195</v>
      </c>
      <c r="B200" s="10" t="s">
        <v>15</v>
      </c>
      <c r="C200" s="28">
        <v>0.3</v>
      </c>
      <c r="D200">
        <v>0.82653538006998406</v>
      </c>
      <c r="E200" s="27" t="str" cm="1">
        <f t="array" ref="E200">_xlfn.LET(
  _xlpm.tag, UPPER(TRIM(A200)),
  _xlpm.kw, N(C200),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00" t="str" cm="1">
        <f t="array" ref="F200">_xlfn.LET(
  _xlpm.tag, UPPER(TRIM(A200)),
  _xlpm.kw, N(C200),
  _xlpm.flc, N(D200),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200" t="str" cm="1">
        <f t="array" ref="G200">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201" spans="1:12">
      <c r="A201" t="s">
        <v>196</v>
      </c>
      <c r="B201" s="10" t="s">
        <v>15</v>
      </c>
      <c r="C201" s="28">
        <v>1</v>
      </c>
      <c r="D201">
        <v>2.7551179335666136</v>
      </c>
      <c r="E201" s="27" t="str" cm="1">
        <f t="array" ref="E201">_xlfn.LET(
  _xlpm.tag, UPPER(TRIM(A201)),
  _xlpm.kw, N(C201),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01" t="str" cm="1">
        <f t="array" ref="F201">_xlfn.LET(
  _xlpm.tag, UPPER(TRIM(A201)),
  _xlpm.kw, N(C201),
  _xlpm.flc, N(D201),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201" t="str" cm="1">
        <f t="array" ref="G201">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202" spans="1:12">
      <c r="A202" t="s">
        <v>197</v>
      </c>
      <c r="B202" s="10" t="s">
        <v>15</v>
      </c>
      <c r="C202" s="28">
        <v>1</v>
      </c>
      <c r="D202">
        <v>2.7551179335666136</v>
      </c>
      <c r="E202" s="27" t="str" cm="1">
        <f t="array" ref="E202">_xlfn.LET(
  _xlpm.tag, UPPER(TRIM(A202)),
  _xlpm.kw, N(C202),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02" t="str" cm="1">
        <f t="array" ref="F202">_xlfn.LET(
  _xlpm.tag, UPPER(TRIM(A202)),
  _xlpm.kw, N(C202),
  _xlpm.flc, N(D202),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202" t="str" cm="1">
        <f t="array" ref="G202">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203" spans="1:12">
      <c r="A203" t="s">
        <v>198</v>
      </c>
      <c r="B203" s="10" t="s">
        <v>15</v>
      </c>
      <c r="C203" s="28">
        <v>1</v>
      </c>
      <c r="D203">
        <v>2.7551179335666136</v>
      </c>
      <c r="E203" s="27" t="str" cm="1">
        <f t="array" ref="E203">_xlfn.LET(
  _xlpm.tag, UPPER(TRIM(A203)),
  _xlpm.kw, N(C203),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03" t="str" cm="1">
        <f t="array" ref="F203">_xlfn.LET(
  _xlpm.tag, UPPER(TRIM(A203)),
  _xlpm.kw, N(C203),
  _xlpm.flc, N(D203),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203" t="str" cm="1">
        <f t="array" ref="G203">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204" spans="1:12">
      <c r="A204" t="s">
        <v>199</v>
      </c>
      <c r="B204" s="10" t="s">
        <v>15</v>
      </c>
      <c r="C204" s="28">
        <v>1</v>
      </c>
      <c r="D204">
        <v>2.7551179335666136</v>
      </c>
      <c r="E204" s="27" t="str" cm="1">
        <f t="array" ref="E204">_xlfn.LET(
  _xlpm.tag, UPPER(TRIM(A204)),
  _xlpm.kw, N(C204),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04" t="str" cm="1">
        <f t="array" ref="F204">_xlfn.LET(
  _xlpm.tag, UPPER(TRIM(A204)),
  _xlpm.kw, N(C204),
  _xlpm.flc, N(D204),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204" t="str" cm="1">
        <f t="array" ref="G204">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205" spans="1:12">
      <c r="A205" t="s">
        <v>200</v>
      </c>
      <c r="B205" s="10" t="s">
        <v>15</v>
      </c>
      <c r="C205" s="28">
        <v>1</v>
      </c>
      <c r="D205">
        <v>2.7551179335666136</v>
      </c>
      <c r="E205" s="27" t="str" cm="1">
        <f t="array" ref="E205">_xlfn.LET(
  _xlpm.tag, UPPER(TRIM(A205)),
  _xlpm.kw, N(C205),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05" t="str" cm="1">
        <f t="array" ref="F205">_xlfn.LET(
  _xlpm.tag, UPPER(TRIM(A205)),
  _xlpm.kw, N(C205),
  _xlpm.flc, N(D205),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205" t="str" cm="1">
        <f t="array" ref="G205">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206" spans="1:12">
      <c r="A206" t="s">
        <v>201</v>
      </c>
      <c r="B206" s="10" t="s">
        <v>15</v>
      </c>
      <c r="C206" s="28">
        <v>1</v>
      </c>
      <c r="D206">
        <v>2.7551179335666136</v>
      </c>
      <c r="E206" s="27" t="str" cm="1">
        <f t="array" ref="E206">_xlfn.LET(
  _xlpm.tag, UPPER(TRIM(A206)),
  _xlpm.kw, N(C206),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06" t="str" cm="1">
        <f t="array" ref="F206">_xlfn.LET(
  _xlpm.tag, UPPER(TRIM(A206)),
  _xlpm.kw, N(C206),
  _xlpm.flc, N(D206),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206" t="str" cm="1">
        <f t="array" ref="G206">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207" spans="1:12">
      <c r="A207" t="s">
        <v>202</v>
      </c>
      <c r="B207" s="10" t="s">
        <v>15</v>
      </c>
      <c r="C207" s="28">
        <v>1</v>
      </c>
      <c r="D207">
        <v>2.7551179335666136</v>
      </c>
      <c r="E207" t="str" cm="1">
        <f t="array" ref="E207">_xlfn.LET(
  _xlpm.tag, UPPER(TRIM(A207)),
  _xlpm.kw, N(C207),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07" t="str" cm="1">
        <f t="array" ref="F207">_xlfn.LET(
  _xlpm.tag, UPPER(TRIM(A207)),
  _xlpm.kw, N(C207),
  _xlpm.flc, N(D207),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207" t="str" cm="1">
        <f t="array" ref="G207">_xlfn.LET(
  _xlpm.c, UPPER(TRIM(_81IK610001891011[[#This Row],[Starter Type]])),
  _xlpm.kw, N(_81IK610001891011[[#This Row],[RATED POWER]]),
  _xlpm.flc, N(_81IK610001891011[[#This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208" spans="1:12">
      <c r="I208" s="10" t="s">
        <v>50</v>
      </c>
      <c r="J208" s="10" t="s">
        <v>51</v>
      </c>
      <c r="K208" s="10" t="s">
        <v>52</v>
      </c>
      <c r="L208" s="10" t="s">
        <v>53</v>
      </c>
    </row>
    <row r="209" spans="1:18">
      <c r="I209">
        <f>I210*1000</f>
        <v>4000</v>
      </c>
      <c r="J209">
        <f>800*J210</f>
        <v>800</v>
      </c>
      <c r="K209">
        <f>400*K210</f>
        <v>0</v>
      </c>
      <c r="L209" s="34">
        <f>I209+J209+K209</f>
        <v>4800</v>
      </c>
      <c r="N209">
        <f>L209+(1200)+600</f>
        <v>6600</v>
      </c>
      <c r="O209" s="10" t="s">
        <v>55</v>
      </c>
    </row>
    <row r="210" spans="1:18">
      <c r="I210" cm="1">
        <f t="array" ref="I210">ROUNDUP(
  _xlfn.LET(
    _xlpm.arrange,$I$3,
    _xlpm.capE,IF(_xlpm.arrange="B2B",144,72),
    _xlpm.rng,G149:G207,
    _xlpm.totalE,SUMPRODUCT(
      IFERROR(
        VALUE(_xlfn.TEXTBEFORE(_xlpm.rng,"E")) / IFERROR(VALUE(_xlfn.TEXTAFTER(_xlpm.rng,"/")),1),
        0
      )
    ),
    CEILING((1+$J$4)*_xlpm.totalE/_xlpm.capE,1)
  ),
0)</f>
        <v>4</v>
      </c>
      <c r="J210">
        <v>1</v>
      </c>
      <c r="K210">
        <v>0</v>
      </c>
      <c r="L210" s="34">
        <f>I210+J210+K210</f>
        <v>5</v>
      </c>
    </row>
    <row r="211" spans="1:18">
      <c r="M211" t="s">
        <v>56</v>
      </c>
    </row>
    <row r="216" spans="1:18" ht="22.8">
      <c r="A216" s="56" t="s">
        <v>203</v>
      </c>
    </row>
    <row r="217" spans="1:18">
      <c r="A217" s="49"/>
    </row>
    <row r="218" spans="1:18">
      <c r="A218" s="23" t="s">
        <v>4</v>
      </c>
      <c r="B218" s="24" t="s">
        <v>5</v>
      </c>
      <c r="C218" s="24" t="s">
        <v>6</v>
      </c>
      <c r="D218" s="24" t="s">
        <v>7</v>
      </c>
      <c r="E218" s="24" t="s">
        <v>8</v>
      </c>
      <c r="F218" s="24" t="s">
        <v>9</v>
      </c>
      <c r="G218" s="25" t="s">
        <v>10</v>
      </c>
      <c r="H218" s="24" t="s">
        <v>11</v>
      </c>
      <c r="I218" s="10"/>
      <c r="Q218" s="10" t="s">
        <v>12</v>
      </c>
      <c r="R218" s="10" t="s">
        <v>13</v>
      </c>
    </row>
    <row r="219" spans="1:18">
      <c r="A219" t="s">
        <v>204</v>
      </c>
      <c r="B219" s="10" t="s">
        <v>15</v>
      </c>
      <c r="C219" s="28">
        <v>80.3</v>
      </c>
      <c r="D219">
        <v>127.21068278760444</v>
      </c>
      <c r="E219" s="27" t="str" cm="1">
        <f t="array" ref="E219">_xlfn.LET(
  _xlpm.tag, UPPER(TRIM(A219)),
  _xlpm.kw, N(C219),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219" s="27" t="str" cm="1">
        <f t="array" ref="F219">_xlfn.LET(
  _xlpm.tag, UPPER(TRIM(A219)),
  _xlpm.kw, N(C219),
  _xlpm.flc, N(D219),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19" s="27" t="str" cm="1">
        <f t="array" ref="G219">_xlfn.LET(
  _xlpm.c, UPPER(TRIM(_81IK61000189101112[[#This Row],[Starter Type]])),
  _xlpm.kw, N(_81IK61000189101112[[#This Row],[RATED POWER]]),
  _xlpm.flc, N(_81IK61000189101112[[#This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I219" s="10"/>
      <c r="N219" s="29" t="s">
        <v>16</v>
      </c>
      <c r="O219" s="29" t="s">
        <v>17</v>
      </c>
      <c r="P219" s="29" t="s">
        <v>18</v>
      </c>
      <c r="Q219">
        <f t="shared" ref="Q219:Q232" si="9">COUNTIFS($E$4:$E$18,N219,$F$4:$F$18,O219,$G$4:$G$18,P219)</f>
        <v>0</v>
      </c>
      <c r="R219">
        <f>ROUNDUP(Q219*0.2,0)</f>
        <v>0</v>
      </c>
    </row>
    <row r="220" spans="1:18">
      <c r="A220" t="s">
        <v>205</v>
      </c>
      <c r="B220" s="10" t="s">
        <v>15</v>
      </c>
      <c r="C220" s="28">
        <v>80.3</v>
      </c>
      <c r="D220">
        <v>127.21068278760444</v>
      </c>
      <c r="E220" s="27" t="str" cm="1">
        <f t="array" ref="E220">_xlfn.LET(
  _xlpm.tag, UPPER(TRIM(A220)),
  _xlpm.kw, N(C220),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220" s="27" t="str" cm="1">
        <f t="array" ref="F220">_xlfn.LET(
  _xlpm.tag, UPPER(TRIM(A220)),
  _xlpm.kw, N(C220),
  _xlpm.flc, N(D220),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20" s="27" t="str" cm="1">
        <f t="array" ref="G220">_xlfn.LET(
  _xlpm.c, UPPER(TRIM(_81IK61000189101112[[#This Row],[Starter Type]])),
  _xlpm.kw, N(_81IK61000189101112[[#This Row],[RATED POWER]]),
  _xlpm.flc, N(_81IK61000189101112[[#This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N220" s="33" t="s">
        <v>20</v>
      </c>
      <c r="O220" s="33" t="s">
        <v>21</v>
      </c>
      <c r="P220" s="33" t="s">
        <v>22</v>
      </c>
      <c r="Q220">
        <f t="shared" si="9"/>
        <v>2</v>
      </c>
      <c r="R220" s="34">
        <f t="shared" ref="R220:R232" si="10">ROUNDUP(Q220*0.2,0)</f>
        <v>1</v>
      </c>
    </row>
    <row r="221" spans="1:18">
      <c r="A221" t="s">
        <v>206</v>
      </c>
      <c r="B221" s="10" t="s">
        <v>15</v>
      </c>
      <c r="C221" s="28">
        <v>80.3</v>
      </c>
      <c r="D221">
        <v>127.21068278760444</v>
      </c>
      <c r="E221" s="27" t="str" cm="1">
        <f t="array" ref="E221">_xlfn.LET(
  _xlpm.tag, UPPER(TRIM(A221)),
  _xlpm.kw, N(C221),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221" s="27" t="str" cm="1">
        <f t="array" ref="F221">_xlfn.LET(
  _xlpm.tag, UPPER(TRIM(A221)),
  _xlpm.kw, N(C221),
  _xlpm.flc, N(D221),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21" s="27" t="str" cm="1">
        <f t="array" ref="G221">_xlfn.LET(
  _xlpm.c, UPPER(TRIM(_81IK61000189101112[[#This Row],[Starter Type]])),
  _xlpm.kw, N(_81IK61000189101112[[#This Row],[RATED POWER]]),
  _xlpm.flc, N(_81IK61000189101112[[#This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N221" s="29" t="s">
        <v>24</v>
      </c>
      <c r="O221" s="29" t="s">
        <v>25</v>
      </c>
      <c r="P221" s="29" t="s">
        <v>22</v>
      </c>
      <c r="Q221">
        <f t="shared" si="9"/>
        <v>0</v>
      </c>
      <c r="R221">
        <f t="shared" si="10"/>
        <v>0</v>
      </c>
    </row>
    <row r="222" spans="1:18">
      <c r="A222" t="s">
        <v>207</v>
      </c>
      <c r="B222" s="10" t="s">
        <v>15</v>
      </c>
      <c r="C222" s="28">
        <v>140.80000000000001</v>
      </c>
      <c r="D222">
        <v>223.05434790155303</v>
      </c>
      <c r="E222" s="27" t="str" cm="1">
        <f t="array" ref="E222">_xlfn.LET(
  _xlpm.tag, UPPER(TRIM(A222)),
  _xlpm.kw, N(C222),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22" s="27" t="str" cm="1">
        <f t="array" ref="F222">_xlfn.LET(
  _xlpm.tag, UPPER(TRIM(A222)),
  _xlpm.kw, N(C222),
  _xlpm.flc, N(D222),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&gt; 160A, per Dwg LV3)</v>
      </c>
      <c r="G222" s="27" t="str" cm="1">
        <f t="array" ref="G222">_xlfn.LET(
  _xlpm.c, UPPER(TRIM(_81IK61000189101112[[#This Row],[Starter Type]])),
  _xlpm.kw, N(_81IK61000189101112[[#This Row],[RATED POWER]]),
  _xlpm.flc, N(_81IK61000189101112[[#This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16E</v>
      </c>
      <c r="N222" s="29" t="s">
        <v>24</v>
      </c>
      <c r="O222" s="29" t="s">
        <v>25</v>
      </c>
      <c r="P222" s="29" t="s">
        <v>27</v>
      </c>
      <c r="Q222">
        <f t="shared" si="9"/>
        <v>0</v>
      </c>
      <c r="R222">
        <f t="shared" si="10"/>
        <v>0</v>
      </c>
    </row>
    <row r="223" spans="1:18">
      <c r="A223" t="s">
        <v>208</v>
      </c>
      <c r="B223" s="10" t="s">
        <v>15</v>
      </c>
      <c r="C223" s="28">
        <v>140.80000000000001</v>
      </c>
      <c r="D223">
        <v>223.05434790155303</v>
      </c>
      <c r="E223" s="27" t="str" cm="1">
        <f t="array" ref="E223">_xlfn.LET(
  _xlpm.tag, UPPER(TRIM(A223)),
  _xlpm.kw, N(C223),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23" s="27" t="str" cm="1">
        <f t="array" ref="F223">_xlfn.LET(
  _xlpm.tag, UPPER(TRIM(A223)),
  _xlpm.kw, N(C223),
  _xlpm.flc, N(D223),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&gt; 160A, per Dwg LV3)</v>
      </c>
      <c r="G223" s="27" t="str" cm="1">
        <f t="array" ref="G223">_xlfn.LET(
  _xlpm.c, UPPER(TRIM(_81IK61000189101112[[#This Row],[Starter Type]])),
  _xlpm.kw, N(_81IK61000189101112[[#This Row],[RATED POWER]]),
  _xlpm.flc, N(_81IK61000189101112[[#This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16E</v>
      </c>
      <c r="N223" s="29" t="s">
        <v>29</v>
      </c>
      <c r="O223" s="29" t="s">
        <v>17</v>
      </c>
      <c r="P223" s="29" t="s">
        <v>18</v>
      </c>
      <c r="Q223">
        <f t="shared" si="9"/>
        <v>0</v>
      </c>
      <c r="R223">
        <f t="shared" si="10"/>
        <v>0</v>
      </c>
    </row>
    <row r="224" spans="1:18">
      <c r="A224" t="s">
        <v>209</v>
      </c>
      <c r="B224" s="10" t="s">
        <v>15</v>
      </c>
      <c r="C224" s="28">
        <v>140.80000000000001</v>
      </c>
      <c r="D224">
        <v>223.05434790155303</v>
      </c>
      <c r="E224" s="27" t="str" cm="1">
        <f t="array" ref="E224">_xlfn.LET(
  _xlpm.tag, UPPER(TRIM(A224)),
  _xlpm.kw, N(C224),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24" s="27" t="str" cm="1">
        <f t="array" ref="F224">_xlfn.LET(
  _xlpm.tag, UPPER(TRIM(A224)),
  _xlpm.kw, N(C224),
  _xlpm.flc, N(D224),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&gt; 160A, per Dwg LV3)</v>
      </c>
      <c r="G224" s="27" t="str" cm="1">
        <f t="array" ref="G224">_xlfn.LET(
  _xlpm.c, UPPER(TRIM(_81IK61000189101112[[#This Row],[Starter Type]])),
  _xlpm.kw, N(_81IK61000189101112[[#This Row],[RATED POWER]]),
  _xlpm.flc, N(_81IK61000189101112[[#This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16E</v>
      </c>
      <c r="N224" s="29" t="s">
        <v>20</v>
      </c>
      <c r="O224" s="29" t="s">
        <v>31</v>
      </c>
      <c r="P224" s="29" t="s">
        <v>32</v>
      </c>
      <c r="Q224">
        <f t="shared" si="9"/>
        <v>0</v>
      </c>
      <c r="R224">
        <f t="shared" si="10"/>
        <v>0</v>
      </c>
    </row>
    <row r="225" spans="1:18">
      <c r="A225" t="s">
        <v>210</v>
      </c>
      <c r="B225" s="10" t="s">
        <v>15</v>
      </c>
      <c r="C225" s="28">
        <v>7.64</v>
      </c>
      <c r="D225">
        <v>12.10323308215813</v>
      </c>
      <c r="E225" s="27" t="str" cm="1">
        <f t="array" ref="E225">_xlfn.LET(
  _xlpm.tag, UPPER(TRIM(A225)),
  _xlpm.kw, N(C225),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25" s="27" t="str" cm="1">
        <f t="array" ref="F225">_xlfn.LET(
  _xlpm.tag, UPPER(TRIM(A225)),
  _xlpm.kw, N(C225),
  _xlpm.flc, N(D225),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25" s="27" t="str" cm="1">
        <f t="array" ref="G225">_xlfn.LET(
  _xlpm.c, UPPER(TRIM(_81IK61000189101112[[#This Row],[Starter Type]])),
  _xlpm.kw, N(_81IK61000189101112[[#This Row],[RATED POWER]]),
  _xlpm.flc, N(_81IK61000189101112[[#This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25" s="29" t="s">
        <v>20</v>
      </c>
      <c r="O225" s="29" t="s">
        <v>21</v>
      </c>
      <c r="P225" s="29" t="s">
        <v>32</v>
      </c>
      <c r="Q225">
        <f t="shared" si="9"/>
        <v>1</v>
      </c>
      <c r="R225">
        <f t="shared" si="10"/>
        <v>1</v>
      </c>
    </row>
    <row r="226" spans="1:18">
      <c r="A226" t="s">
        <v>211</v>
      </c>
      <c r="B226" s="10" t="s">
        <v>15</v>
      </c>
      <c r="C226" s="28">
        <v>7.64</v>
      </c>
      <c r="D226">
        <v>12.10323308215813</v>
      </c>
      <c r="E226" s="27" t="str" cm="1">
        <f t="array" ref="E226">_xlfn.LET(
  _xlpm.tag, UPPER(TRIM(A226)),
  _xlpm.kw, N(C226),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26" s="27" t="str" cm="1">
        <f t="array" ref="F226">_xlfn.LET(
  _xlpm.tag, UPPER(TRIM(A226)),
  _xlpm.kw, N(C226),
  _xlpm.flc, N(D226),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26" s="27" t="str" cm="1">
        <f t="array" ref="G226">_xlfn.LET(
  _xlpm.c, UPPER(TRIM(_81IK61000189101112[[#This Row],[Starter Type]])),
  _xlpm.kw, N(_81IK61000189101112[[#This Row],[RATED POWER]]),
  _xlpm.flc, N(_81IK61000189101112[[#This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26" s="33" t="s">
        <v>20</v>
      </c>
      <c r="O226" s="33" t="s">
        <v>21</v>
      </c>
      <c r="P226" s="33" t="s">
        <v>27</v>
      </c>
      <c r="Q226">
        <f t="shared" si="9"/>
        <v>0</v>
      </c>
      <c r="R226" s="34">
        <f t="shared" si="10"/>
        <v>0</v>
      </c>
    </row>
    <row r="227" spans="1:18">
      <c r="A227" t="s">
        <v>212</v>
      </c>
      <c r="B227" s="10" t="s">
        <v>15</v>
      </c>
      <c r="C227" s="28">
        <v>7.64</v>
      </c>
      <c r="D227">
        <v>12.10323308215813</v>
      </c>
      <c r="E227" s="27" t="str" cm="1">
        <f t="array" ref="E227">_xlfn.LET(
  _xlpm.tag, UPPER(TRIM(A227)),
  _xlpm.kw, N(C227),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27" s="27" t="str" cm="1">
        <f t="array" ref="F227">_xlfn.LET(
  _xlpm.tag, UPPER(TRIM(A227)),
  _xlpm.kw, N(C227),
  _xlpm.flc, N(D227),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27" s="27" t="str" cm="1">
        <f t="array" ref="G227">_xlfn.LET(
  _xlpm.c, UPPER(TRIM(_81IK61000189101112[[#This Row],[Starter Type]])),
  _xlpm.kw, N(_81IK61000189101112[[#This Row],[RATED POWER]]),
  _xlpm.flc, N(_81IK61000189101112[[#This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27" s="29" t="s">
        <v>36</v>
      </c>
      <c r="O227" s="29" t="s">
        <v>37</v>
      </c>
      <c r="P227" s="29" t="s">
        <v>32</v>
      </c>
      <c r="Q227">
        <f t="shared" si="9"/>
        <v>0</v>
      </c>
      <c r="R227">
        <f t="shared" si="10"/>
        <v>0</v>
      </c>
    </row>
    <row r="228" spans="1:18">
      <c r="A228" t="s">
        <v>213</v>
      </c>
      <c r="B228" s="10" t="s">
        <v>15</v>
      </c>
      <c r="C228" s="28">
        <v>2.48</v>
      </c>
      <c r="D228">
        <v>3.9287981732659905</v>
      </c>
      <c r="E228" s="27" t="str" cm="1">
        <f t="array" ref="E228">_xlfn.LET(
  _xlpm.tag, UPPER(TRIM(A228)),
  _xlpm.kw, N(C228),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28" s="27" t="str" cm="1">
        <f t="array" ref="F228">_xlfn.LET(
  _xlpm.tag, UPPER(TRIM(A228)),
  _xlpm.kw, N(C228),
  _xlpm.flc, N(D228),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228" s="27" t="str" cm="1">
        <f t="array" ref="G228">_xlfn.LET(
  _xlpm.c, UPPER(TRIM(_81IK61000189101112[[#This Row],[Starter Type]])),
  _xlpm.kw, N(_81IK61000189101112[[#This Row],[RATED POWER]]),
  _xlpm.flc, N(_81IK61000189101112[[#This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28" s="29" t="s">
        <v>16</v>
      </c>
      <c r="O228" s="29" t="s">
        <v>17</v>
      </c>
      <c r="P228" s="29" t="s">
        <v>39</v>
      </c>
      <c r="Q228">
        <f t="shared" si="9"/>
        <v>0</v>
      </c>
      <c r="R228">
        <f t="shared" si="10"/>
        <v>0</v>
      </c>
    </row>
    <row r="229" spans="1:18">
      <c r="A229" t="s">
        <v>214</v>
      </c>
      <c r="B229" s="10" t="s">
        <v>15</v>
      </c>
      <c r="C229" s="28">
        <v>0.37</v>
      </c>
      <c r="D229">
        <v>0.58615134036629701</v>
      </c>
      <c r="E229" s="27" t="str" cm="1">
        <f t="array" ref="E229">_xlfn.LET(
  _xlpm.tag, UPPER(TRIM(A229)),
  _xlpm.kw, N(C229),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29" s="27" t="str" cm="1">
        <f t="array" ref="F229">_xlfn.LET(
  _xlpm.tag, UPPER(TRIM(A229)),
  _xlpm.kw, N(C229),
  _xlpm.flc, N(D229),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29" s="27" t="str" cm="1">
        <f t="array" ref="G229">_xlfn.LET(
  _xlpm.c, UPPER(TRIM(_81IK61000189101112[[#This Row],[Starter Type]])),
  _xlpm.kw, N(_81IK61000189101112[[#This Row],[RATED POWER]]),
  _xlpm.flc, N(_81IK61000189101112[[#This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29" s="33" t="s">
        <v>41</v>
      </c>
      <c r="O229" s="33" t="s">
        <v>17</v>
      </c>
      <c r="P229" s="33" t="s">
        <v>32</v>
      </c>
      <c r="Q229">
        <f t="shared" si="9"/>
        <v>0</v>
      </c>
      <c r="R229" s="34">
        <f t="shared" si="10"/>
        <v>0</v>
      </c>
    </row>
    <row r="230" spans="1:18">
      <c r="A230" t="s">
        <v>215</v>
      </c>
      <c r="B230" s="10" t="s">
        <v>15</v>
      </c>
      <c r="C230" s="28">
        <v>0.37</v>
      </c>
      <c r="D230">
        <v>0.58615134036629701</v>
      </c>
      <c r="E230" s="27" t="str" cm="1">
        <f t="array" ref="E230">_xlfn.LET(
  _xlpm.tag, UPPER(TRIM(A230)),
  _xlpm.kw, N(C230),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30" s="27" t="str" cm="1">
        <f t="array" ref="F230">_xlfn.LET(
  _xlpm.tag, UPPER(TRIM(A230)),
  _xlpm.kw, N(C230),
  _xlpm.flc, N(D230),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30" s="27" t="str" cm="1">
        <f t="array" ref="G230">_xlfn.LET(
  _xlpm.c, UPPER(TRIM(_81IK61000189101112[[#This Row],[Starter Type]])),
  _xlpm.kw, N(_81IK61000189101112[[#This Row],[RATED POWER]]),
  _xlpm.flc, N(_81IK61000189101112[[#This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30" s="29" t="s">
        <v>43</v>
      </c>
      <c r="O230" s="29" t="s">
        <v>44</v>
      </c>
      <c r="P230" s="29" t="s">
        <v>22</v>
      </c>
      <c r="Q230">
        <f t="shared" si="9"/>
        <v>0</v>
      </c>
      <c r="R230">
        <f t="shared" si="10"/>
        <v>0</v>
      </c>
    </row>
    <row r="231" spans="1:18">
      <c r="A231" t="s">
        <v>216</v>
      </c>
      <c r="B231" s="10" t="s">
        <v>15</v>
      </c>
      <c r="C231" s="28">
        <v>0.5</v>
      </c>
      <c r="D231">
        <v>0.79209640590040131</v>
      </c>
      <c r="E231" s="27" t="str" cm="1">
        <f t="array" ref="E231">_xlfn.LET(
  _xlpm.tag, UPPER(TRIM(A231)),
  _xlpm.kw, N(C231),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31" s="27" t="str" cm="1">
        <f t="array" ref="F231">_xlfn.LET(
  _xlpm.tag, UPPER(TRIM(A231)),
  _xlpm.kw, N(C231),
  _xlpm.flc, N(D231),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31" s="27" t="str" cm="1">
        <f t="array" ref="G231">_xlfn.LET(
  _xlpm.c, UPPER(TRIM(_81IK61000189101112[[#This Row],[Starter Type]])),
  _xlpm.kw, N(_81IK61000189101112[[#This Row],[RATED POWER]]),
  _xlpm.flc, N(_81IK61000189101112[[#This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31" s="29" t="s">
        <v>36</v>
      </c>
      <c r="O231" s="29" t="s">
        <v>37</v>
      </c>
      <c r="P231" s="29" t="s">
        <v>27</v>
      </c>
      <c r="Q231">
        <f t="shared" si="9"/>
        <v>0</v>
      </c>
      <c r="R231">
        <f t="shared" si="10"/>
        <v>0</v>
      </c>
    </row>
    <row r="232" spans="1:18">
      <c r="A232" t="s">
        <v>217</v>
      </c>
      <c r="B232" s="10" t="s">
        <v>15</v>
      </c>
      <c r="C232" s="28">
        <v>0.5</v>
      </c>
      <c r="D232">
        <v>0.79209640590040131</v>
      </c>
      <c r="E232" s="27" t="str" cm="1">
        <f t="array" ref="E232">_xlfn.LET(
  _xlpm.tag, UPPER(TRIM(A232)),
  _xlpm.kw, N(C232),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32" s="27" t="str" cm="1">
        <f t="array" ref="F232">_xlfn.LET(
  _xlpm.tag, UPPER(TRIM(A232)),
  _xlpm.kw, N(C232),
  _xlpm.flc, N(D232),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32" s="27" t="str" cm="1">
        <f t="array" ref="G232">_xlfn.LET(
  _xlpm.c, UPPER(TRIM(_81IK61000189101112[[#This Row],[Starter Type]])),
  _xlpm.kw, N(_81IK61000189101112[[#This Row],[RATED POWER]]),
  _xlpm.flc, N(_81IK61000189101112[[#This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32" t="s">
        <v>36</v>
      </c>
      <c r="O232" t="s">
        <v>37</v>
      </c>
      <c r="P232" t="s">
        <v>18</v>
      </c>
      <c r="Q232">
        <f t="shared" si="9"/>
        <v>0</v>
      </c>
      <c r="R232">
        <f t="shared" si="10"/>
        <v>0</v>
      </c>
    </row>
    <row r="233" spans="1:18">
      <c r="A233" t="s">
        <v>218</v>
      </c>
      <c r="B233" s="10" t="s">
        <v>15</v>
      </c>
      <c r="C233" s="28">
        <v>0.5</v>
      </c>
      <c r="D233">
        <v>0.79209640590040131</v>
      </c>
      <c r="E233" t="str" cm="1">
        <f t="array" ref="E233">_xlfn.LET(
  _xlpm.tag, UPPER(TRIM(A233)),
  _xlpm.kw, N(C233),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33" t="str" cm="1">
        <f t="array" ref="F233">_xlfn.LET(
  _xlpm.tag, UPPER(TRIM(A233)),
  _xlpm.kw, N(C233),
  _xlpm.flc, N(D233),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33" s="27" t="str" cm="1">
        <f t="array" ref="G233">_xlfn.LET(
  _xlpm.c, UPPER(TRIM(_81IK61000189101112[[#This Row],[Starter Type]])),
  _xlpm.kw, N(_81IK61000189101112[[#This Row],[RATED POWER]]),
  _xlpm.flc, N(_81IK61000189101112[[#This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234" spans="1:18">
      <c r="A234" t="s">
        <v>219</v>
      </c>
      <c r="B234" s="10" t="s">
        <v>15</v>
      </c>
      <c r="C234" s="28">
        <v>0.5</v>
      </c>
      <c r="D234">
        <v>0.79209640590040131</v>
      </c>
      <c r="E234" t="str" cm="1">
        <f t="array" ref="E234">_xlfn.LET(
  _xlpm.tag, UPPER(TRIM(A234)),
  _xlpm.kw, N(C234),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34" t="str" cm="1">
        <f t="array" ref="F234">_xlfn.LET(
  _xlpm.tag, UPPER(TRIM(A234)),
  _xlpm.kw, N(C234),
  _xlpm.flc, N(D234),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34" s="27" t="str" cm="1">
        <f t="array" ref="G234">_xlfn.LET(
  _xlpm.c, UPPER(TRIM(_81IK61000189101112[[#This Row],[Starter Type]])),
  _xlpm.kw, N(_81IK61000189101112[[#This Row],[RATED POWER]]),
  _xlpm.flc, N(_81IK61000189101112[[#This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235" spans="1:18">
      <c r="A235" t="s">
        <v>220</v>
      </c>
      <c r="B235" s="10" t="s">
        <v>15</v>
      </c>
      <c r="C235" s="28">
        <v>6.05</v>
      </c>
      <c r="D235">
        <v>9.5843665113948564</v>
      </c>
      <c r="E235" t="str" cm="1">
        <f t="array" ref="E235">_xlfn.LET(
  _xlpm.tag, UPPER(TRIM(A235)),
  _xlpm.kw, N(C235),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35" t="str" cm="1">
        <f t="array" ref="F235">_xlfn.LET(
  _xlpm.tag, UPPER(TRIM(A235)),
  _xlpm.kw, N(C235),
  _xlpm.flc, N(D235),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235" s="27" t="str" cm="1">
        <f t="array" ref="G235">_xlfn.LET(
  _xlpm.c, UPPER(TRIM(_81IK61000189101112[[#This Row],[Starter Type]])),
  _xlpm.kw, N(_81IK61000189101112[[#This Row],[RATED POWER]]),
  _xlpm.flc, N(_81IK61000189101112[[#This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236" spans="1:18">
      <c r="I236" s="10" t="s">
        <v>50</v>
      </c>
      <c r="J236" s="10" t="s">
        <v>51</v>
      </c>
      <c r="K236" s="10" t="s">
        <v>52</v>
      </c>
      <c r="L236" s="10" t="s">
        <v>53</v>
      </c>
    </row>
    <row r="237" spans="1:18">
      <c r="I237">
        <f>I238*1000</f>
        <v>2000</v>
      </c>
      <c r="J237">
        <f>800*J238</f>
        <v>2400</v>
      </c>
      <c r="K237">
        <f>400*K238</f>
        <v>0</v>
      </c>
      <c r="L237" s="34">
        <f>I237+J237+K237</f>
        <v>4400</v>
      </c>
      <c r="N237">
        <f>L237+(1200*2)+600</f>
        <v>7400</v>
      </c>
      <c r="O237" s="10" t="s">
        <v>55</v>
      </c>
    </row>
    <row r="238" spans="1:18">
      <c r="I238" cm="1">
        <f t="array" ref="I238">ROUNDUP(
  _xlfn.LET(
    _xlpm.arrange,$I$3,
    _xlpm.capE,IF(_xlpm.arrange="B2B",144,72),
    _xlpm.rng,G219:G235,
    _xlpm.totalE,SUMPRODUCT(
      IFERROR(
        VALUE(_xlfn.TEXTBEFORE(_xlpm.rng,"E")) / IFERROR(VALUE(_xlfn.TEXTAFTER(_xlpm.rng,"/")),1),
        0
      )
    ),
    CEILING((1+$J$4)*_xlpm.totalE/_xlpm.capE,1)
  ),
0)</f>
        <v>2</v>
      </c>
      <c r="J238">
        <v>3</v>
      </c>
      <c r="K238">
        <v>0</v>
      </c>
      <c r="L238" s="34">
        <f>I238+J238+K238</f>
        <v>5</v>
      </c>
    </row>
    <row r="239" spans="1:18">
      <c r="M239" t="s">
        <v>56</v>
      </c>
    </row>
    <row r="241" spans="1:18" ht="22.8">
      <c r="A241" s="56" t="s">
        <v>221</v>
      </c>
    </row>
    <row r="242" spans="1:18">
      <c r="A242" s="49"/>
    </row>
    <row r="243" spans="1:18">
      <c r="A243" s="23" t="s">
        <v>4</v>
      </c>
      <c r="B243" s="24" t="s">
        <v>5</v>
      </c>
      <c r="C243" s="24" t="s">
        <v>6</v>
      </c>
      <c r="D243" s="24" t="s">
        <v>7</v>
      </c>
      <c r="E243" s="24" t="s">
        <v>8</v>
      </c>
      <c r="F243" s="24" t="s">
        <v>9</v>
      </c>
      <c r="G243" s="25" t="s">
        <v>10</v>
      </c>
      <c r="H243" s="24" t="s">
        <v>11</v>
      </c>
      <c r="I243" s="10"/>
      <c r="Q243" s="10" t="s">
        <v>12</v>
      </c>
      <c r="R243" s="10" t="s">
        <v>13</v>
      </c>
    </row>
    <row r="244" spans="1:18">
      <c r="A244" t="s">
        <v>222</v>
      </c>
      <c r="B244" s="10" t="s">
        <v>15</v>
      </c>
      <c r="C244" s="28">
        <v>96.8</v>
      </c>
      <c r="D244">
        <v>153.3498641823177</v>
      </c>
      <c r="E244" s="27" t="str" cm="1">
        <f t="array" ref="E244">_xlfn.LET(
  _xlpm.tag, UPPER(TRIM(A244)),
  _xlpm.kw, N(C244),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244" s="27" t="str" cm="1">
        <f t="array" ref="F244">_xlfn.LET(
  _xlpm.tag, UPPER(TRIM(A244)),
  _xlpm.kw, N(C244),
  _xlpm.flc, N(D244),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44" s="27" t="str" cm="1">
        <f t="array" ref="G244">_xlfn.LET(
  _xlpm.c, UPPER(TRIM(_81IK6100018910111213[[#This Row],[Starter Type]])),
  _xlpm.kw, N(_81IK6100018910111213[[#This Row],[RATED POWER]]),
  _xlpm.flc, N(_81IK6100018910111213[[#This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I244" s="10"/>
      <c r="N244" s="29" t="s">
        <v>16</v>
      </c>
      <c r="O244" s="29" t="s">
        <v>17</v>
      </c>
      <c r="P244" s="29" t="s">
        <v>18</v>
      </c>
      <c r="Q244">
        <f t="shared" ref="Q244:Q257" si="11">COUNTIFS($E$4:$E$18,N244,$F$4:$F$18,O244,$G$4:$G$18,P244)</f>
        <v>0</v>
      </c>
      <c r="R244">
        <f>ROUNDUP(Q244*0.2,0)</f>
        <v>0</v>
      </c>
    </row>
    <row r="245" spans="1:18">
      <c r="A245" t="s">
        <v>223</v>
      </c>
      <c r="B245" s="10" t="s">
        <v>15</v>
      </c>
      <c r="C245" s="28">
        <v>96.8</v>
      </c>
      <c r="D245">
        <v>153.3498641823177</v>
      </c>
      <c r="E245" s="27" t="str" cm="1">
        <f t="array" ref="E245">_xlfn.LET(
  _xlpm.tag, UPPER(TRIM(A245)),
  _xlpm.kw, N(C245),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245" s="27" t="str" cm="1">
        <f t="array" ref="F245">_xlfn.LET(
  _xlpm.tag, UPPER(TRIM(A245)),
  _xlpm.kw, N(C245),
  _xlpm.flc, N(D245),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45" s="27" t="str" cm="1">
        <f t="array" ref="G245">_xlfn.LET(
  _xlpm.c, UPPER(TRIM(_81IK6100018910111213[[#This Row],[Starter Type]])),
  _xlpm.kw, N(_81IK6100018910111213[[#This Row],[RATED POWER]]),
  _xlpm.flc, N(_81IK6100018910111213[[#This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N245" s="33" t="s">
        <v>20</v>
      </c>
      <c r="O245" s="33" t="s">
        <v>21</v>
      </c>
      <c r="P245" s="33" t="s">
        <v>22</v>
      </c>
      <c r="Q245">
        <f t="shared" si="11"/>
        <v>2</v>
      </c>
      <c r="R245" s="34">
        <f t="shared" ref="R245:R257" si="12">ROUNDUP(Q245*0.2,0)</f>
        <v>1</v>
      </c>
    </row>
    <row r="246" spans="1:18">
      <c r="A246" t="s">
        <v>224</v>
      </c>
      <c r="B246" s="10" t="s">
        <v>15</v>
      </c>
      <c r="C246" s="28">
        <v>154.4</v>
      </c>
      <c r="D246">
        <v>244.59937014204391</v>
      </c>
      <c r="E246" s="27" t="str" cm="1">
        <f t="array" ref="E246">_xlfn.LET(
  _xlpm.tag, UPPER(TRIM(A246)),
  _xlpm.kw, N(C246),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46" s="27" t="str" cm="1">
        <f t="array" ref="F246">_xlfn.LET(
  _xlpm.tag, UPPER(TRIM(A246)),
  _xlpm.kw, N(C246),
  _xlpm.flc, N(D246),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&gt; 160A, per Dwg LV3)</v>
      </c>
      <c r="G246" s="27" t="str" cm="1">
        <f t="array" ref="G246">_xlfn.LET(
  _xlpm.c, UPPER(TRIM(_81IK6100018910111213[[#This Row],[Starter Type]])),
  _xlpm.kw, N(_81IK6100018910111213[[#This Row],[RATED POWER]]),
  _xlpm.flc, N(_81IK6100018910111213[[#This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16E</v>
      </c>
      <c r="N246" s="29" t="s">
        <v>24</v>
      </c>
      <c r="O246" s="29" t="s">
        <v>25</v>
      </c>
      <c r="P246" s="29" t="s">
        <v>22</v>
      </c>
      <c r="Q246">
        <f t="shared" si="11"/>
        <v>0</v>
      </c>
      <c r="R246">
        <f t="shared" si="12"/>
        <v>0</v>
      </c>
    </row>
    <row r="247" spans="1:18">
      <c r="A247" t="s">
        <v>225</v>
      </c>
      <c r="B247" s="10" t="s">
        <v>15</v>
      </c>
      <c r="C247" s="28">
        <v>154.4</v>
      </c>
      <c r="D247">
        <v>244.59937014204391</v>
      </c>
      <c r="E247" s="27" t="str" cm="1">
        <f t="array" ref="E247">_xlfn.LET(
  _xlpm.tag, UPPER(TRIM(A247)),
  _xlpm.kw, N(C247),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47" s="27" t="str" cm="1">
        <f t="array" ref="F247">_xlfn.LET(
  _xlpm.tag, UPPER(TRIM(A247)),
  _xlpm.kw, N(C247),
  _xlpm.flc, N(D247),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&gt; 160A, per Dwg LV3)</v>
      </c>
      <c r="G247" s="27" t="str" cm="1">
        <f t="array" ref="G247">_xlfn.LET(
  _xlpm.c, UPPER(TRIM(_81IK6100018910111213[[#This Row],[Starter Type]])),
  _xlpm.kw, N(_81IK6100018910111213[[#This Row],[RATED POWER]]),
  _xlpm.flc, N(_81IK6100018910111213[[#This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16E</v>
      </c>
      <c r="N247" s="29" t="s">
        <v>24</v>
      </c>
      <c r="O247" s="29" t="s">
        <v>25</v>
      </c>
      <c r="P247" s="29" t="s">
        <v>27</v>
      </c>
      <c r="Q247">
        <f t="shared" si="11"/>
        <v>0</v>
      </c>
      <c r="R247">
        <f t="shared" si="12"/>
        <v>0</v>
      </c>
    </row>
    <row r="248" spans="1:18">
      <c r="A248" t="s">
        <v>226</v>
      </c>
      <c r="B248" s="10" t="s">
        <v>15</v>
      </c>
      <c r="C248" s="28">
        <v>2.23</v>
      </c>
      <c r="D248">
        <v>3.5327499703157899</v>
      </c>
      <c r="E248" s="27" t="str" cm="1">
        <f t="array" ref="E248">_xlfn.LET(
  _xlpm.tag, UPPER(TRIM(A248)),
  _xlpm.kw, N(C248),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48" s="27" t="str" cm="1">
        <f t="array" ref="F248">_xlfn.LET(
  _xlpm.tag, UPPER(TRIM(A248)),
  _xlpm.kw, N(C248),
  _xlpm.flc, N(D248),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248" s="27" t="str" cm="1">
        <f t="array" ref="G248">_xlfn.LET(
  _xlpm.c, UPPER(TRIM(_81IK6100018910111213[[#This Row],[Starter Type]])),
  _xlpm.kw, N(_81IK6100018910111213[[#This Row],[RATED POWER]]),
  _xlpm.flc, N(_81IK6100018910111213[[#This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48" s="29" t="s">
        <v>29</v>
      </c>
      <c r="O248" s="29" t="s">
        <v>17</v>
      </c>
      <c r="P248" s="29" t="s">
        <v>18</v>
      </c>
      <c r="Q248">
        <f t="shared" si="11"/>
        <v>0</v>
      </c>
      <c r="R248">
        <f t="shared" si="12"/>
        <v>0</v>
      </c>
    </row>
    <row r="249" spans="1:18">
      <c r="A249" t="s">
        <v>227</v>
      </c>
      <c r="B249" s="10" t="s">
        <v>15</v>
      </c>
      <c r="C249" s="28">
        <v>0.37</v>
      </c>
      <c r="D249">
        <v>0.58615134036629701</v>
      </c>
      <c r="E249" s="27" t="str" cm="1">
        <f t="array" ref="E249">_xlfn.LET(
  _xlpm.tag, UPPER(TRIM(A249)),
  _xlpm.kw, N(C249),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49" s="27" t="str" cm="1">
        <f t="array" ref="F249">_xlfn.LET(
  _xlpm.tag, UPPER(TRIM(A249)),
  _xlpm.kw, N(C249),
  _xlpm.flc, N(D249),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49" s="27" t="str" cm="1">
        <f t="array" ref="G249">_xlfn.LET(
  _xlpm.c, UPPER(TRIM(_81IK6100018910111213[[#This Row],[Starter Type]])),
  _xlpm.kw, N(_81IK6100018910111213[[#This Row],[RATED POWER]]),
  _xlpm.flc, N(_81IK6100018910111213[[#This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49" s="29" t="s">
        <v>20</v>
      </c>
      <c r="O249" s="29" t="s">
        <v>31</v>
      </c>
      <c r="P249" s="29" t="s">
        <v>32</v>
      </c>
      <c r="Q249">
        <f t="shared" si="11"/>
        <v>0</v>
      </c>
      <c r="R249">
        <f t="shared" si="12"/>
        <v>0</v>
      </c>
    </row>
    <row r="250" spans="1:18">
      <c r="A250" t="s">
        <v>228</v>
      </c>
      <c r="B250" s="10" t="s">
        <v>15</v>
      </c>
      <c r="C250" s="28">
        <v>0.37</v>
      </c>
      <c r="D250">
        <v>0.58615134036629701</v>
      </c>
      <c r="E250" s="27" t="str" cm="1">
        <f t="array" ref="E250">_xlfn.LET(
  _xlpm.tag, UPPER(TRIM(A250)),
  _xlpm.kw, N(C250),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50" s="27" t="str" cm="1">
        <f t="array" ref="F250">_xlfn.LET(
  _xlpm.tag, UPPER(TRIM(A250)),
  _xlpm.kw, N(C250),
  _xlpm.flc, N(D250),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50" s="27" t="str" cm="1">
        <f t="array" ref="G250">_xlfn.LET(
  _xlpm.c, UPPER(TRIM(_81IK6100018910111213[[#This Row],[Starter Type]])),
  _xlpm.kw, N(_81IK6100018910111213[[#This Row],[RATED POWER]]),
  _xlpm.flc, N(_81IK6100018910111213[[#This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50" s="29" t="s">
        <v>20</v>
      </c>
      <c r="O250" s="29" t="s">
        <v>21</v>
      </c>
      <c r="P250" s="29" t="s">
        <v>32</v>
      </c>
      <c r="Q250">
        <f t="shared" si="11"/>
        <v>1</v>
      </c>
      <c r="R250">
        <f t="shared" si="12"/>
        <v>1</v>
      </c>
    </row>
    <row r="251" spans="1:18">
      <c r="A251" t="s">
        <v>229</v>
      </c>
      <c r="B251" s="10" t="s">
        <v>15</v>
      </c>
      <c r="C251" s="28">
        <v>1</v>
      </c>
      <c r="D251">
        <v>1.5841928118008026</v>
      </c>
      <c r="E251" s="27" t="str" cm="1">
        <f t="array" ref="E251">_xlfn.LET(
  _xlpm.tag, UPPER(TRIM(A251)),
  _xlpm.kw, N(C251),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51" s="27" t="str" cm="1">
        <f t="array" ref="F251">_xlfn.LET(
  _xlpm.tag, UPPER(TRIM(A251)),
  _xlpm.kw, N(C251),
  _xlpm.flc, N(D251),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51" s="27" t="str" cm="1">
        <f t="array" ref="G251">_xlfn.LET(
  _xlpm.c, UPPER(TRIM(_81IK6100018910111213[[#This Row],[Starter Type]])),
  _xlpm.kw, N(_81IK6100018910111213[[#This Row],[RATED POWER]]),
  _xlpm.flc, N(_81IK6100018910111213[[#This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51" s="33" t="s">
        <v>20</v>
      </c>
      <c r="O251" s="33" t="s">
        <v>21</v>
      </c>
      <c r="P251" s="33" t="s">
        <v>27</v>
      </c>
      <c r="Q251">
        <f t="shared" si="11"/>
        <v>0</v>
      </c>
      <c r="R251" s="34">
        <f t="shared" si="12"/>
        <v>0</v>
      </c>
    </row>
    <row r="252" spans="1:18">
      <c r="A252" t="s">
        <v>230</v>
      </c>
      <c r="B252" s="10" t="s">
        <v>15</v>
      </c>
      <c r="C252" s="28">
        <v>1</v>
      </c>
      <c r="D252">
        <v>1.5841928118008026</v>
      </c>
      <c r="E252" s="27" t="str" cm="1">
        <f t="array" ref="E252">_xlfn.LET(
  _xlpm.tag, UPPER(TRIM(A252)),
  _xlpm.kw, N(C252),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52" s="27" t="str" cm="1">
        <f t="array" ref="F252">_xlfn.LET(
  _xlpm.tag, UPPER(TRIM(A252)),
  _xlpm.kw, N(C252),
  _xlpm.flc, N(D252),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52" s="27" t="str" cm="1">
        <f t="array" ref="G252">_xlfn.LET(
  _xlpm.c, UPPER(TRIM(_81IK6100018910111213[[#This Row],[Starter Type]])),
  _xlpm.kw, N(_81IK6100018910111213[[#This Row],[RATED POWER]]),
  _xlpm.flc, N(_81IK6100018910111213[[#This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52" s="29" t="s">
        <v>36</v>
      </c>
      <c r="O252" s="29" t="s">
        <v>37</v>
      </c>
      <c r="P252" s="29" t="s">
        <v>32</v>
      </c>
      <c r="Q252">
        <f t="shared" si="11"/>
        <v>0</v>
      </c>
      <c r="R252">
        <f t="shared" si="12"/>
        <v>0</v>
      </c>
    </row>
    <row r="253" spans="1:18">
      <c r="A253" t="s">
        <v>231</v>
      </c>
      <c r="B253" s="10" t="s">
        <v>15</v>
      </c>
      <c r="C253" s="28">
        <v>0.5</v>
      </c>
      <c r="D253">
        <v>0.79209640590040131</v>
      </c>
      <c r="E253" s="27" t="str" cm="1">
        <f t="array" ref="E253">_xlfn.LET(
  _xlpm.tag, UPPER(TRIM(A253)),
  _xlpm.kw, N(C253),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53" s="27" t="str" cm="1">
        <f t="array" ref="F253">_xlfn.LET(
  _xlpm.tag, UPPER(TRIM(A253)),
  _xlpm.kw, N(C253),
  _xlpm.flc, N(D253),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53" s="27" t="str" cm="1">
        <f t="array" ref="G253">_xlfn.LET(
  _xlpm.c, UPPER(TRIM(_81IK6100018910111213[[#This Row],[Starter Type]])),
  _xlpm.kw, N(_81IK6100018910111213[[#This Row],[RATED POWER]]),
  _xlpm.flc, N(_81IK6100018910111213[[#This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53" s="29" t="s">
        <v>16</v>
      </c>
      <c r="O253" s="29" t="s">
        <v>17</v>
      </c>
      <c r="P253" s="29" t="s">
        <v>39</v>
      </c>
      <c r="Q253">
        <f t="shared" si="11"/>
        <v>0</v>
      </c>
      <c r="R253">
        <f t="shared" si="12"/>
        <v>0</v>
      </c>
    </row>
    <row r="254" spans="1:18">
      <c r="A254" t="s">
        <v>232</v>
      </c>
      <c r="B254" s="10" t="s">
        <v>15</v>
      </c>
      <c r="C254" s="28">
        <v>0.5</v>
      </c>
      <c r="D254">
        <v>0.79209640590040131</v>
      </c>
      <c r="E254" s="27" t="str" cm="1">
        <f t="array" ref="E254">_xlfn.LET(
  _xlpm.tag, UPPER(TRIM(A254)),
  _xlpm.kw, N(C254),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54" s="27" t="str" cm="1">
        <f t="array" ref="F254">_xlfn.LET(
  _xlpm.tag, UPPER(TRIM(A254)),
  _xlpm.kw, N(C254),
  _xlpm.flc, N(D254),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54" s="27" t="str" cm="1">
        <f t="array" ref="G254">_xlfn.LET(
  _xlpm.c, UPPER(TRIM(_81IK6100018910111213[[#This Row],[Starter Type]])),
  _xlpm.kw, N(_81IK6100018910111213[[#This Row],[RATED POWER]]),
  _xlpm.flc, N(_81IK6100018910111213[[#This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54" s="33" t="s">
        <v>41</v>
      </c>
      <c r="O254" s="33" t="s">
        <v>17</v>
      </c>
      <c r="P254" s="33" t="s">
        <v>32</v>
      </c>
      <c r="Q254">
        <f t="shared" si="11"/>
        <v>0</v>
      </c>
      <c r="R254" s="34">
        <f t="shared" si="12"/>
        <v>0</v>
      </c>
    </row>
    <row r="255" spans="1:18">
      <c r="A255" t="s">
        <v>233</v>
      </c>
      <c r="B255" s="10" t="s">
        <v>15</v>
      </c>
      <c r="C255" s="28">
        <v>6.1</v>
      </c>
      <c r="D255">
        <v>9.6635761519848966</v>
      </c>
      <c r="E255" s="27" t="str" cm="1">
        <f t="array" ref="E255">_xlfn.LET(
  _xlpm.tag, UPPER(TRIM(A255)),
  _xlpm.kw, N(C255),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55" s="27" t="str" cm="1">
        <f t="array" ref="F255">_xlfn.LET(
  _xlpm.tag, UPPER(TRIM(A255)),
  _xlpm.kw, N(C255),
  _xlpm.flc, N(D255),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255" s="27" t="str" cm="1">
        <f t="array" ref="G255">_xlfn.LET(
  _xlpm.c, UPPER(TRIM(_81IK6100018910111213[[#This Row],[Starter Type]])),
  _xlpm.kw, N(_81IK6100018910111213[[#This Row],[RATED POWER]]),
  _xlpm.flc, N(_81IK6100018910111213[[#This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55" s="29" t="s">
        <v>43</v>
      </c>
      <c r="O255" s="29" t="s">
        <v>44</v>
      </c>
      <c r="P255" s="29" t="s">
        <v>22</v>
      </c>
      <c r="Q255">
        <f t="shared" si="11"/>
        <v>0</v>
      </c>
      <c r="R255">
        <f t="shared" si="12"/>
        <v>0</v>
      </c>
    </row>
    <row r="256" spans="1:18">
      <c r="A256" t="s">
        <v>234</v>
      </c>
      <c r="B256" s="10" t="s">
        <v>15</v>
      </c>
      <c r="C256" s="28">
        <v>7.3</v>
      </c>
      <c r="D256">
        <v>11.564607526145858</v>
      </c>
      <c r="E256" s="27" t="str" cm="1">
        <f t="array" ref="E256">_xlfn.LET(
  _xlpm.tag, UPPER(TRIM(A256)),
  _xlpm.kw, N(C256),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56" s="27" t="str" cm="1">
        <f t="array" ref="F256">_xlfn.LET(
  _xlpm.tag, UPPER(TRIM(A256)),
  _xlpm.kw, N(C256),
  _xlpm.flc, N(D256),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256" s="27" t="str" cm="1">
        <f t="array" ref="G256">_xlfn.LET(
  _xlpm.c, UPPER(TRIM(_81IK6100018910111213[[#This Row],[Starter Type]])),
  _xlpm.kw, N(_81IK6100018910111213[[#This Row],[RATED POWER]]),
  _xlpm.flc, N(_81IK6100018910111213[[#This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56" s="29" t="s">
        <v>36</v>
      </c>
      <c r="O256" s="29" t="s">
        <v>37</v>
      </c>
      <c r="P256" s="29" t="s">
        <v>27</v>
      </c>
      <c r="Q256">
        <f t="shared" si="11"/>
        <v>0</v>
      </c>
      <c r="R256">
        <f t="shared" si="12"/>
        <v>0</v>
      </c>
    </row>
    <row r="257" spans="1:18">
      <c r="N257" t="s">
        <v>36</v>
      </c>
      <c r="O257" t="s">
        <v>37</v>
      </c>
      <c r="P257" t="s">
        <v>18</v>
      </c>
      <c r="Q257">
        <f t="shared" si="11"/>
        <v>0</v>
      </c>
      <c r="R257">
        <f t="shared" si="12"/>
        <v>0</v>
      </c>
    </row>
    <row r="259" spans="1:18">
      <c r="I259" s="10" t="s">
        <v>50</v>
      </c>
      <c r="J259" s="10" t="s">
        <v>51</v>
      </c>
      <c r="K259" s="10" t="s">
        <v>52</v>
      </c>
      <c r="L259" s="10" t="s">
        <v>53</v>
      </c>
    </row>
    <row r="260" spans="1:18">
      <c r="I260">
        <f>I261*1000</f>
        <v>2000</v>
      </c>
      <c r="J260">
        <f>800*J261</f>
        <v>2400</v>
      </c>
      <c r="K260">
        <f>400*K261</f>
        <v>0</v>
      </c>
      <c r="L260" s="34">
        <f>I260+J260+K260</f>
        <v>4400</v>
      </c>
      <c r="N260">
        <f>L260+(1200*2)+600</f>
        <v>7400</v>
      </c>
      <c r="O260" s="10" t="s">
        <v>55</v>
      </c>
    </row>
    <row r="261" spans="1:18">
      <c r="I261" cm="1">
        <f t="array" ref="I261">ROUNDUP(
  _xlfn.LET(
    _xlpm.arrange,$I$3,
    _xlpm.capE,IF(_xlpm.arrange="B2B",144,72),
    _xlpm.rng,G244:G256,
    _xlpm.totalE,SUMPRODUCT(
      IFERROR(
        VALUE(_xlfn.TEXTBEFORE(_xlpm.rng,"E")) / IFERROR(VALUE(_xlfn.TEXTAFTER(_xlpm.rng,"/")),1),
        0
      )
    ),
    CEILING((1+$J$4)*_xlpm.totalE/_xlpm.capE,1)
  ),
0)</f>
        <v>2</v>
      </c>
      <c r="J261">
        <v>3</v>
      </c>
      <c r="K261">
        <v>0</v>
      </c>
      <c r="L261" s="34">
        <f>I261+J261+K261</f>
        <v>5</v>
      </c>
    </row>
    <row r="262" spans="1:18">
      <c r="M262" t="s">
        <v>56</v>
      </c>
    </row>
    <row r="266" spans="1:18" ht="22.8">
      <c r="A266" s="56" t="s">
        <v>235</v>
      </c>
      <c r="L266" s="10"/>
    </row>
    <row r="267" spans="1:18">
      <c r="A267" s="49"/>
    </row>
    <row r="268" spans="1:18">
      <c r="A268" s="23" t="s">
        <v>4</v>
      </c>
      <c r="B268" s="24" t="s">
        <v>5</v>
      </c>
      <c r="C268" s="24" t="s">
        <v>6</v>
      </c>
      <c r="D268" s="24" t="s">
        <v>7</v>
      </c>
      <c r="E268" s="24" t="s">
        <v>8</v>
      </c>
      <c r="F268" s="24" t="s">
        <v>9</v>
      </c>
      <c r="G268" s="25" t="s">
        <v>10</v>
      </c>
      <c r="H268" s="24" t="s">
        <v>11</v>
      </c>
      <c r="I268" s="10"/>
      <c r="Q268" s="10" t="s">
        <v>12</v>
      </c>
      <c r="R268" s="10" t="s">
        <v>13</v>
      </c>
    </row>
    <row r="269" spans="1:18">
      <c r="A269" t="s">
        <v>236</v>
      </c>
      <c r="B269" s="10" t="s">
        <v>15</v>
      </c>
      <c r="C269" s="28">
        <v>83.05</v>
      </c>
      <c r="D269">
        <v>131.56721302005667</v>
      </c>
      <c r="E269" s="27" t="str" cm="1">
        <f t="array" ref="E269">_xlfn.LET(
  _xlpm.tag, UPPER(TRIM(A269)),
  _xlpm.kw, N(C269),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269" s="27" t="str" cm="1">
        <f t="array" ref="F269">_xlfn.LET(
  _xlpm.tag, UPPER(TRIM(A269)),
  _xlpm.kw, N(C269),
  _xlpm.flc, N(D269),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69" s="27" t="str" cm="1">
        <f t="array" ref="G269">_xlfn.LET(
  _xlpm.c, UPPER(TRIM(_81IK610001891011121314[[#This Row],[Starter Type]])),
  _xlpm.kw, N(_81IK610001891011121314[[#This Row],[RATED POWER]]),
  _xlpm.flc, N(_81IK610001891011121314[[#This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I269" s="10"/>
      <c r="N269" s="29" t="s">
        <v>16</v>
      </c>
      <c r="O269" s="29" t="s">
        <v>17</v>
      </c>
      <c r="P269" s="29" t="s">
        <v>18</v>
      </c>
      <c r="Q269">
        <f t="shared" ref="Q269:Q282" si="13">COUNTIFS($E$4:$E$18,N269,$F$4:$F$18,O269,$G$4:$G$18,P269)</f>
        <v>0</v>
      </c>
      <c r="R269">
        <f>ROUNDUP(Q269*0.2,0)</f>
        <v>0</v>
      </c>
    </row>
    <row r="270" spans="1:18">
      <c r="A270" t="s">
        <v>237</v>
      </c>
      <c r="B270" s="10" t="s">
        <v>15</v>
      </c>
      <c r="C270" s="28">
        <v>83.05</v>
      </c>
      <c r="D270">
        <v>131.56721302005667</v>
      </c>
      <c r="E270" s="27" t="str" cm="1">
        <f t="array" ref="E270">_xlfn.LET(
  _xlpm.tag, UPPER(TRIM(A270)),
  _xlpm.kw, N(C270),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270" s="27" t="str" cm="1">
        <f t="array" ref="F270">_xlfn.LET(
  _xlpm.tag, UPPER(TRIM(A270)),
  _xlpm.kw, N(C270),
  _xlpm.flc, N(D270),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70" s="27" t="str" cm="1">
        <f t="array" ref="G270">_xlfn.LET(
  _xlpm.c, UPPER(TRIM(_81IK610001891011121314[[#This Row],[Starter Type]])),
  _xlpm.kw, N(_81IK610001891011121314[[#This Row],[RATED POWER]]),
  _xlpm.flc, N(_81IK610001891011121314[[#This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N270" s="33" t="s">
        <v>20</v>
      </c>
      <c r="O270" s="33" t="s">
        <v>21</v>
      </c>
      <c r="P270" s="33" t="s">
        <v>22</v>
      </c>
      <c r="Q270">
        <f t="shared" si="13"/>
        <v>2</v>
      </c>
      <c r="R270" s="34">
        <f t="shared" ref="R270:R282" si="14">ROUNDUP(Q270*0.2,0)</f>
        <v>1</v>
      </c>
    </row>
    <row r="271" spans="1:18">
      <c r="A271" t="s">
        <v>238</v>
      </c>
      <c r="B271" s="10" t="s">
        <v>15</v>
      </c>
      <c r="C271" s="28">
        <v>132.4</v>
      </c>
      <c r="D271">
        <v>209.74712828242627</v>
      </c>
      <c r="E271" s="27" t="str" cm="1">
        <f t="array" ref="E271">_xlfn.LET(
  _xlpm.tag, UPPER(TRIM(A271)),
  _xlpm.kw, N(C271),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71" s="27" t="str" cm="1">
        <f t="array" ref="F271">_xlfn.LET(
  _xlpm.tag, UPPER(TRIM(A271)),
  _xlpm.kw, N(C271),
  _xlpm.flc, N(D271),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&gt; 160A, per Dwg LV3)</v>
      </c>
      <c r="G271" s="27" t="str" cm="1">
        <f t="array" ref="G271">_xlfn.LET(
  _xlpm.c, UPPER(TRIM(_81IK610001891011121314[[#This Row],[Starter Type]])),
  _xlpm.kw, N(_81IK610001891011121314[[#This Row],[RATED POWER]]),
  _xlpm.flc, N(_81IK610001891011121314[[#This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16E</v>
      </c>
      <c r="N271" s="29" t="s">
        <v>24</v>
      </c>
      <c r="O271" s="29" t="s">
        <v>25</v>
      </c>
      <c r="P271" s="29" t="s">
        <v>22</v>
      </c>
      <c r="Q271">
        <f t="shared" si="13"/>
        <v>0</v>
      </c>
      <c r="R271">
        <f t="shared" si="14"/>
        <v>0</v>
      </c>
    </row>
    <row r="272" spans="1:18">
      <c r="A272" t="s">
        <v>239</v>
      </c>
      <c r="B272" s="10" t="s">
        <v>15</v>
      </c>
      <c r="C272" s="28">
        <v>132.4</v>
      </c>
      <c r="D272">
        <v>209.74712828242627</v>
      </c>
      <c r="E272" s="27" t="str" cm="1">
        <f t="array" ref="E272">_xlfn.LET(
  _xlpm.tag, UPPER(TRIM(A272)),
  _xlpm.kw, N(C272),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72" s="27" t="str" cm="1">
        <f t="array" ref="F272">_xlfn.LET(
  _xlpm.tag, UPPER(TRIM(A272)),
  _xlpm.kw, N(C272),
  _xlpm.flc, N(D272),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&gt; 160A, per Dwg LV3)</v>
      </c>
      <c r="G272" s="27" t="str" cm="1">
        <f t="array" ref="G272">_xlfn.LET(
  _xlpm.c, UPPER(TRIM(_81IK610001891011121314[[#This Row],[Starter Type]])),
  _xlpm.kw, N(_81IK610001891011121314[[#This Row],[RATED POWER]]),
  _xlpm.flc, N(_81IK610001891011121314[[#This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16E</v>
      </c>
      <c r="N272" s="29" t="s">
        <v>24</v>
      </c>
      <c r="O272" s="29" t="s">
        <v>25</v>
      </c>
      <c r="P272" s="29" t="s">
        <v>27</v>
      </c>
      <c r="Q272">
        <f t="shared" si="13"/>
        <v>0</v>
      </c>
      <c r="R272">
        <f t="shared" si="14"/>
        <v>0</v>
      </c>
    </row>
    <row r="273" spans="1:18">
      <c r="A273" t="s">
        <v>240</v>
      </c>
      <c r="B273" s="10" t="s">
        <v>15</v>
      </c>
      <c r="C273" s="28">
        <v>1.98</v>
      </c>
      <c r="D273">
        <v>3.1367017673655893</v>
      </c>
      <c r="E273" s="27" t="str" cm="1">
        <f t="array" ref="E273">_xlfn.LET(
  _xlpm.tag, UPPER(TRIM(A273)),
  _xlpm.kw, N(C273),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73" s="27" t="str" cm="1">
        <f t="array" ref="F273">_xlfn.LET(
  _xlpm.tag, UPPER(TRIM(A273)),
  _xlpm.kw, N(C273),
  _xlpm.flc, N(D273),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273" s="27" t="str" cm="1">
        <f t="array" ref="G273">_xlfn.LET(
  _xlpm.c, UPPER(TRIM(_81IK610001891011121314[[#This Row],[Starter Type]])),
  _xlpm.kw, N(_81IK610001891011121314[[#This Row],[RATED POWER]]),
  _xlpm.flc, N(_81IK610001891011121314[[#This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73" s="29" t="s">
        <v>29</v>
      </c>
      <c r="O273" s="29" t="s">
        <v>17</v>
      </c>
      <c r="P273" s="29" t="s">
        <v>18</v>
      </c>
      <c r="Q273">
        <f t="shared" si="13"/>
        <v>0</v>
      </c>
      <c r="R273">
        <f t="shared" si="14"/>
        <v>0</v>
      </c>
    </row>
    <row r="274" spans="1:18">
      <c r="A274" t="s">
        <v>241</v>
      </c>
      <c r="B274" s="10" t="s">
        <v>15</v>
      </c>
      <c r="C274" s="28">
        <v>0.37</v>
      </c>
      <c r="D274">
        <v>0.58615134036629701</v>
      </c>
      <c r="E274" s="27" t="str" cm="1">
        <f t="array" ref="E274">_xlfn.LET(
  _xlpm.tag, UPPER(TRIM(A274)),
  _xlpm.kw, N(C274),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74" s="27" t="str" cm="1">
        <f t="array" ref="F274">_xlfn.LET(
  _xlpm.tag, UPPER(TRIM(A274)),
  _xlpm.kw, N(C274),
  _xlpm.flc, N(D274),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74" s="27" t="str" cm="1">
        <f t="array" ref="G274">_xlfn.LET(
  _xlpm.c, UPPER(TRIM(_81IK610001891011121314[[#This Row],[Starter Type]])),
  _xlpm.kw, N(_81IK610001891011121314[[#This Row],[RATED POWER]]),
  _xlpm.flc, N(_81IK610001891011121314[[#This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74" s="29" t="s">
        <v>20</v>
      </c>
      <c r="O274" s="29" t="s">
        <v>31</v>
      </c>
      <c r="P274" s="29" t="s">
        <v>32</v>
      </c>
      <c r="Q274">
        <f t="shared" si="13"/>
        <v>0</v>
      </c>
      <c r="R274">
        <f t="shared" si="14"/>
        <v>0</v>
      </c>
    </row>
    <row r="275" spans="1:18">
      <c r="A275" t="s">
        <v>242</v>
      </c>
      <c r="B275" s="10" t="s">
        <v>15</v>
      </c>
      <c r="C275" s="28">
        <v>0.37</v>
      </c>
      <c r="D275">
        <v>0.58615134036629701</v>
      </c>
      <c r="E275" s="27" t="str" cm="1">
        <f t="array" ref="E275">_xlfn.LET(
  _xlpm.tag, UPPER(TRIM(A275)),
  _xlpm.kw, N(C275),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75" s="27" t="str" cm="1">
        <f t="array" ref="F275">_xlfn.LET(
  _xlpm.tag, UPPER(TRIM(A275)),
  _xlpm.kw, N(C275),
  _xlpm.flc, N(D275),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75" s="27" t="str" cm="1">
        <f t="array" ref="G275">_xlfn.LET(
  _xlpm.c, UPPER(TRIM(_81IK610001891011121314[[#This Row],[Starter Type]])),
  _xlpm.kw, N(_81IK610001891011121314[[#This Row],[RATED POWER]]),
  _xlpm.flc, N(_81IK610001891011121314[[#This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75" s="29" t="s">
        <v>20</v>
      </c>
      <c r="O275" s="29" t="s">
        <v>21</v>
      </c>
      <c r="P275" s="29" t="s">
        <v>32</v>
      </c>
      <c r="Q275">
        <f t="shared" si="13"/>
        <v>1</v>
      </c>
      <c r="R275">
        <f t="shared" si="14"/>
        <v>1</v>
      </c>
    </row>
    <row r="276" spans="1:18">
      <c r="A276" t="s">
        <v>243</v>
      </c>
      <c r="B276" s="10" t="s">
        <v>15</v>
      </c>
      <c r="C276" s="28">
        <v>0.9</v>
      </c>
      <c r="D276">
        <v>1.4257735306207224</v>
      </c>
      <c r="E276" s="27" t="str" cm="1">
        <f t="array" ref="E276">_xlfn.LET(
  _xlpm.tag, UPPER(TRIM(A276)),
  _xlpm.kw, N(C276),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76" s="27" t="str" cm="1">
        <f t="array" ref="F276">_xlfn.LET(
  _xlpm.tag, UPPER(TRIM(A276)),
  _xlpm.kw, N(C276),
  _xlpm.flc, N(D276),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76" s="27" t="str" cm="1">
        <f t="array" ref="G276">_xlfn.LET(
  _xlpm.c, UPPER(TRIM(_81IK610001891011121314[[#This Row],[Starter Type]])),
  _xlpm.kw, N(_81IK610001891011121314[[#This Row],[RATED POWER]]),
  _xlpm.flc, N(_81IK610001891011121314[[#This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76" s="33" t="s">
        <v>20</v>
      </c>
      <c r="O276" s="33" t="s">
        <v>21</v>
      </c>
      <c r="P276" s="33" t="s">
        <v>27</v>
      </c>
      <c r="Q276">
        <f t="shared" si="13"/>
        <v>0</v>
      </c>
      <c r="R276" s="34">
        <f t="shared" si="14"/>
        <v>0</v>
      </c>
    </row>
    <row r="277" spans="1:18">
      <c r="A277" t="s">
        <v>244</v>
      </c>
      <c r="B277" s="10" t="s">
        <v>15</v>
      </c>
      <c r="C277" s="28">
        <v>0.9</v>
      </c>
      <c r="D277">
        <v>1.4257735306207224</v>
      </c>
      <c r="E277" s="27" t="str" cm="1">
        <f t="array" ref="E277">_xlfn.LET(
  _xlpm.tag, UPPER(TRIM(A277)),
  _xlpm.kw, N(C277),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77" s="27" t="str" cm="1">
        <f t="array" ref="F277">_xlfn.LET(
  _xlpm.tag, UPPER(TRIM(A277)),
  _xlpm.kw, N(C277),
  _xlpm.flc, N(D277),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77" s="27" t="str" cm="1">
        <f t="array" ref="G277">_xlfn.LET(
  _xlpm.c, UPPER(TRIM(_81IK610001891011121314[[#This Row],[Starter Type]])),
  _xlpm.kw, N(_81IK610001891011121314[[#This Row],[RATED POWER]]),
  _xlpm.flc, N(_81IK610001891011121314[[#This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77" s="29" t="s">
        <v>36</v>
      </c>
      <c r="O277" s="29" t="s">
        <v>37</v>
      </c>
      <c r="P277" s="29" t="s">
        <v>32</v>
      </c>
      <c r="Q277">
        <f t="shared" si="13"/>
        <v>0</v>
      </c>
      <c r="R277">
        <f t="shared" si="14"/>
        <v>0</v>
      </c>
    </row>
    <row r="278" spans="1:18">
      <c r="A278" t="s">
        <v>245</v>
      </c>
      <c r="B278" s="10" t="s">
        <v>15</v>
      </c>
      <c r="C278" s="28">
        <v>0.4</v>
      </c>
      <c r="D278">
        <v>0.63367712472032112</v>
      </c>
      <c r="E278" s="27" t="str" cm="1">
        <f t="array" ref="E278">_xlfn.LET(
  _xlpm.tag, UPPER(TRIM(A278)),
  _xlpm.kw, N(C278),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78" s="27" t="str" cm="1">
        <f t="array" ref="F278">_xlfn.LET(
  _xlpm.tag, UPPER(TRIM(A278)),
  _xlpm.kw, N(C278),
  _xlpm.flc, N(D278),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78" s="27" t="str" cm="1">
        <f t="array" ref="G278">_xlfn.LET(
  _xlpm.c, UPPER(TRIM(_81IK610001891011121314[[#This Row],[Starter Type]])),
  _xlpm.kw, N(_81IK610001891011121314[[#This Row],[RATED POWER]]),
  _xlpm.flc, N(_81IK610001891011121314[[#This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78" s="29" t="s">
        <v>16</v>
      </c>
      <c r="O278" s="29" t="s">
        <v>17</v>
      </c>
      <c r="P278" s="29" t="s">
        <v>39</v>
      </c>
      <c r="Q278">
        <f t="shared" si="13"/>
        <v>0</v>
      </c>
      <c r="R278">
        <f t="shared" si="14"/>
        <v>0</v>
      </c>
    </row>
    <row r="279" spans="1:18">
      <c r="A279" t="s">
        <v>246</v>
      </c>
      <c r="B279" s="10" t="s">
        <v>15</v>
      </c>
      <c r="C279" s="28">
        <v>0.4</v>
      </c>
      <c r="D279">
        <v>0.63367712472032112</v>
      </c>
      <c r="E279" s="27" t="str" cm="1">
        <f t="array" ref="E279">_xlfn.LET(
  _xlpm.tag, UPPER(TRIM(A279)),
  _xlpm.kw, N(C279),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79" s="27" t="str" cm="1">
        <f t="array" ref="F279">_xlfn.LET(
  _xlpm.tag, UPPER(TRIM(A279)),
  _xlpm.kw, N(C279),
  _xlpm.flc, N(D279),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79" s="27" t="str" cm="1">
        <f t="array" ref="G279">_xlfn.LET(
  _xlpm.c, UPPER(TRIM(_81IK610001891011121314[[#This Row],[Starter Type]])),
  _xlpm.kw, N(_81IK610001891011121314[[#This Row],[RATED POWER]]),
  _xlpm.flc, N(_81IK610001891011121314[[#This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79" s="33" t="s">
        <v>41</v>
      </c>
      <c r="O279" s="33" t="s">
        <v>17</v>
      </c>
      <c r="P279" s="33" t="s">
        <v>32</v>
      </c>
      <c r="Q279">
        <f t="shared" si="13"/>
        <v>0</v>
      </c>
      <c r="R279" s="34">
        <f t="shared" si="14"/>
        <v>0</v>
      </c>
    </row>
    <row r="280" spans="1:18">
      <c r="A280" t="s">
        <v>247</v>
      </c>
      <c r="B280" s="10" t="s">
        <v>15</v>
      </c>
      <c r="C280" s="28">
        <v>4.9000000000000004</v>
      </c>
      <c r="D280">
        <v>7.7625447778239325</v>
      </c>
      <c r="E280" s="27" t="str" cm="1">
        <f t="array" ref="E280">_xlfn.LET(
  _xlpm.tag, UPPER(TRIM(A280)),
  _xlpm.kw, N(C280),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80" s="27" t="str" cm="1">
        <f t="array" ref="F280">_xlfn.LET(
  _xlpm.tag, UPPER(TRIM(A280)),
  _xlpm.kw, N(C280),
  _xlpm.flc, N(D280),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280" s="27" t="str" cm="1">
        <f t="array" ref="G280">_xlfn.LET(
  _xlpm.c, UPPER(TRIM(_81IK610001891011121314[[#This Row],[Starter Type]])),
  _xlpm.kw, N(_81IK610001891011121314[[#This Row],[RATED POWER]]),
  _xlpm.flc, N(_81IK610001891011121314[[#This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80" s="29" t="s">
        <v>43</v>
      </c>
      <c r="O280" s="29" t="s">
        <v>44</v>
      </c>
      <c r="P280" s="29" t="s">
        <v>22</v>
      </c>
      <c r="Q280">
        <f t="shared" si="13"/>
        <v>0</v>
      </c>
      <c r="R280">
        <f t="shared" si="14"/>
        <v>0</v>
      </c>
    </row>
    <row r="281" spans="1:18">
      <c r="A281" t="s">
        <v>248</v>
      </c>
      <c r="B281" s="10" t="s">
        <v>15</v>
      </c>
      <c r="C281" s="28">
        <v>5.9</v>
      </c>
      <c r="D281">
        <v>9.3467375896247358</v>
      </c>
      <c r="E281" s="27" t="str" cm="1">
        <f t="array" ref="E281">_xlfn.LET(
  _xlpm.tag, UPPER(TRIM(A281)),
  _xlpm.kw, N(C281),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81" s="27" t="str" cm="1">
        <f t="array" ref="F281">_xlfn.LET(
  _xlpm.tag, UPPER(TRIM(A281)),
  _xlpm.kw, N(C281),
  _xlpm.flc, N(D281),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281" s="27" t="str" cm="1">
        <f t="array" ref="G281">_xlfn.LET(
  _xlpm.c, UPPER(TRIM(_81IK610001891011121314[[#This Row],[Starter Type]])),
  _xlpm.kw, N(_81IK610001891011121314[[#This Row],[RATED POWER]]),
  _xlpm.flc, N(_81IK610001891011121314[[#This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81" s="29" t="s">
        <v>36</v>
      </c>
      <c r="O281" s="29" t="s">
        <v>37</v>
      </c>
      <c r="P281" s="29" t="s">
        <v>27</v>
      </c>
      <c r="Q281">
        <f t="shared" si="13"/>
        <v>0</v>
      </c>
      <c r="R281">
        <f t="shared" si="14"/>
        <v>0</v>
      </c>
    </row>
    <row r="282" spans="1:18">
      <c r="N282" t="s">
        <v>36</v>
      </c>
      <c r="O282" t="s">
        <v>37</v>
      </c>
      <c r="P282" t="s">
        <v>18</v>
      </c>
      <c r="Q282">
        <f t="shared" si="13"/>
        <v>0</v>
      </c>
      <c r="R282">
        <f t="shared" si="14"/>
        <v>0</v>
      </c>
    </row>
    <row r="284" spans="1:18">
      <c r="I284" s="10" t="s">
        <v>50</v>
      </c>
      <c r="J284" s="10" t="s">
        <v>51</v>
      </c>
      <c r="K284" s="10" t="s">
        <v>52</v>
      </c>
      <c r="L284" s="10" t="s">
        <v>53</v>
      </c>
    </row>
    <row r="285" spans="1:18">
      <c r="I285">
        <f>I286*1000</f>
        <v>2000</v>
      </c>
      <c r="J285">
        <f>800*J286</f>
        <v>2400</v>
      </c>
      <c r="K285">
        <f>400*K286</f>
        <v>0</v>
      </c>
      <c r="L285" s="34">
        <f>I285+J285+K285</f>
        <v>4400</v>
      </c>
      <c r="N285">
        <f>L285+(1200*2)+600</f>
        <v>7400</v>
      </c>
      <c r="O285" s="10" t="s">
        <v>55</v>
      </c>
    </row>
    <row r="286" spans="1:18">
      <c r="I286" cm="1">
        <f t="array" ref="I286">ROUNDUP(
  _xlfn.LET(
    _xlpm.arrange,$I$3,
    _xlpm.capE,IF(_xlpm.arrange="B2B",144,72),
    _xlpm.rng,G269:G281,
    _xlpm.totalE,SUMPRODUCT(
      IFERROR(
        VALUE(_xlfn.TEXTBEFORE(_xlpm.rng,"E")) / IFERROR(VALUE(_xlfn.TEXTAFTER(_xlpm.rng,"/")),1),
        0
      )
    ),
    CEILING((1+$J$4)*_xlpm.totalE/_xlpm.capE,1)
  ),
0)</f>
        <v>2</v>
      </c>
      <c r="J286">
        <v>3</v>
      </c>
      <c r="K286">
        <v>0</v>
      </c>
      <c r="L286" s="34">
        <f>I286+J286+K286</f>
        <v>5</v>
      </c>
    </row>
    <row r="287" spans="1:18">
      <c r="M287" t="s">
        <v>56</v>
      </c>
    </row>
    <row r="291" spans="1:18">
      <c r="C291" s="58" t="s">
        <v>249</v>
      </c>
    </row>
    <row r="292" spans="1:18" ht="22.8">
      <c r="A292" s="56" t="s">
        <v>250</v>
      </c>
    </row>
    <row r="293" spans="1:18">
      <c r="A293" s="49"/>
    </row>
    <row r="294" spans="1:18">
      <c r="A294" s="23" t="s">
        <v>4</v>
      </c>
      <c r="B294" s="24" t="s">
        <v>5</v>
      </c>
      <c r="C294" s="24" t="s">
        <v>6</v>
      </c>
      <c r="D294" s="24" t="s">
        <v>7</v>
      </c>
      <c r="E294" s="24" t="s">
        <v>8</v>
      </c>
      <c r="F294" s="24" t="s">
        <v>9</v>
      </c>
      <c r="G294" s="25" t="s">
        <v>10</v>
      </c>
      <c r="H294" s="24" t="s">
        <v>11</v>
      </c>
      <c r="I294" s="10"/>
      <c r="Q294" s="10" t="s">
        <v>12</v>
      </c>
      <c r="R294" s="10" t="s">
        <v>13</v>
      </c>
    </row>
    <row r="295" spans="1:18">
      <c r="A295" t="s">
        <v>251</v>
      </c>
      <c r="B295" s="10" t="s">
        <v>15</v>
      </c>
      <c r="C295" s="28">
        <v>21.6</v>
      </c>
      <c r="D295">
        <v>34.218564734897335</v>
      </c>
      <c r="E295" s="27" t="str" cm="1">
        <f t="array" ref="E295">_xlfn.LET(
  _xlpm.tag, UPPER(TRIM(A295)),
  _xlpm.kw, N(C295),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295" s="27" t="str" cm="1">
        <f t="array" ref="F295">_xlfn.LET(
  _xlpm.tag, UPPER(TRIM(A295)),
  _xlpm.kw, N(C295),
  _xlpm.flc, N(D295),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95" s="27" t="str" cm="1">
        <f t="array" ref="G295">_xlfn.LET(
  _xlpm.c, UPPER(TRIM(_81IK61000189101112131415[[#This Row],[Starter Type]])),
  _xlpm.kw, N(_81IK61000189101112131415[[#This Row],[RATED POWER]]),
  _xlpm.flc, N(_81IK61000189101112131415[[#This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I295" s="10"/>
      <c r="N295" s="29" t="s">
        <v>16</v>
      </c>
      <c r="O295" s="29" t="s">
        <v>17</v>
      </c>
      <c r="P295" s="29" t="s">
        <v>18</v>
      </c>
      <c r="Q295">
        <f t="shared" ref="Q295:Q308" si="15">COUNTIFS($E$4:$E$18,N295,$F$4:$F$18,O295,$G$4:$G$18,P295)</f>
        <v>0</v>
      </c>
      <c r="R295">
        <f>ROUNDUP(Q295*0.2,0)</f>
        <v>0</v>
      </c>
    </row>
    <row r="296" spans="1:18">
      <c r="A296" t="s">
        <v>252</v>
      </c>
      <c r="B296" s="10" t="s">
        <v>15</v>
      </c>
      <c r="C296" s="28">
        <v>24</v>
      </c>
      <c r="D296">
        <v>38.020627483219265</v>
      </c>
      <c r="E296" s="27" t="str" cm="1">
        <f t="array" ref="E296">_xlfn.LET(
  _xlpm.tag, UPPER(TRIM(A296)),
  _xlpm.kw, N(C296),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96" s="27" t="str" cm="1">
        <f t="array" ref="F296">_xlfn.LET(
  _xlpm.tag, UPPER(TRIM(A296)),
  _xlpm.kw, N(C296),
  _xlpm.flc, N(D296),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296" s="27" t="str" cm="1">
        <f t="array" ref="G296">_xlfn.LET(
  _xlpm.c, UPPER(TRIM(_81IK61000189101112131415[[#This Row],[Starter Type]])),
  _xlpm.kw, N(_81IK61000189101112131415[[#This Row],[RATED POWER]]),
  _xlpm.flc, N(_81IK61000189101112131415[[#This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v>
      </c>
      <c r="N296" s="33" t="s">
        <v>20</v>
      </c>
      <c r="O296" s="33" t="s">
        <v>21</v>
      </c>
      <c r="P296" s="33" t="s">
        <v>22</v>
      </c>
      <c r="Q296">
        <f t="shared" si="15"/>
        <v>2</v>
      </c>
      <c r="R296" s="34">
        <f t="shared" ref="R296:R308" si="16">ROUNDUP(Q296*0.2,0)</f>
        <v>1</v>
      </c>
    </row>
    <row r="297" spans="1:18">
      <c r="A297" t="s">
        <v>253</v>
      </c>
      <c r="B297" s="10" t="s">
        <v>15</v>
      </c>
      <c r="C297" s="28">
        <v>0.37</v>
      </c>
      <c r="D297">
        <v>1.0193936354196471</v>
      </c>
      <c r="E297" s="27" t="str" cm="1">
        <f t="array" ref="E297">_xlfn.LET(
  _xlpm.tag, UPPER(TRIM(A297)),
  _xlpm.kw, N(C297),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97" s="27" t="str" cm="1">
        <f t="array" ref="F297">_xlfn.LET(
  _xlpm.tag, UPPER(TRIM(A297)),
  _xlpm.kw, N(C297),
  _xlpm.flc, N(D297),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97" s="27" t="str" cm="1">
        <f t="array" ref="G297">_xlfn.LET(
  _xlpm.c, UPPER(TRIM(_81IK61000189101112131415[[#This Row],[Starter Type]])),
  _xlpm.kw, N(_81IK61000189101112131415[[#This Row],[RATED POWER]]),
  _xlpm.flc, N(_81IK61000189101112131415[[#This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97" s="29" t="s">
        <v>24</v>
      </c>
      <c r="O297" s="29" t="s">
        <v>25</v>
      </c>
      <c r="P297" s="29" t="s">
        <v>22</v>
      </c>
      <c r="Q297">
        <f t="shared" si="15"/>
        <v>0</v>
      </c>
      <c r="R297">
        <f t="shared" si="16"/>
        <v>0</v>
      </c>
    </row>
    <row r="298" spans="1:18">
      <c r="A298" t="s">
        <v>254</v>
      </c>
      <c r="B298" s="10" t="s">
        <v>15</v>
      </c>
      <c r="C298" s="28">
        <v>0.37</v>
      </c>
      <c r="D298">
        <v>1.0193936354196471</v>
      </c>
      <c r="E298" s="27" t="str" cm="1">
        <f t="array" ref="E298">_xlfn.LET(
  _xlpm.tag, UPPER(TRIM(A298)),
  _xlpm.kw, N(C298),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298" s="27" t="str" cm="1">
        <f t="array" ref="F298">_xlfn.LET(
  _xlpm.tag, UPPER(TRIM(A298)),
  _xlpm.kw, N(C298),
  _xlpm.flc, N(D298),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298" s="27" t="str" cm="1">
        <f t="array" ref="G298">_xlfn.LET(
  _xlpm.c, UPPER(TRIM(_81IK61000189101112131415[[#This Row],[Starter Type]])),
  _xlpm.kw, N(_81IK61000189101112131415[[#This Row],[RATED POWER]]),
  _xlpm.flc, N(_81IK61000189101112131415[[#This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98" s="29" t="s">
        <v>24</v>
      </c>
      <c r="O298" s="29" t="s">
        <v>25</v>
      </c>
      <c r="P298" s="29" t="s">
        <v>27</v>
      </c>
      <c r="Q298">
        <f t="shared" si="15"/>
        <v>0</v>
      </c>
      <c r="R298">
        <f t="shared" si="16"/>
        <v>0</v>
      </c>
    </row>
    <row r="299" spans="1:18">
      <c r="A299" t="s">
        <v>255</v>
      </c>
      <c r="B299" s="10" t="s">
        <v>15</v>
      </c>
      <c r="C299" s="28">
        <v>1.32</v>
      </c>
      <c r="D299">
        <v>2.0911345115770597</v>
      </c>
      <c r="E299" s="27" t="str" cm="1">
        <f t="array" ref="E299">_xlfn.LET(
  _xlpm.tag, UPPER(TRIM(A299)),
  _xlpm.kw, N(C299),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299" s="27" t="str" cm="1">
        <f t="array" ref="F299">_xlfn.LET(
  _xlpm.tag, UPPER(TRIM(A299)),
  _xlpm.kw, N(C299),
  _xlpm.flc, N(D299),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299" s="27" t="str" cm="1">
        <f t="array" ref="G299">_xlfn.LET(
  _xlpm.c, UPPER(TRIM(_81IK61000189101112131415[[#This Row],[Starter Type]])),
  _xlpm.kw, N(_81IK61000189101112131415[[#This Row],[RATED POWER]]),
  _xlpm.flc, N(_81IK61000189101112131415[[#This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299" s="29" t="s">
        <v>29</v>
      </c>
      <c r="O299" s="29" t="s">
        <v>17</v>
      </c>
      <c r="P299" s="29" t="s">
        <v>18</v>
      </c>
      <c r="Q299">
        <f t="shared" si="15"/>
        <v>0</v>
      </c>
      <c r="R299">
        <f t="shared" si="16"/>
        <v>0</v>
      </c>
    </row>
    <row r="300" spans="1:18">
      <c r="A300" t="s">
        <v>256</v>
      </c>
      <c r="B300" s="10" t="s">
        <v>15</v>
      </c>
      <c r="C300" s="28">
        <v>1.21</v>
      </c>
      <c r="D300">
        <v>1.916873302278971</v>
      </c>
      <c r="E300" s="27" t="str" cm="1">
        <f t="array" ref="E300">_xlfn.LET(
  _xlpm.tag, UPPER(TRIM(A300)),
  _xlpm.kw, N(C300),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00" s="27" t="str" cm="1">
        <f t="array" ref="F300">_xlfn.LET(
  _xlpm.tag, UPPER(TRIM(A300)),
  _xlpm.kw, N(C300),
  _xlpm.flc, N(D300),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00" s="27" t="str" cm="1">
        <f t="array" ref="G300">_xlfn.LET(
  _xlpm.c, UPPER(TRIM(_81IK61000189101112131415[[#This Row],[Starter Type]])),
  _xlpm.kw, N(_81IK61000189101112131415[[#This Row],[RATED POWER]]),
  _xlpm.flc, N(_81IK61000189101112131415[[#This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00" s="29" t="s">
        <v>20</v>
      </c>
      <c r="O300" s="29" t="s">
        <v>31</v>
      </c>
      <c r="P300" s="29" t="s">
        <v>32</v>
      </c>
      <c r="Q300">
        <f t="shared" si="15"/>
        <v>0</v>
      </c>
      <c r="R300">
        <f t="shared" si="16"/>
        <v>0</v>
      </c>
    </row>
    <row r="301" spans="1:18">
      <c r="A301" t="s">
        <v>257</v>
      </c>
      <c r="B301" s="10" t="s">
        <v>15</v>
      </c>
      <c r="C301" s="28">
        <v>1.2100000000000002</v>
      </c>
      <c r="D301">
        <v>1.9168733022789715</v>
      </c>
      <c r="E301" s="27" t="str" cm="1">
        <f t="array" ref="E301">_xlfn.LET(
  _xlpm.tag, UPPER(TRIM(A301)),
  _xlpm.kw, N(C301),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01" s="27" t="str" cm="1">
        <f t="array" ref="F301">_xlfn.LET(
  _xlpm.tag, UPPER(TRIM(A301)),
  _xlpm.kw, N(C301),
  _xlpm.flc, N(D301),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01" s="27" t="str" cm="1">
        <f t="array" ref="G301">_xlfn.LET(
  _xlpm.c, UPPER(TRIM(_81IK61000189101112131415[[#This Row],[Starter Type]])),
  _xlpm.kw, N(_81IK61000189101112131415[[#This Row],[RATED POWER]]),
  _xlpm.flc, N(_81IK61000189101112131415[[#This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01" s="29" t="s">
        <v>20</v>
      </c>
      <c r="O301" s="29" t="s">
        <v>21</v>
      </c>
      <c r="P301" s="29" t="s">
        <v>32</v>
      </c>
      <c r="Q301">
        <f t="shared" si="15"/>
        <v>1</v>
      </c>
      <c r="R301">
        <f t="shared" si="16"/>
        <v>1</v>
      </c>
    </row>
    <row r="302" spans="1:18">
      <c r="A302" t="s">
        <v>258</v>
      </c>
      <c r="B302" s="10" t="s">
        <v>15</v>
      </c>
      <c r="C302" s="28">
        <v>5</v>
      </c>
      <c r="D302">
        <v>7.9209640590040129</v>
      </c>
      <c r="E302" s="27" t="str" cm="1">
        <f t="array" ref="E302">_xlfn.LET(
  _xlpm.tag, UPPER(TRIM(A302)),
  _xlpm.kw, N(C302),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02" s="27" t="str" cm="1">
        <f t="array" ref="F302">_xlfn.LET(
  _xlpm.tag, UPPER(TRIM(A302)),
  _xlpm.kw, N(C302),
  _xlpm.flc, N(D302),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02" s="27" t="str" cm="1">
        <f t="array" ref="G302">_xlfn.LET(
  _xlpm.c, UPPER(TRIM(_81IK61000189101112131415[[#This Row],[Starter Type]])),
  _xlpm.kw, N(_81IK61000189101112131415[[#This Row],[RATED POWER]]),
  _xlpm.flc, N(_81IK61000189101112131415[[#This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02" s="33" t="s">
        <v>20</v>
      </c>
      <c r="O302" s="33" t="s">
        <v>21</v>
      </c>
      <c r="P302" s="33" t="s">
        <v>27</v>
      </c>
      <c r="Q302">
        <f t="shared" si="15"/>
        <v>0</v>
      </c>
      <c r="R302" s="34">
        <f t="shared" si="16"/>
        <v>0</v>
      </c>
    </row>
    <row r="303" spans="1:18">
      <c r="A303" t="s">
        <v>259</v>
      </c>
      <c r="B303" s="10" t="s">
        <v>15</v>
      </c>
      <c r="C303" s="28">
        <v>0.3</v>
      </c>
      <c r="D303">
        <v>0.82653538006998406</v>
      </c>
      <c r="E303" s="27" t="str" cm="1">
        <f t="array" ref="E303">_xlfn.LET(
  _xlpm.tag, UPPER(TRIM(A303)),
  _xlpm.kw, N(C303),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03" s="27" t="str" cm="1">
        <f t="array" ref="F303">_xlfn.LET(
  _xlpm.tag, UPPER(TRIM(A303)),
  _xlpm.kw, N(C303),
  _xlpm.flc, N(D303),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03" s="27" t="str" cm="1">
        <f t="array" ref="G303">_xlfn.LET(
  _xlpm.c, UPPER(TRIM(_81IK61000189101112131415[[#This Row],[Starter Type]])),
  _xlpm.kw, N(_81IK61000189101112131415[[#This Row],[RATED POWER]]),
  _xlpm.flc, N(_81IK61000189101112131415[[#This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03" s="29" t="s">
        <v>36</v>
      </c>
      <c r="O303" s="29" t="s">
        <v>37</v>
      </c>
      <c r="P303" s="29" t="s">
        <v>32</v>
      </c>
      <c r="Q303">
        <f t="shared" si="15"/>
        <v>0</v>
      </c>
      <c r="R303">
        <f t="shared" si="16"/>
        <v>0</v>
      </c>
    </row>
    <row r="304" spans="1:18">
      <c r="A304" t="s">
        <v>260</v>
      </c>
      <c r="B304" s="10" t="s">
        <v>15</v>
      </c>
      <c r="C304" s="28">
        <v>1</v>
      </c>
      <c r="D304">
        <v>2.7551179335666136</v>
      </c>
      <c r="E304" s="27" t="str" cm="1">
        <f t="array" ref="E304">_xlfn.LET(
  _xlpm.tag, UPPER(TRIM(A304)),
  _xlpm.kw, N(C304),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04" s="27" t="str" cm="1">
        <f t="array" ref="F304">_xlfn.LET(
  _xlpm.tag, UPPER(TRIM(A304)),
  _xlpm.kw, N(C304),
  _xlpm.flc, N(D304),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04" s="27" t="str" cm="1">
        <f t="array" ref="G304">_xlfn.LET(
  _xlpm.c, UPPER(TRIM(_81IK61000189101112131415[[#This Row],[Starter Type]])),
  _xlpm.kw, N(_81IK61000189101112131415[[#This Row],[RATED POWER]]),
  _xlpm.flc, N(_81IK61000189101112131415[[#This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04" s="29" t="s">
        <v>16</v>
      </c>
      <c r="O304" s="29" t="s">
        <v>17</v>
      </c>
      <c r="P304" s="29" t="s">
        <v>39</v>
      </c>
      <c r="Q304">
        <f t="shared" si="15"/>
        <v>0</v>
      </c>
      <c r="R304">
        <f t="shared" si="16"/>
        <v>0</v>
      </c>
    </row>
    <row r="305" spans="1:18">
      <c r="A305" t="s">
        <v>261</v>
      </c>
      <c r="B305" s="10" t="s">
        <v>15</v>
      </c>
      <c r="C305" s="28">
        <v>1</v>
      </c>
      <c r="D305">
        <v>2.7551179335666136</v>
      </c>
      <c r="E305" s="27" t="str" cm="1">
        <f t="array" ref="E305">_xlfn.LET(
  _xlpm.tag, UPPER(TRIM(A305)),
  _xlpm.kw, N(C305),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05" s="27" t="str" cm="1">
        <f t="array" ref="F305">_xlfn.LET(
  _xlpm.tag, UPPER(TRIM(A305)),
  _xlpm.kw, N(C305),
  _xlpm.flc, N(D305),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05" s="27" t="str" cm="1">
        <f t="array" ref="G305">_xlfn.LET(
  _xlpm.c, UPPER(TRIM(_81IK61000189101112131415[[#This Row],[Starter Type]])),
  _xlpm.kw, N(_81IK61000189101112131415[[#This Row],[RATED POWER]]),
  _xlpm.flc, N(_81IK61000189101112131415[[#This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05" s="33" t="s">
        <v>41</v>
      </c>
      <c r="O305" s="33" t="s">
        <v>17</v>
      </c>
      <c r="P305" s="33" t="s">
        <v>32</v>
      </c>
      <c r="Q305">
        <f t="shared" si="15"/>
        <v>0</v>
      </c>
      <c r="R305" s="34">
        <f t="shared" si="16"/>
        <v>0</v>
      </c>
    </row>
    <row r="306" spans="1:18">
      <c r="N306" s="29" t="s">
        <v>43</v>
      </c>
      <c r="O306" s="29" t="s">
        <v>44</v>
      </c>
      <c r="P306" s="29" t="s">
        <v>22</v>
      </c>
      <c r="Q306">
        <f t="shared" si="15"/>
        <v>0</v>
      </c>
      <c r="R306">
        <f t="shared" si="16"/>
        <v>0</v>
      </c>
    </row>
    <row r="307" spans="1:18">
      <c r="N307" s="29" t="s">
        <v>36</v>
      </c>
      <c r="O307" s="29" t="s">
        <v>37</v>
      </c>
      <c r="P307" s="29" t="s">
        <v>27</v>
      </c>
      <c r="Q307">
        <f t="shared" si="15"/>
        <v>0</v>
      </c>
      <c r="R307">
        <f t="shared" si="16"/>
        <v>0</v>
      </c>
    </row>
    <row r="308" spans="1:18">
      <c r="G308">
        <f>48*25</f>
        <v>1200</v>
      </c>
      <c r="N308" t="s">
        <v>36</v>
      </c>
      <c r="O308" t="s">
        <v>37</v>
      </c>
      <c r="P308" t="s">
        <v>18</v>
      </c>
      <c r="Q308">
        <f t="shared" si="15"/>
        <v>0</v>
      </c>
      <c r="R308">
        <f t="shared" si="16"/>
        <v>0</v>
      </c>
    </row>
    <row r="310" spans="1:18">
      <c r="I310" s="10" t="s">
        <v>50</v>
      </c>
      <c r="J310" s="10" t="s">
        <v>51</v>
      </c>
      <c r="K310" s="10" t="s">
        <v>52</v>
      </c>
      <c r="L310" s="10" t="s">
        <v>53</v>
      </c>
    </row>
    <row r="311" spans="1:18">
      <c r="I311">
        <f>I312*1000</f>
        <v>1000</v>
      </c>
      <c r="J311">
        <f>800*J312</f>
        <v>800</v>
      </c>
      <c r="K311">
        <f>400*K312</f>
        <v>0</v>
      </c>
      <c r="L311" s="34">
        <f>I311+J311+K311</f>
        <v>1800</v>
      </c>
      <c r="N311">
        <f>L311+(1200)+600</f>
        <v>3600</v>
      </c>
      <c r="O311" s="10" t="s">
        <v>55</v>
      </c>
    </row>
    <row r="312" spans="1:18">
      <c r="I312" cm="1">
        <f t="array" ref="I312">ROUNDUP(
  _xlfn.LET(
    _xlpm.arrange,$I$3,
    _xlpm.capE,IF(_xlpm.arrange="B2B",144,72),
    _xlpm.rng,G295:G305,
    _xlpm.totalE,SUMPRODUCT(
      IFERROR(
        VALUE(_xlfn.TEXTBEFORE(_xlpm.rng,"E")) / IFERROR(VALUE(_xlfn.TEXTAFTER(_xlpm.rng,"/")),1),
        0
      )
    ),
    CEILING((1+$J$4)*_xlpm.totalE/_xlpm.capE,1)
  ),
0)</f>
        <v>1</v>
      </c>
      <c r="J312">
        <v>1</v>
      </c>
      <c r="K312">
        <v>0</v>
      </c>
      <c r="L312" s="34">
        <f>I312+J312+K312</f>
        <v>2</v>
      </c>
    </row>
    <row r="313" spans="1:18">
      <c r="M313" t="s">
        <v>56</v>
      </c>
    </row>
    <row r="319" spans="1:18" ht="22.8">
      <c r="A319" s="56" t="s">
        <v>262</v>
      </c>
    </row>
    <row r="320" spans="1:18">
      <c r="A320" s="49"/>
    </row>
    <row r="321" spans="1:22">
      <c r="A321" s="23" t="s">
        <v>4</v>
      </c>
      <c r="B321" s="24" t="s">
        <v>5</v>
      </c>
      <c r="C321" s="24" t="s">
        <v>6</v>
      </c>
      <c r="D321" s="24" t="s">
        <v>7</v>
      </c>
      <c r="E321" s="24" t="s">
        <v>8</v>
      </c>
      <c r="F321" s="24" t="s">
        <v>9</v>
      </c>
      <c r="G321" s="25" t="s">
        <v>10</v>
      </c>
      <c r="H321" s="24" t="s">
        <v>11</v>
      </c>
      <c r="I321" s="10"/>
      <c r="Q321" s="10" t="s">
        <v>12</v>
      </c>
      <c r="R321" s="10" t="s">
        <v>13</v>
      </c>
    </row>
    <row r="322" spans="1:22">
      <c r="A322" t="s">
        <v>263</v>
      </c>
      <c r="B322" s="10" t="s">
        <v>15</v>
      </c>
      <c r="C322" s="28">
        <v>21.3</v>
      </c>
      <c r="D322">
        <v>33.743306891357093</v>
      </c>
      <c r="E322" s="27" t="str" cm="1">
        <f t="array" ref="E322">_xlfn.LET(
  _xlpm.tag, UPPER(TRIM(A322)),
  _xlpm.kw, N(C322),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322" s="27" t="str" cm="1">
        <f t="array" ref="F322">_xlfn.LET(
  _xlpm.tag, UPPER(TRIM(A322)),
  _xlpm.kw, N(C322),
  _xlpm.flc, N(D322),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322" s="27" t="str" cm="1">
        <f t="array" ref="G322">_xlfn.LET(
  _xlpm.c, UPPER(TRIM(_81IK6100018910111213141516[[#This Row],[Starter Type]])),
  _xlpm.kw, N(_81IK6100018910111213141516[[#This Row],[RATED POWER]]),
  _xlpm.flc, N(_81IK6100018910111213141516[[#This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I322" s="10"/>
      <c r="N322" s="29" t="s">
        <v>16</v>
      </c>
      <c r="O322" s="29" t="s">
        <v>17</v>
      </c>
      <c r="P322" s="29" t="s">
        <v>18</v>
      </c>
      <c r="Q322">
        <f t="shared" ref="Q322:Q335" si="17">COUNTIFS($E$4:$E$18,N322,$F$4:$F$18,O322,$G$4:$G$18,P322)</f>
        <v>0</v>
      </c>
      <c r="R322">
        <f>ROUNDUP(Q322*0.2,0)</f>
        <v>0</v>
      </c>
    </row>
    <row r="323" spans="1:22">
      <c r="A323" t="s">
        <v>264</v>
      </c>
      <c r="B323" s="10" t="s">
        <v>15</v>
      </c>
      <c r="C323" s="28">
        <v>26.4</v>
      </c>
      <c r="D323">
        <v>41.822690231541181</v>
      </c>
      <c r="E323" s="27" t="str" cm="1">
        <f t="array" ref="E323">_xlfn.LET(
  _xlpm.tag, UPPER(TRIM(A323)),
  _xlpm.kw, N(C323),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23" s="27" t="str" cm="1">
        <f t="array" ref="F323">_xlfn.LET(
  _xlpm.tag, UPPER(TRIM(A323)),
  _xlpm.kw, N(C323),
  _xlpm.flc, N(D323),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23" s="27" t="str" cm="1">
        <f t="array" ref="G323">_xlfn.LET(
  _xlpm.c, UPPER(TRIM(_81IK6100018910111213141516[[#This Row],[Starter Type]])),
  _xlpm.kw, N(_81IK6100018910111213141516[[#This Row],[RATED POWER]]),
  _xlpm.flc, N(_81IK6100018910111213141516[[#This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v>
      </c>
      <c r="N323" s="33" t="s">
        <v>20</v>
      </c>
      <c r="O323" s="33" t="s">
        <v>21</v>
      </c>
      <c r="P323" s="33" t="s">
        <v>22</v>
      </c>
      <c r="Q323">
        <f t="shared" si="17"/>
        <v>2</v>
      </c>
      <c r="R323" s="34">
        <f t="shared" ref="R323:R335" si="18">ROUNDUP(Q323*0.2,0)</f>
        <v>1</v>
      </c>
    </row>
    <row r="324" spans="1:22">
      <c r="A324" t="s">
        <v>265</v>
      </c>
      <c r="B324" s="10" t="s">
        <v>15</v>
      </c>
      <c r="C324" s="28">
        <v>0.37</v>
      </c>
      <c r="D324">
        <v>1.0193936354196471</v>
      </c>
      <c r="E324" s="27" t="str" cm="1">
        <f t="array" ref="E324">_xlfn.LET(
  _xlpm.tag, UPPER(TRIM(A324)),
  _xlpm.kw, N(C324),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324" s="27" t="str" cm="1">
        <f t="array" ref="F324">_xlfn.LET(
  _xlpm.tag, UPPER(TRIM(A324)),
  _xlpm.kw, N(C324),
  _xlpm.flc, N(D324),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324" s="27" t="str" cm="1">
        <f t="array" ref="G324">_xlfn.LET(
  _xlpm.c, UPPER(TRIM(_81IK6100018910111213141516[[#This Row],[Starter Type]])),
  _xlpm.kw, N(_81IK6100018910111213141516[[#This Row],[RATED POWER]]),
  _xlpm.flc, N(_81IK6100018910111213141516[[#This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24" s="29" t="s">
        <v>24</v>
      </c>
      <c r="O324" s="29" t="s">
        <v>25</v>
      </c>
      <c r="P324" s="29" t="s">
        <v>22</v>
      </c>
      <c r="Q324">
        <f t="shared" si="17"/>
        <v>0</v>
      </c>
      <c r="R324">
        <f t="shared" si="18"/>
        <v>0</v>
      </c>
    </row>
    <row r="325" spans="1:22">
      <c r="A325" t="s">
        <v>266</v>
      </c>
      <c r="B325" s="10" t="s">
        <v>15</v>
      </c>
      <c r="C325" s="28">
        <v>0.37</v>
      </c>
      <c r="D325">
        <v>0.58615134036629701</v>
      </c>
      <c r="E325" s="27" t="str" cm="1">
        <f t="array" ref="E325">_xlfn.LET(
  _xlpm.tag, UPPER(TRIM(A325)),
  _xlpm.kw, N(C325),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325" s="27" t="str" cm="1">
        <f t="array" ref="F325">_xlfn.LET(
  _xlpm.tag, UPPER(TRIM(A325)),
  _xlpm.kw, N(C325),
  _xlpm.flc, N(D325),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325" s="27" t="str" cm="1">
        <f t="array" ref="G325">_xlfn.LET(
  _xlpm.c, UPPER(TRIM(_81IK6100018910111213141516[[#This Row],[Starter Type]])),
  _xlpm.kw, N(_81IK6100018910111213141516[[#This Row],[RATED POWER]]),
  _xlpm.flc, N(_81IK6100018910111213141516[[#This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25" s="29" t="s">
        <v>24</v>
      </c>
      <c r="O325" s="29" t="s">
        <v>25</v>
      </c>
      <c r="P325" s="29" t="s">
        <v>27</v>
      </c>
      <c r="Q325">
        <f t="shared" si="17"/>
        <v>0</v>
      </c>
      <c r="R325">
        <f t="shared" si="18"/>
        <v>0</v>
      </c>
    </row>
    <row r="326" spans="1:22">
      <c r="A326" t="s">
        <v>267</v>
      </c>
      <c r="B326" s="10" t="s">
        <v>15</v>
      </c>
      <c r="C326" s="28">
        <v>0.37</v>
      </c>
      <c r="D326">
        <v>0.58615134036629701</v>
      </c>
      <c r="E326" s="27" t="str" cm="1">
        <f t="array" ref="E326">_xlfn.LET(
  _xlpm.tag, UPPER(TRIM(A326)),
  _xlpm.kw, N(C326),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326" s="27" t="str" cm="1">
        <f t="array" ref="F326">_xlfn.LET(
  _xlpm.tag, UPPER(TRIM(A326)),
  _xlpm.kw, N(C326),
  _xlpm.flc, N(D326),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326" s="27" t="str" cm="1">
        <f t="array" ref="G326">_xlfn.LET(
  _xlpm.c, UPPER(TRIM(_81IK6100018910111213141516[[#This Row],[Starter Type]])),
  _xlpm.kw, N(_81IK6100018910111213141516[[#This Row],[RATED POWER]]),
  _xlpm.flc, N(_81IK6100018910111213141516[[#This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26" s="29" t="s">
        <v>29</v>
      </c>
      <c r="O326" s="29" t="s">
        <v>17</v>
      </c>
      <c r="P326" s="29" t="s">
        <v>18</v>
      </c>
      <c r="Q326">
        <f t="shared" si="17"/>
        <v>0</v>
      </c>
      <c r="R326">
        <f t="shared" si="18"/>
        <v>0</v>
      </c>
    </row>
    <row r="327" spans="1:22">
      <c r="A327" t="s">
        <v>268</v>
      </c>
      <c r="B327" s="10" t="s">
        <v>15</v>
      </c>
      <c r="C327" s="28">
        <v>1.4300000000000002</v>
      </c>
      <c r="D327">
        <v>2.2653957208751478</v>
      </c>
      <c r="E327" s="27" t="str" cm="1">
        <f t="array" ref="E327">_xlfn.LET(
  _xlpm.tag, UPPER(TRIM(A327)),
  _xlpm.kw, N(C327),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27" s="27" t="str" cm="1">
        <f t="array" ref="F327">_xlfn.LET(
  _xlpm.tag, UPPER(TRIM(A327)),
  _xlpm.kw, N(C327),
  _xlpm.flc, N(D327),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27" s="27" t="str" cm="1">
        <f t="array" ref="G327">_xlfn.LET(
  _xlpm.c, UPPER(TRIM(_81IK6100018910111213141516[[#This Row],[Starter Type]])),
  _xlpm.kw, N(_81IK6100018910111213141516[[#This Row],[RATED POWER]]),
  _xlpm.flc, N(_81IK6100018910111213141516[[#This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27" s="29" t="s">
        <v>20</v>
      </c>
      <c r="O327" s="29" t="s">
        <v>31</v>
      </c>
      <c r="P327" s="29" t="s">
        <v>32</v>
      </c>
      <c r="Q327">
        <f t="shared" si="17"/>
        <v>0</v>
      </c>
      <c r="R327">
        <f t="shared" si="18"/>
        <v>0</v>
      </c>
    </row>
    <row r="328" spans="1:22">
      <c r="A328" t="s">
        <v>269</v>
      </c>
      <c r="B328" s="10" t="s">
        <v>15</v>
      </c>
      <c r="C328" s="28">
        <v>0.44000000000000006</v>
      </c>
      <c r="D328">
        <v>0.69704483719235322</v>
      </c>
      <c r="E328" s="27" t="str" cm="1">
        <f t="array" ref="E328">_xlfn.LET(
  _xlpm.tag, UPPER(TRIM(A328)),
  _xlpm.kw, N(C328),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28" s="27" t="str" cm="1">
        <f t="array" ref="F328">_xlfn.LET(
  _xlpm.tag, UPPER(TRIM(A328)),
  _xlpm.kw, N(C328),
  _xlpm.flc, N(D328),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28" s="27" t="str" cm="1">
        <f t="array" ref="G328">_xlfn.LET(
  _xlpm.c, UPPER(TRIM(_81IK6100018910111213141516[[#This Row],[Starter Type]])),
  _xlpm.kw, N(_81IK6100018910111213141516[[#This Row],[RATED POWER]]),
  _xlpm.flc, N(_81IK6100018910111213141516[[#This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28" s="29" t="s">
        <v>20</v>
      </c>
      <c r="O328" s="29" t="s">
        <v>21</v>
      </c>
      <c r="P328" s="29" t="s">
        <v>32</v>
      </c>
      <c r="Q328">
        <f t="shared" si="17"/>
        <v>1</v>
      </c>
      <c r="R328">
        <f t="shared" si="18"/>
        <v>1</v>
      </c>
    </row>
    <row r="329" spans="1:22">
      <c r="A329" t="s">
        <v>270</v>
      </c>
      <c r="B329" s="10" t="s">
        <v>15</v>
      </c>
      <c r="C329" s="28">
        <v>0.9900000000000001</v>
      </c>
      <c r="D329">
        <v>1.5683508836827946</v>
      </c>
      <c r="E329" s="27" t="str" cm="1">
        <f t="array" ref="E329">_xlfn.LET(
  _xlpm.tag, UPPER(TRIM(A329)),
  _xlpm.kw, N(C329),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29" s="27" t="str" cm="1">
        <f t="array" ref="F329">_xlfn.LET(
  _xlpm.tag, UPPER(TRIM(A329)),
  _xlpm.kw, N(C329),
  _xlpm.flc, N(D329),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29" s="27" t="str" cm="1">
        <f t="array" ref="G329">_xlfn.LET(
  _xlpm.c, UPPER(TRIM(_81IK6100018910111213141516[[#This Row],[Starter Type]])),
  _xlpm.kw, N(_81IK6100018910111213141516[[#This Row],[RATED POWER]]),
  _xlpm.flc, N(_81IK6100018910111213141516[[#This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29" s="33" t="s">
        <v>20</v>
      </c>
      <c r="O329" s="33" t="s">
        <v>21</v>
      </c>
      <c r="P329" s="33" t="s">
        <v>27</v>
      </c>
      <c r="Q329">
        <f t="shared" si="17"/>
        <v>0</v>
      </c>
      <c r="R329" s="34">
        <f t="shared" si="18"/>
        <v>0</v>
      </c>
    </row>
    <row r="330" spans="1:22">
      <c r="A330" t="s">
        <v>271</v>
      </c>
      <c r="B330" s="10" t="s">
        <v>15</v>
      </c>
      <c r="C330" s="28">
        <v>0.77</v>
      </c>
      <c r="D330">
        <v>1.219828465086618</v>
      </c>
      <c r="E330" s="27" t="str" cm="1">
        <f t="array" ref="E330">_xlfn.LET(
  _xlpm.tag, UPPER(TRIM(A330)),
  _xlpm.kw, N(C330),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30" s="27" t="str" cm="1">
        <f t="array" ref="F330">_xlfn.LET(
  _xlpm.tag, UPPER(TRIM(A330)),
  _xlpm.kw, N(C330),
  _xlpm.flc, N(D330),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30" s="27" t="str" cm="1">
        <f t="array" ref="G330">_xlfn.LET(
  _xlpm.c, UPPER(TRIM(_81IK6100018910111213141516[[#This Row],[Starter Type]])),
  _xlpm.kw, N(_81IK6100018910111213141516[[#This Row],[RATED POWER]]),
  _xlpm.flc, N(_81IK6100018910111213141516[[#This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30" s="29" t="s">
        <v>36</v>
      </c>
      <c r="O330" s="29" t="s">
        <v>37</v>
      </c>
      <c r="P330" s="29" t="s">
        <v>32</v>
      </c>
      <c r="Q330">
        <f t="shared" si="17"/>
        <v>0</v>
      </c>
      <c r="R330">
        <f t="shared" si="18"/>
        <v>0</v>
      </c>
    </row>
    <row r="331" spans="1:22">
      <c r="A331" t="s">
        <v>272</v>
      </c>
      <c r="B331" s="10" t="s">
        <v>15</v>
      </c>
      <c r="C331" s="28">
        <v>1.2100000000000002</v>
      </c>
      <c r="D331">
        <v>1.9168733022789715</v>
      </c>
      <c r="E331" s="27" t="str" cm="1">
        <f t="array" ref="E331">_xlfn.LET(
  _xlpm.tag, UPPER(TRIM(A331)),
  _xlpm.kw, N(C331),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31" s="27" t="str" cm="1">
        <f t="array" ref="F331">_xlfn.LET(
  _xlpm.tag, UPPER(TRIM(A331)),
  _xlpm.kw, N(C331),
  _xlpm.flc, N(D331),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31" s="27" t="str" cm="1">
        <f t="array" ref="G331">_xlfn.LET(
  _xlpm.c, UPPER(TRIM(_81IK6100018910111213141516[[#This Row],[Starter Type]])),
  _xlpm.kw, N(_81IK6100018910111213141516[[#This Row],[RATED POWER]]),
  _xlpm.flc, N(_81IK6100018910111213141516[[#This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31" s="29" t="s">
        <v>16</v>
      </c>
      <c r="O331" s="29" t="s">
        <v>17</v>
      </c>
      <c r="P331" s="29" t="s">
        <v>39</v>
      </c>
      <c r="Q331">
        <f t="shared" si="17"/>
        <v>0</v>
      </c>
      <c r="R331">
        <f t="shared" si="18"/>
        <v>0</v>
      </c>
    </row>
    <row r="332" spans="1:22">
      <c r="A332" t="s">
        <v>273</v>
      </c>
      <c r="B332" s="10" t="s">
        <v>15</v>
      </c>
      <c r="C332" s="28">
        <v>0.77</v>
      </c>
      <c r="D332">
        <v>1.219828465086618</v>
      </c>
      <c r="E332" s="27" t="str" cm="1">
        <f t="array" ref="E332">_xlfn.LET(
  _xlpm.tag, UPPER(TRIM(A332)),
  _xlpm.kw, N(C332),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32" s="27" t="str" cm="1">
        <f t="array" ref="F332">_xlfn.LET(
  _xlpm.tag, UPPER(TRIM(A332)),
  _xlpm.kw, N(C332),
  _xlpm.flc, N(D332),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32" s="27" t="str" cm="1">
        <f t="array" ref="G332">_xlfn.LET(
  _xlpm.c, UPPER(TRIM(_81IK6100018910111213141516[[#This Row],[Starter Type]])),
  _xlpm.kw, N(_81IK6100018910111213141516[[#This Row],[RATED POWER]]),
  _xlpm.flc, N(_81IK6100018910111213141516[[#This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32" s="33" t="s">
        <v>41</v>
      </c>
      <c r="O332" s="33" t="s">
        <v>17</v>
      </c>
      <c r="P332" s="33" t="s">
        <v>32</v>
      </c>
      <c r="Q332">
        <f t="shared" si="17"/>
        <v>0</v>
      </c>
      <c r="R332" s="34">
        <f t="shared" si="18"/>
        <v>0</v>
      </c>
    </row>
    <row r="333" spans="1:22">
      <c r="A333" t="s">
        <v>274</v>
      </c>
      <c r="B333" s="10" t="s">
        <v>15</v>
      </c>
      <c r="C333" s="28">
        <v>0.55000000000000004</v>
      </c>
      <c r="D333">
        <v>0.87130604649044152</v>
      </c>
      <c r="E333" s="27" t="str" cm="1">
        <f t="array" ref="E333">_xlfn.LET(
  _xlpm.tag, UPPER(TRIM(A333)),
  _xlpm.kw, N(C333),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33" s="27" t="str" cm="1">
        <f t="array" ref="F333">_xlfn.LET(
  _xlpm.tag, UPPER(TRIM(A333)),
  _xlpm.kw, N(C333),
  _xlpm.flc, N(D333),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33" s="27" t="str" cm="1">
        <f t="array" ref="G333">_xlfn.LET(
  _xlpm.c, UPPER(TRIM(_81IK6100018910111213141516[[#This Row],[Starter Type]])),
  _xlpm.kw, N(_81IK6100018910111213141516[[#This Row],[RATED POWER]]),
  _xlpm.flc, N(_81IK6100018910111213141516[[#This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33" s="29" t="s">
        <v>43</v>
      </c>
      <c r="O333" s="29" t="s">
        <v>44</v>
      </c>
      <c r="P333" s="29" t="s">
        <v>22</v>
      </c>
      <c r="Q333">
        <f t="shared" si="17"/>
        <v>0</v>
      </c>
      <c r="R333">
        <f t="shared" si="18"/>
        <v>0</v>
      </c>
    </row>
    <row r="334" spans="1:22">
      <c r="A334" t="s">
        <v>275</v>
      </c>
      <c r="B334" s="10" t="s">
        <v>15</v>
      </c>
      <c r="C334" s="28">
        <v>0.88000000000000012</v>
      </c>
      <c r="D334">
        <v>1.3940896743847064</v>
      </c>
      <c r="E334" s="27" t="str" cm="1">
        <f t="array" ref="E334">_xlfn.LET(
  _xlpm.tag, UPPER(TRIM(A334)),
  _xlpm.kw, N(C334),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34" s="27" t="str" cm="1">
        <f t="array" ref="F334">_xlfn.LET(
  _xlpm.tag, UPPER(TRIM(A334)),
  _xlpm.kw, N(C334),
  _xlpm.flc, N(D334),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34" s="27" t="str" cm="1">
        <f t="array" ref="G334">_xlfn.LET(
  _xlpm.c, UPPER(TRIM(_81IK6100018910111213141516[[#This Row],[Starter Type]])),
  _xlpm.kw, N(_81IK6100018910111213141516[[#This Row],[RATED POWER]]),
  _xlpm.flc, N(_81IK6100018910111213141516[[#This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34" s="29" t="s">
        <v>36</v>
      </c>
      <c r="O334" s="29" t="s">
        <v>37</v>
      </c>
      <c r="P334" s="29" t="s">
        <v>27</v>
      </c>
      <c r="Q334">
        <f t="shared" si="17"/>
        <v>0</v>
      </c>
      <c r="R334">
        <f t="shared" si="18"/>
        <v>0</v>
      </c>
    </row>
    <row r="335" spans="1:22">
      <c r="A335" t="s">
        <v>276</v>
      </c>
      <c r="B335" s="10" t="s">
        <v>15</v>
      </c>
      <c r="C335" s="28">
        <v>5</v>
      </c>
      <c r="D335">
        <v>7.9209640590040129</v>
      </c>
      <c r="E335" s="27" t="str" cm="1">
        <f t="array" ref="E335">_xlfn.LET(
  _xlpm.tag, UPPER(TRIM(A335)),
  _xlpm.kw, N(C335),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35" s="27" t="str" cm="1">
        <f t="array" ref="F335">_xlfn.LET(
  _xlpm.tag, UPPER(TRIM(A335)),
  _xlpm.kw, N(C335),
  _xlpm.flc, N(D335),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35" s="27" t="str" cm="1">
        <f t="array" ref="G335">_xlfn.LET(
  _xlpm.c, UPPER(TRIM(_81IK6100018910111213141516[[#This Row],[Starter Type]])),
  _xlpm.kw, N(_81IK6100018910111213141516[[#This Row],[RATED POWER]]),
  _xlpm.flc, N(_81IK6100018910111213141516[[#This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35" t="s">
        <v>36</v>
      </c>
      <c r="O335" t="s">
        <v>37</v>
      </c>
      <c r="P335" t="s">
        <v>18</v>
      </c>
      <c r="Q335">
        <f t="shared" si="17"/>
        <v>0</v>
      </c>
      <c r="R335">
        <f t="shared" si="18"/>
        <v>0</v>
      </c>
    </row>
    <row r="336" spans="1:22">
      <c r="A336" t="s">
        <v>277</v>
      </c>
      <c r="B336" s="10" t="s">
        <v>15</v>
      </c>
      <c r="C336" s="28">
        <v>0.3</v>
      </c>
      <c r="D336">
        <v>0.82653538006998406</v>
      </c>
      <c r="E336" s="27" t="str" cm="1">
        <f t="array" ref="E336">_xlfn.LET(
  _xlpm.tag, UPPER(TRIM(A336)),
  _xlpm.kw, N(C336),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36" s="27" t="str" cm="1">
        <f t="array" ref="F336">_xlfn.LET(
  _xlpm.tag, UPPER(TRIM(A336)),
  _xlpm.kw, N(C336),
  _xlpm.flc, N(D336),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36" s="27" t="str" cm="1">
        <f t="array" ref="G336">_xlfn.LET(
  _xlpm.c, UPPER(TRIM(_81IK6100018910111213141516[[#This Row],[Starter Type]])),
  _xlpm.kw, N(_81IK6100018910111213141516[[#This Row],[RATED POWER]]),
  _xlpm.flc, N(_81IK6100018910111213141516[[#This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V336">
        <f>27-7</f>
        <v>20</v>
      </c>
    </row>
    <row r="337" spans="1:22">
      <c r="A337" t="s">
        <v>278</v>
      </c>
      <c r="B337" s="10" t="s">
        <v>15</v>
      </c>
      <c r="C337" s="28">
        <v>1</v>
      </c>
      <c r="D337">
        <v>2.7551179335666136</v>
      </c>
      <c r="E337" s="27" t="str" cm="1">
        <f t="array" ref="E337">_xlfn.LET(
  _xlpm.tag, UPPER(TRIM(A337)),
  _xlpm.kw, N(C337),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37" s="27" t="str" cm="1">
        <f t="array" ref="F337">_xlfn.LET(
  _xlpm.tag, UPPER(TRIM(A337)),
  _xlpm.kw, N(C337),
  _xlpm.flc, N(D337),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37" s="27" t="str" cm="1">
        <f t="array" ref="G337">_xlfn.LET(
  _xlpm.c, UPPER(TRIM(_81IK6100018910111213141516[[#This Row],[Starter Type]])),
  _xlpm.kw, N(_81IK6100018910111213141516[[#This Row],[RATED POWER]]),
  _xlpm.flc, N(_81IK6100018910111213141516[[#This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338" spans="1:22">
      <c r="A338" t="s">
        <v>279</v>
      </c>
      <c r="B338" s="10" t="s">
        <v>15</v>
      </c>
      <c r="C338" s="28">
        <v>1</v>
      </c>
      <c r="D338">
        <v>2.7551179335666136</v>
      </c>
      <c r="E338" s="27" t="str" cm="1">
        <f t="array" ref="E338">_xlfn.LET(
  _xlpm.tag, UPPER(TRIM(A338)),
  _xlpm.kw, N(C338),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38" s="27" t="str" cm="1">
        <f t="array" ref="F338">_xlfn.LET(
  _xlpm.tag, UPPER(TRIM(A338)),
  _xlpm.kw, N(C338),
  _xlpm.flc, N(D338),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38" s="27" t="str" cm="1">
        <f t="array" ref="G338">_xlfn.LET(
  _xlpm.c, UPPER(TRIM(_81IK6100018910111213141516[[#This Row],[Starter Type]])),
  _xlpm.kw, N(_81IK6100018910111213141516[[#This Row],[RATED POWER]]),
  _xlpm.flc, N(_81IK6100018910111213141516[[#This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342" spans="1:22">
      <c r="I342" s="10" t="s">
        <v>50</v>
      </c>
      <c r="J342" s="10" t="s">
        <v>51</v>
      </c>
      <c r="K342" s="10" t="s">
        <v>52</v>
      </c>
      <c r="L342" s="10" t="s">
        <v>53</v>
      </c>
      <c r="V342">
        <f>22+2</f>
        <v>24</v>
      </c>
    </row>
    <row r="343" spans="1:22">
      <c r="I343">
        <f>I344*1000</f>
        <v>1000</v>
      </c>
      <c r="J343">
        <f>800*J344</f>
        <v>800</v>
      </c>
      <c r="K343">
        <f>400*K344</f>
        <v>0</v>
      </c>
      <c r="L343" s="34">
        <f>I343+J343+K343</f>
        <v>1800</v>
      </c>
      <c r="N343">
        <f>L343+(1200*2)+600</f>
        <v>4800</v>
      </c>
      <c r="O343" s="10" t="s">
        <v>55</v>
      </c>
      <c r="V343">
        <f>V342-7</f>
        <v>17</v>
      </c>
    </row>
    <row r="344" spans="1:22">
      <c r="I344" cm="1">
        <f t="array" ref="I344">ROUNDUP(
  _xlfn.LET(
    _xlpm.arrange,$I$3,
    _xlpm.capE,IF(_xlpm.arrange="B2B",144,72),
    _xlpm.rng,G322:G338,
    _xlpm.totalE,SUMPRODUCT(
      IFERROR(
        VALUE(_xlfn.TEXTBEFORE(_xlpm.rng,"E")) / IFERROR(VALUE(_xlfn.TEXTAFTER(_xlpm.rng,"/")),1),
        0
      )
    ),
    CEILING((1+$J$4)*_xlpm.totalE/_xlpm.capE,1)
  ),
0)</f>
        <v>1</v>
      </c>
      <c r="J344">
        <v>1</v>
      </c>
      <c r="K344">
        <v>0</v>
      </c>
      <c r="L344" s="34">
        <f>I344+J344+K344</f>
        <v>2</v>
      </c>
    </row>
    <row r="345" spans="1:22">
      <c r="M345" t="s">
        <v>56</v>
      </c>
    </row>
    <row r="348" spans="1:22" ht="21">
      <c r="C348" s="57" t="s">
        <v>280</v>
      </c>
    </row>
    <row r="349" spans="1:22" ht="22.8">
      <c r="A349" s="56" t="s">
        <v>281</v>
      </c>
    </row>
    <row r="350" spans="1:22">
      <c r="A350" s="49"/>
    </row>
    <row r="351" spans="1:22">
      <c r="A351" s="23" t="s">
        <v>4</v>
      </c>
      <c r="B351" s="24" t="s">
        <v>5</v>
      </c>
      <c r="C351" s="24" t="s">
        <v>6</v>
      </c>
      <c r="D351" s="24" t="s">
        <v>7</v>
      </c>
      <c r="E351" s="24" t="s">
        <v>8</v>
      </c>
      <c r="F351" s="24" t="s">
        <v>9</v>
      </c>
      <c r="G351" s="25" t="s">
        <v>10</v>
      </c>
      <c r="H351" s="24" t="s">
        <v>11</v>
      </c>
      <c r="I351" s="10"/>
      <c r="Q351" s="10" t="s">
        <v>12</v>
      </c>
      <c r="R351" s="10" t="s">
        <v>13</v>
      </c>
    </row>
    <row r="352" spans="1:22">
      <c r="A352" t="s">
        <v>282</v>
      </c>
      <c r="B352" s="10" t="s">
        <v>15</v>
      </c>
      <c r="C352" s="28">
        <v>4.4000000000000004</v>
      </c>
      <c r="D352">
        <v>6.9704483719235322</v>
      </c>
      <c r="E352" s="27" t="str" cm="1">
        <f t="array" ref="E352">_xlfn.LET(
  _xlpm.tag, UPPER(TRIM(A352)),
  _xlpm.kw, N(C352),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52" s="27" t="str" cm="1">
        <f t="array" ref="F352">_xlfn.LET(
  _xlpm.tag, UPPER(TRIM(A352)),
  _xlpm.kw, N(C352),
  _xlpm.flc, N(D352),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52" s="27" t="str" cm="1">
        <f t="array" ref="G352">_xlfn.LET(
  _xlpm.c, UPPER(TRIM(_81IK610001891011121314151617[[#This Row],[Starter Type]])),
  _xlpm.kw, N(_81IK610001891011121314151617[[#This Row],[RATED POWER]]),
  _xlpm.flc, N(_81IK610001891011121314151617[[#This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I352" s="10"/>
      <c r="N352" s="29" t="s">
        <v>16</v>
      </c>
      <c r="O352" s="29" t="s">
        <v>17</v>
      </c>
      <c r="P352" s="29" t="s">
        <v>18</v>
      </c>
      <c r="Q352">
        <f t="shared" ref="Q352:Q365" si="19">COUNTIFS($E$4:$E$18,N352,$F$4:$F$18,O352,$G$4:$G$18,P352)</f>
        <v>0</v>
      </c>
      <c r="R352">
        <f>ROUNDUP(Q352*0.2,0)</f>
        <v>0</v>
      </c>
    </row>
    <row r="353" spans="1:18">
      <c r="A353" t="s">
        <v>283</v>
      </c>
      <c r="B353" s="10" t="s">
        <v>15</v>
      </c>
      <c r="C353" s="28">
        <v>0.2</v>
      </c>
      <c r="D353">
        <v>0.55102358671332274</v>
      </c>
      <c r="E353" s="27" t="s">
        <v>20</v>
      </c>
      <c r="F353" s="27" t="s">
        <v>21</v>
      </c>
      <c r="G353" s="27" t="str" cm="1">
        <f t="array" ref="G353">_xlfn.LET(
  _xlpm.c, UPPER(TRIM(_81IK610001891011121314151617[[#This Row],[Starter Type]])),
  _xlpm.kw, N(_81IK610001891011121314151617[[#This Row],[RATED POWER]]),
  _xlpm.flc, N(_81IK610001891011121314151617[[#This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53" s="33" t="s">
        <v>20</v>
      </c>
      <c r="O353" s="33" t="s">
        <v>21</v>
      </c>
      <c r="P353" s="33" t="s">
        <v>22</v>
      </c>
      <c r="Q353">
        <f t="shared" si="19"/>
        <v>2</v>
      </c>
      <c r="R353" s="34">
        <f t="shared" ref="R353:R365" si="20">ROUNDUP(Q353*0.2,0)</f>
        <v>1</v>
      </c>
    </row>
    <row r="354" spans="1:18">
      <c r="A354" t="s">
        <v>284</v>
      </c>
      <c r="B354" s="10" t="s">
        <v>15</v>
      </c>
      <c r="C354" s="28">
        <v>2</v>
      </c>
      <c r="D354">
        <v>3.1683856236016052</v>
      </c>
      <c r="E354" s="27" t="str" cm="1">
        <f t="array" ref="E354">_xlfn.LET(
  _xlpm.tag, UPPER(TRIM(A354)),
  _xlpm.kw, N(C354),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54" s="27" t="str" cm="1">
        <f t="array" ref="F354">_xlfn.LET(
  _xlpm.tag, UPPER(TRIM(A354)),
  _xlpm.kw, N(C354),
  _xlpm.flc, N(D354),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54" s="27" t="str" cm="1">
        <f t="array" ref="G354">_xlfn.LET(
  _xlpm.c, UPPER(TRIM(_81IK610001891011121314151617[[#This Row],[Starter Type]])),
  _xlpm.kw, N(_81IK610001891011121314151617[[#This Row],[RATED POWER]]),
  _xlpm.flc, N(_81IK610001891011121314151617[[#This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54" s="29" t="s">
        <v>24</v>
      </c>
      <c r="O354" s="29" t="s">
        <v>25</v>
      </c>
      <c r="P354" s="29" t="s">
        <v>22</v>
      </c>
      <c r="Q354">
        <f t="shared" si="19"/>
        <v>0</v>
      </c>
      <c r="R354">
        <f t="shared" si="20"/>
        <v>0</v>
      </c>
    </row>
    <row r="355" spans="1:18">
      <c r="A355" t="s">
        <v>285</v>
      </c>
      <c r="B355" s="10" t="s">
        <v>15</v>
      </c>
      <c r="C355" s="28">
        <v>1</v>
      </c>
      <c r="D355">
        <v>2.7551179335666136</v>
      </c>
      <c r="E355" s="27" t="str" cm="1">
        <f t="array" ref="E355">_xlfn.LET(
  _xlpm.tag, UPPER(TRIM(A355)),
  _xlpm.kw, N(C355),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55" s="27" t="str" cm="1">
        <f t="array" ref="F355">_xlfn.LET(
  _xlpm.tag, UPPER(TRIM(A355)),
  _xlpm.kw, N(C355),
  _xlpm.flc, N(D355),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55" s="27" t="str" cm="1">
        <f t="array" ref="G355">_xlfn.LET(
  _xlpm.c, UPPER(TRIM(_81IK610001891011121314151617[[#This Row],[Starter Type]])),
  _xlpm.kw, N(_81IK610001891011121314151617[[#This Row],[RATED POWER]]),
  _xlpm.flc, N(_81IK610001891011121314151617[[#This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55" s="29" t="s">
        <v>24</v>
      </c>
      <c r="O355" s="29" t="s">
        <v>25</v>
      </c>
      <c r="P355" s="29" t="s">
        <v>27</v>
      </c>
      <c r="Q355">
        <f t="shared" si="19"/>
        <v>0</v>
      </c>
      <c r="R355">
        <f t="shared" si="20"/>
        <v>0</v>
      </c>
    </row>
    <row r="356" spans="1:18">
      <c r="A356" t="s">
        <v>286</v>
      </c>
      <c r="B356" s="10" t="s">
        <v>15</v>
      </c>
      <c r="C356" s="28">
        <v>3.1</v>
      </c>
      <c r="D356">
        <v>4.9109977165824876</v>
      </c>
      <c r="E356" s="27" t="str" cm="1">
        <f t="array" ref="E356">_xlfn.LET(
  _xlpm.tag, UPPER(TRIM(A356)),
  _xlpm.kw, N(C356),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56" s="27" t="str" cm="1">
        <f t="array" ref="F356">_xlfn.LET(
  _xlpm.tag, UPPER(TRIM(A356)),
  _xlpm.kw, N(C356),
  _xlpm.flc, N(D356),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56" s="27" t="str" cm="1">
        <f t="array" ref="G356">_xlfn.LET(
  _xlpm.c, UPPER(TRIM(_81IK610001891011121314151617[[#This Row],[Starter Type]])),
  _xlpm.kw, N(_81IK610001891011121314151617[[#This Row],[RATED POWER]]),
  _xlpm.flc, N(_81IK610001891011121314151617[[#This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56" s="29" t="s">
        <v>29</v>
      </c>
      <c r="O356" s="29" t="s">
        <v>17</v>
      </c>
      <c r="P356" s="29" t="s">
        <v>18</v>
      </c>
      <c r="Q356">
        <f t="shared" si="19"/>
        <v>0</v>
      </c>
      <c r="R356">
        <f t="shared" si="20"/>
        <v>0</v>
      </c>
    </row>
    <row r="357" spans="1:18">
      <c r="N357" s="29" t="s">
        <v>20</v>
      </c>
      <c r="O357" s="29" t="s">
        <v>31</v>
      </c>
      <c r="P357" s="29" t="s">
        <v>32</v>
      </c>
      <c r="Q357">
        <f t="shared" si="19"/>
        <v>0</v>
      </c>
      <c r="R357">
        <f t="shared" si="20"/>
        <v>0</v>
      </c>
    </row>
    <row r="358" spans="1:18">
      <c r="N358" s="29" t="s">
        <v>20</v>
      </c>
      <c r="O358" s="29" t="s">
        <v>21</v>
      </c>
      <c r="P358" s="29" t="s">
        <v>32</v>
      </c>
      <c r="Q358">
        <f t="shared" si="19"/>
        <v>1</v>
      </c>
      <c r="R358">
        <f t="shared" si="20"/>
        <v>1</v>
      </c>
    </row>
    <row r="359" spans="1:18">
      <c r="N359" s="33" t="s">
        <v>20</v>
      </c>
      <c r="O359" s="33" t="s">
        <v>21</v>
      </c>
      <c r="P359" s="33" t="s">
        <v>27</v>
      </c>
      <c r="Q359">
        <f t="shared" si="19"/>
        <v>0</v>
      </c>
      <c r="R359" s="34">
        <f t="shared" si="20"/>
        <v>0</v>
      </c>
    </row>
    <row r="360" spans="1:18">
      <c r="N360" s="29" t="s">
        <v>36</v>
      </c>
      <c r="O360" s="29" t="s">
        <v>37</v>
      </c>
      <c r="P360" s="29" t="s">
        <v>32</v>
      </c>
      <c r="Q360">
        <f t="shared" si="19"/>
        <v>0</v>
      </c>
      <c r="R360">
        <f t="shared" si="20"/>
        <v>0</v>
      </c>
    </row>
    <row r="361" spans="1:18">
      <c r="N361" s="29" t="s">
        <v>16</v>
      </c>
      <c r="O361" s="29" t="s">
        <v>17</v>
      </c>
      <c r="P361" s="29" t="s">
        <v>39</v>
      </c>
      <c r="Q361">
        <f t="shared" si="19"/>
        <v>0</v>
      </c>
      <c r="R361">
        <f t="shared" si="20"/>
        <v>0</v>
      </c>
    </row>
    <row r="362" spans="1:18">
      <c r="N362" s="33" t="s">
        <v>41</v>
      </c>
      <c r="O362" s="33" t="s">
        <v>17</v>
      </c>
      <c r="P362" s="33" t="s">
        <v>32</v>
      </c>
      <c r="Q362">
        <f t="shared" si="19"/>
        <v>0</v>
      </c>
      <c r="R362" s="34">
        <f t="shared" si="20"/>
        <v>0</v>
      </c>
    </row>
    <row r="363" spans="1:18">
      <c r="N363" s="29" t="s">
        <v>43</v>
      </c>
      <c r="O363" s="29" t="s">
        <v>44</v>
      </c>
      <c r="P363" s="29" t="s">
        <v>22</v>
      </c>
      <c r="Q363">
        <f t="shared" si="19"/>
        <v>0</v>
      </c>
      <c r="R363">
        <f t="shared" si="20"/>
        <v>0</v>
      </c>
    </row>
    <row r="364" spans="1:18">
      <c r="N364" s="29" t="s">
        <v>36</v>
      </c>
      <c r="O364" s="29" t="s">
        <v>37</v>
      </c>
      <c r="P364" s="29" t="s">
        <v>27</v>
      </c>
      <c r="Q364">
        <f t="shared" si="19"/>
        <v>0</v>
      </c>
      <c r="R364">
        <f t="shared" si="20"/>
        <v>0</v>
      </c>
    </row>
    <row r="365" spans="1:18">
      <c r="N365" t="s">
        <v>36</v>
      </c>
      <c r="O365" t="s">
        <v>37</v>
      </c>
      <c r="P365" t="s">
        <v>18</v>
      </c>
      <c r="Q365">
        <f t="shared" si="19"/>
        <v>0</v>
      </c>
      <c r="R365">
        <f t="shared" si="20"/>
        <v>0</v>
      </c>
    </row>
    <row r="372" spans="1:18">
      <c r="I372" s="10" t="s">
        <v>50</v>
      </c>
      <c r="J372" s="10" t="s">
        <v>51</v>
      </c>
      <c r="K372" s="10" t="s">
        <v>52</v>
      </c>
      <c r="L372" s="10" t="s">
        <v>53</v>
      </c>
    </row>
    <row r="373" spans="1:18">
      <c r="I373">
        <f>I374*1000</f>
        <v>1000</v>
      </c>
      <c r="J373">
        <f>800*J374</f>
        <v>800</v>
      </c>
      <c r="K373">
        <f>400*K374</f>
        <v>0</v>
      </c>
      <c r="L373" s="34">
        <f>I373+J373+K373</f>
        <v>1800</v>
      </c>
      <c r="N373">
        <f>L373+(1200)+600</f>
        <v>3600</v>
      </c>
      <c r="O373" s="10" t="s">
        <v>55</v>
      </c>
    </row>
    <row r="374" spans="1:18">
      <c r="I374" cm="1">
        <f t="array" ref="I374">ROUNDUP(
  _xlfn.LET(
    _xlpm.arrange,$I$3,
    _xlpm.capE,IF(_xlpm.arrange="B2B",144,72),
    _xlpm.rng,G352:G356,
    _xlpm.totalE,SUMPRODUCT(
      IFERROR(
        VALUE(_xlfn.TEXTBEFORE(_xlpm.rng,"E")) / IFERROR(VALUE(_xlfn.TEXTAFTER(_xlpm.rng,"/")),1),
        0
      )
    ),
    CEILING((1+$J$4)*_xlpm.totalE/_xlpm.capE,1)
  ),
0)</f>
        <v>1</v>
      </c>
      <c r="J374">
        <v>1</v>
      </c>
      <c r="K374">
        <v>0</v>
      </c>
      <c r="L374" s="34">
        <f>I374+J374+K374</f>
        <v>2</v>
      </c>
    </row>
    <row r="375" spans="1:18">
      <c r="M375" t="s">
        <v>56</v>
      </c>
    </row>
    <row r="381" spans="1:18" ht="22.8">
      <c r="A381" s="56" t="s">
        <v>287</v>
      </c>
    </row>
    <row r="382" spans="1:18">
      <c r="A382" s="49"/>
    </row>
    <row r="383" spans="1:18">
      <c r="A383" s="23" t="s">
        <v>4</v>
      </c>
      <c r="B383" s="24" t="s">
        <v>5</v>
      </c>
      <c r="C383" s="24" t="s">
        <v>6</v>
      </c>
      <c r="D383" s="24" t="s">
        <v>7</v>
      </c>
      <c r="E383" s="24" t="s">
        <v>8</v>
      </c>
      <c r="F383" s="24" t="s">
        <v>9</v>
      </c>
      <c r="G383" s="25" t="s">
        <v>10</v>
      </c>
      <c r="H383" s="24" t="s">
        <v>11</v>
      </c>
      <c r="I383" s="10"/>
      <c r="Q383" s="10" t="s">
        <v>12</v>
      </c>
      <c r="R383" s="10" t="s">
        <v>13</v>
      </c>
    </row>
    <row r="384" spans="1:18">
      <c r="A384" t="s">
        <v>104</v>
      </c>
      <c r="B384" s="10" t="s">
        <v>15</v>
      </c>
      <c r="C384" s="28">
        <v>154.6</v>
      </c>
      <c r="D384">
        <v>244.91620870440406</v>
      </c>
      <c r="E384" s="27" t="str" cm="1">
        <f t="array" ref="E384">_xlfn.LET(
  _xlpm.tag, UPPER(TRIM(A384)),
  _xlpm.kw, N(C384),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384" s="27" t="str" cm="1">
        <f t="array" ref="F384">_xlfn.LET(
  _xlpm.tag, UPPER(TRIM(A384)),
  _xlpm.kw, N(C384),
  _xlpm.flc, N(D384),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384" s="27" t="str" cm="1">
        <f t="array" ref="G384">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I384" s="10"/>
      <c r="N384" s="29" t="s">
        <v>29</v>
      </c>
      <c r="O384" s="29" t="s">
        <v>17</v>
      </c>
      <c r="P384" s="29" t="s">
        <v>39</v>
      </c>
      <c r="Q384">
        <f t="shared" ref="Q384:Q389" si="21">COUNTIFS($E$384:$E$481,N384,$F$384:$F$481,O384,$G$384:$G$481,P384)</f>
        <v>7</v>
      </c>
      <c r="R384">
        <f t="shared" ref="R384:R389" si="22">ROUNDUP(Q384*0.2,0)</f>
        <v>2</v>
      </c>
    </row>
    <row r="385" spans="1:18">
      <c r="A385" t="s">
        <v>105</v>
      </c>
      <c r="B385" s="10" t="s">
        <v>15</v>
      </c>
      <c r="C385" s="28">
        <v>154.6</v>
      </c>
      <c r="D385">
        <v>244.91620870440406</v>
      </c>
      <c r="E385" s="27" t="str" cm="1">
        <f t="array" ref="E385">_xlfn.LET(
  _xlpm.tag, UPPER(TRIM(A385)),
  _xlpm.kw, N(C385),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385" s="27" t="str" cm="1">
        <f t="array" ref="F385">_xlfn.LET(
  _xlpm.tag, UPPER(TRIM(A385)),
  _xlpm.kw, N(C385),
  _xlpm.flc, N(D385),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385" s="27" t="str" cm="1">
        <f t="array" ref="G385">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N385" s="33" t="s">
        <v>20</v>
      </c>
      <c r="O385" s="33" t="s">
        <v>31</v>
      </c>
      <c r="P385" s="33" t="s">
        <v>39</v>
      </c>
      <c r="Q385">
        <f t="shared" si="21"/>
        <v>2</v>
      </c>
      <c r="R385" s="34">
        <f t="shared" si="22"/>
        <v>1</v>
      </c>
    </row>
    <row r="386" spans="1:18">
      <c r="A386" t="s">
        <v>106</v>
      </c>
      <c r="B386" s="10" t="s">
        <v>15</v>
      </c>
      <c r="C386" s="28">
        <v>56.7</v>
      </c>
      <c r="D386">
        <v>89.823732429105505</v>
      </c>
      <c r="E386" s="27" t="str" cm="1">
        <f t="array" ref="E386">_xlfn.LET(
  _xlpm.tag, UPPER(TRIM(A386)),
  _xlpm.kw, N(C386),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386" s="27" t="str" cm="1">
        <f t="array" ref="F386">_xlfn.LET(
  _xlpm.tag, UPPER(TRIM(A386)),
  _xlpm.kw, N(C386),
  _xlpm.flc, N(D386),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386" s="27" t="str" cm="1">
        <f t="array" ref="G386">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N386" s="29" t="s">
        <v>20</v>
      </c>
      <c r="O386" s="29" t="s">
        <v>21</v>
      </c>
      <c r="P386" s="29" t="s">
        <v>32</v>
      </c>
      <c r="Q386">
        <f t="shared" si="21"/>
        <v>3</v>
      </c>
      <c r="R386">
        <f t="shared" si="22"/>
        <v>1</v>
      </c>
    </row>
    <row r="387" spans="1:18">
      <c r="A387" t="s">
        <v>107</v>
      </c>
      <c r="B387" s="10" t="s">
        <v>15</v>
      </c>
      <c r="C387" s="28">
        <v>56.7</v>
      </c>
      <c r="D387">
        <v>89.823732429105505</v>
      </c>
      <c r="E387" s="27" t="str" cm="1">
        <f t="array" ref="E387">_xlfn.LET(
  _xlpm.tag, UPPER(TRIM(A387)),
  _xlpm.kw, N(C387),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387" s="27" t="str" cm="1">
        <f t="array" ref="F387">_xlfn.LET(
  _xlpm.tag, UPPER(TRIM(A387)),
  _xlpm.kw, N(C387),
  _xlpm.flc, N(D387),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387" s="27" t="str" cm="1">
        <f t="array" ref="G387">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N387" s="29" t="s">
        <v>41</v>
      </c>
      <c r="O387" s="29" t="s">
        <v>17</v>
      </c>
      <c r="P387" s="29" t="s">
        <v>288</v>
      </c>
      <c r="Q387">
        <f t="shared" si="21"/>
        <v>21</v>
      </c>
      <c r="R387">
        <f t="shared" si="22"/>
        <v>5</v>
      </c>
    </row>
    <row r="388" spans="1:18">
      <c r="A388" t="s">
        <v>108</v>
      </c>
      <c r="B388" s="10" t="s">
        <v>15</v>
      </c>
      <c r="C388" s="28">
        <v>211.2</v>
      </c>
      <c r="D388">
        <v>334.58152185232944</v>
      </c>
      <c r="E388" s="27" t="str" cm="1">
        <f t="array" ref="E388">_xlfn.LET(
  _xlpm.tag, UPPER(TRIM(A388)),
  _xlpm.kw, N(C388),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88" s="27" t="str" cm="1">
        <f t="array" ref="F388">_xlfn.LET(
  _xlpm.tag, UPPER(TRIM(A388)),
  _xlpm.kw, N(C388),
  _xlpm.flc, N(D388),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&gt; 160A, per Dwg LV3)</v>
      </c>
      <c r="G388" s="27" t="str" cm="1">
        <f t="array" ref="G388">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N388" s="29" t="s">
        <v>20</v>
      </c>
      <c r="O388" s="29" t="s">
        <v>21</v>
      </c>
      <c r="P388" s="29" t="s">
        <v>288</v>
      </c>
      <c r="Q388">
        <f t="shared" si="21"/>
        <v>63</v>
      </c>
      <c r="R388">
        <f t="shared" si="22"/>
        <v>13</v>
      </c>
    </row>
    <row r="389" spans="1:18">
      <c r="A389" t="s">
        <v>109</v>
      </c>
      <c r="B389" s="10" t="s">
        <v>15</v>
      </c>
      <c r="C389" s="28">
        <v>211.2</v>
      </c>
      <c r="D389">
        <v>334.58152185232944</v>
      </c>
      <c r="E389" s="27" t="str" cm="1">
        <f t="array" ref="E389">_xlfn.LET(
  _xlpm.tag, UPPER(TRIM(A389)),
  _xlpm.kw, N(C389),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89" s="27" t="str" cm="1">
        <f t="array" ref="F389">_xlfn.LET(
  _xlpm.tag, UPPER(TRIM(A389)),
  _xlpm.kw, N(C389),
  _xlpm.flc, N(D389),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&gt; 160A, per Dwg LV3)</v>
      </c>
      <c r="G389" s="27" t="str" cm="1">
        <f t="array" ref="G389">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c r="N389" s="29" t="s">
        <v>20</v>
      </c>
      <c r="O389" s="29" t="s">
        <v>21</v>
      </c>
      <c r="P389" s="29" t="s">
        <v>27</v>
      </c>
      <c r="Q389">
        <f t="shared" si="21"/>
        <v>2</v>
      </c>
      <c r="R389">
        <f t="shared" si="22"/>
        <v>1</v>
      </c>
    </row>
    <row r="390" spans="1:18">
      <c r="A390" t="s">
        <v>110</v>
      </c>
      <c r="B390" s="10" t="s">
        <v>15</v>
      </c>
      <c r="C390" s="28">
        <v>82.72</v>
      </c>
      <c r="D390">
        <v>131.04442939216239</v>
      </c>
      <c r="E390" s="27" t="str" cm="1">
        <f t="array" ref="E390">_xlfn.LET(
  _xlpm.tag, UPPER(TRIM(A390)),
  _xlpm.kw, N(C390),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90" s="27" t="str" cm="1">
        <f t="array" ref="F390">_xlfn.LET(
  _xlpm.tag, UPPER(TRIM(A390)),
  _xlpm.kw, N(C390),
  _xlpm.flc, N(D390),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90" s="27" t="str" cm="1">
        <f t="array" ref="G390">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16E</v>
      </c>
      <c r="N390" s="29"/>
      <c r="O390" s="29"/>
      <c r="P390" s="29"/>
    </row>
    <row r="391" spans="1:18">
      <c r="A391" t="s">
        <v>111</v>
      </c>
      <c r="B391" s="10" t="s">
        <v>15</v>
      </c>
      <c r="C391" s="28">
        <v>82.72</v>
      </c>
      <c r="D391">
        <v>131.04442939216239</v>
      </c>
      <c r="E391" s="27" t="str" cm="1">
        <f t="array" ref="E391">_xlfn.LET(
  _xlpm.tag, UPPER(TRIM(A391)),
  _xlpm.kw, N(C391),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91" s="27" t="str" cm="1">
        <f t="array" ref="F391">_xlfn.LET(
  _xlpm.tag, UPPER(TRIM(A391)),
  _xlpm.kw, N(C391),
  _xlpm.flc, N(D391),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91" s="27" t="str" cm="1">
        <f t="array" ref="G391">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16E</v>
      </c>
      <c r="N391" s="33"/>
      <c r="O391" s="33"/>
      <c r="P391" s="33"/>
      <c r="R391" s="34"/>
    </row>
    <row r="392" spans="1:18">
      <c r="A392" t="s">
        <v>112</v>
      </c>
      <c r="B392" s="10" t="s">
        <v>15</v>
      </c>
      <c r="C392" s="28">
        <v>11.46</v>
      </c>
      <c r="D392">
        <v>18.154849623237201</v>
      </c>
      <c r="E392" s="27" t="str" cm="1">
        <f t="array" ref="E392">_xlfn.LET(
  _xlpm.tag, UPPER(TRIM(A392)),
  _xlpm.kw, N(C392),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392" s="27" t="str" cm="1">
        <f t="array" ref="F392">_xlfn.LET(
  _xlpm.tag, UPPER(TRIM(A392)),
  _xlpm.kw, N(C392),
  _xlpm.flc, N(D392),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392" s="27" t="str" cm="1">
        <f t="array" ref="G392">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92" s="29"/>
      <c r="O392" s="29"/>
      <c r="P392" s="29"/>
    </row>
    <row r="393" spans="1:18">
      <c r="A393" t="s">
        <v>113</v>
      </c>
      <c r="B393" s="10" t="s">
        <v>15</v>
      </c>
      <c r="C393" s="28">
        <v>11.46</v>
      </c>
      <c r="D393">
        <v>18.154849623237201</v>
      </c>
      <c r="E393" s="27" t="str" cm="1">
        <f t="array" ref="E393">_xlfn.LET(
  _xlpm.tag, UPPER(TRIM(A393)),
  _xlpm.kw, N(C393),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393" s="27" t="str" cm="1">
        <f t="array" ref="F393">_xlfn.LET(
  _xlpm.tag, UPPER(TRIM(A393)),
  _xlpm.kw, N(C393),
  _xlpm.flc, N(D393),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393" s="27" t="str" cm="1">
        <f t="array" ref="G393">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93" s="29"/>
      <c r="O393" s="29"/>
      <c r="P393" s="29"/>
    </row>
    <row r="394" spans="1:18">
      <c r="A394" t="s">
        <v>114</v>
      </c>
      <c r="B394" s="10" t="s">
        <v>15</v>
      </c>
      <c r="C394" s="28">
        <v>4.49</v>
      </c>
      <c r="D394">
        <v>7.1130257249856044</v>
      </c>
      <c r="E394" s="27" t="str" cm="1">
        <f t="array" ref="E394">_xlfn.LET(
  _xlpm.tag, UPPER(TRIM(A394)),
  _xlpm.kw, N(C394),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394" s="27" t="str" cm="1">
        <f t="array" ref="F394">_xlfn.LET(
  _xlpm.tag, UPPER(TRIM(A394)),
  _xlpm.kw, N(C394),
  _xlpm.flc, N(D394),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394" s="27" t="str" cm="1">
        <f t="array" ref="G394">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94" s="33"/>
      <c r="O394" s="33"/>
      <c r="P394" s="33"/>
      <c r="R394" s="34"/>
    </row>
    <row r="395" spans="1:18">
      <c r="A395" t="s">
        <v>115</v>
      </c>
      <c r="B395" s="10" t="s">
        <v>15</v>
      </c>
      <c r="C395" s="28">
        <v>4.49</v>
      </c>
      <c r="D395">
        <v>7.1130257249856044</v>
      </c>
      <c r="E395" s="27" t="str" cm="1">
        <f t="array" ref="E395">_xlfn.LET(
  _xlpm.tag, UPPER(TRIM(A395)),
  _xlpm.kw, N(C395),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395" s="27" t="str" cm="1">
        <f t="array" ref="F395">_xlfn.LET(
  _xlpm.tag, UPPER(TRIM(A395)),
  _xlpm.kw, N(C395),
  _xlpm.flc, N(D395),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395" s="27" t="str" cm="1">
        <f t="array" ref="G395">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95" s="29"/>
      <c r="O395" s="29"/>
      <c r="P395" s="29"/>
    </row>
    <row r="396" spans="1:18">
      <c r="A396" t="s">
        <v>116</v>
      </c>
      <c r="B396" s="10" t="s">
        <v>15</v>
      </c>
      <c r="C396" s="28">
        <v>2.7</v>
      </c>
      <c r="D396">
        <v>4.2773205918621668</v>
      </c>
      <c r="E396" s="27" t="str" cm="1">
        <f t="array" ref="E396">_xlfn.LET(
  _xlpm.tag, UPPER(TRIM(A396)),
  _xlpm.kw, N(C396),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396" s="27" t="str" cm="1">
        <f t="array" ref="F396">_xlfn.LET(
  _xlpm.tag, UPPER(TRIM(A396)),
  _xlpm.kw, N(C396),
  _xlpm.flc, N(D396),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396" s="27" t="str" cm="1">
        <f t="array" ref="G396">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N396" s="29"/>
      <c r="O396" s="29"/>
      <c r="P396" s="29"/>
    </row>
    <row r="397" spans="1:18">
      <c r="A397" t="s">
        <v>117</v>
      </c>
      <c r="B397" s="10" t="s">
        <v>15</v>
      </c>
      <c r="C397" s="28">
        <v>0.4</v>
      </c>
      <c r="D397">
        <v>0.63367712472032112</v>
      </c>
      <c r="E397" s="27" t="str" cm="1">
        <f t="array" ref="E397">_xlfn.LET(
  _xlpm.tag, UPPER(TRIM(A397)),
  _xlpm.kw, N(C397),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397" s="27" t="str" cm="1">
        <f t="array" ref="F397">_xlfn.LET(
  _xlpm.tag, UPPER(TRIM(A397)),
  _xlpm.kw, N(C397),
  _xlpm.flc, N(D397),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397" s="27" t="str" cm="1">
        <f t="array" ref="G397">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398" spans="1:18">
      <c r="A398" t="s">
        <v>118</v>
      </c>
      <c r="B398" s="10" t="s">
        <v>15</v>
      </c>
      <c r="C398" s="28">
        <v>0.4</v>
      </c>
      <c r="D398">
        <v>0.63367712472032112</v>
      </c>
      <c r="E398" s="27" t="str" cm="1">
        <f t="array" ref="E398">_xlfn.LET(
  _xlpm.tag, UPPER(TRIM(A398)),
  _xlpm.kw, N(C398),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398" s="27" t="str" cm="1">
        <f t="array" ref="F398">_xlfn.LET(
  _xlpm.tag, UPPER(TRIM(A398)),
  _xlpm.kw, N(C398),
  _xlpm.flc, N(D398),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398" s="27" t="str" cm="1">
        <f t="array" ref="G398">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399" spans="1:18">
      <c r="A399" t="s">
        <v>119</v>
      </c>
      <c r="B399" s="10" t="s">
        <v>15</v>
      </c>
      <c r="C399" s="28">
        <v>0.7</v>
      </c>
      <c r="D399">
        <v>1.1089349682605618</v>
      </c>
      <c r="E399" s="27" t="str" cm="1">
        <f t="array" ref="E399">_xlfn.LET(
  _xlpm.tag, UPPER(TRIM(A399)),
  _xlpm.kw, N(C399),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399" s="27" t="str" cm="1">
        <f t="array" ref="F399">_xlfn.LET(
  _xlpm.tag, UPPER(TRIM(A399)),
  _xlpm.kw, N(C399),
  _xlpm.flc, N(D399),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399" s="27" t="str" cm="1">
        <f t="array" ref="G399">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00" spans="1:18">
      <c r="A400" t="s">
        <v>120</v>
      </c>
      <c r="B400" s="10" t="s">
        <v>15</v>
      </c>
      <c r="C400" s="28">
        <v>0.7</v>
      </c>
      <c r="D400">
        <v>1.1089349682605618</v>
      </c>
      <c r="E400" s="27" t="str" cm="1">
        <f t="array" ref="E400">_xlfn.LET(
  _xlpm.tag, UPPER(TRIM(A400)),
  _xlpm.kw, N(C400),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400" s="27" t="str" cm="1">
        <f t="array" ref="F400">_xlfn.LET(
  _xlpm.tag, UPPER(TRIM(A400)),
  _xlpm.kw, N(C400),
  _xlpm.flc, N(D400),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00" s="27" t="str" cm="1">
        <f t="array" ref="G400">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01" spans="1:18">
      <c r="A401" t="s">
        <v>121</v>
      </c>
      <c r="B401" s="10" t="s">
        <v>15</v>
      </c>
      <c r="C401" s="28">
        <v>0.4</v>
      </c>
      <c r="D401">
        <v>1.1020471734266455</v>
      </c>
      <c r="E401" s="27" t="str" cm="1">
        <f t="array" ref="E401">_xlfn.LET(
  _xlpm.tag, UPPER(TRIM(A401)),
  _xlpm.kw, N(C401),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401" s="27" t="str" cm="1">
        <f t="array" ref="F401">_xlfn.LET(
  _xlpm.tag, UPPER(TRIM(A401)),
  _xlpm.kw, N(C401),
  _xlpm.flc, N(D401),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01" s="27" t="str" cm="1">
        <f t="array" ref="G401">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02" spans="1:18">
      <c r="A402" t="s">
        <v>122</v>
      </c>
      <c r="B402" s="10" t="s">
        <v>15</v>
      </c>
      <c r="C402" s="28">
        <v>1.9</v>
      </c>
      <c r="D402">
        <v>3.0099663424215248</v>
      </c>
      <c r="E402" s="27" t="str" cm="1">
        <f t="array" ref="E402">_xlfn.LET(
  _xlpm.tag, UPPER(TRIM(A402)),
  _xlpm.kw, N(C402),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402" s="27" t="str" cm="1">
        <f t="array" ref="F402">_xlfn.LET(
  _xlpm.tag, UPPER(TRIM(A402)),
  _xlpm.kw, N(C402),
  _xlpm.flc, N(D402),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02" s="27" t="str" cm="1">
        <f t="array" ref="G402">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03" spans="1:18">
      <c r="A403" t="s">
        <v>123</v>
      </c>
      <c r="B403" s="10" t="s">
        <v>15</v>
      </c>
      <c r="C403" s="28">
        <v>1.9</v>
      </c>
      <c r="D403">
        <v>3.0099663424215248</v>
      </c>
      <c r="E403" s="27" t="str" cm="1">
        <f t="array" ref="E403">_xlfn.LET(
  _xlpm.tag, UPPER(TRIM(A403)),
  _xlpm.kw, N(C403),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403" s="27" t="str" cm="1">
        <f t="array" ref="F403">_xlfn.LET(
  _xlpm.tag, UPPER(TRIM(A403)),
  _xlpm.kw, N(C403),
  _xlpm.flc, N(D403),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03" s="27" t="str" cm="1">
        <f t="array" ref="G403">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04" spans="1:18">
      <c r="A404" t="s">
        <v>124</v>
      </c>
      <c r="B404" s="10" t="s">
        <v>15</v>
      </c>
      <c r="C404" s="28">
        <v>0.4</v>
      </c>
      <c r="D404">
        <v>0.63367712472032112</v>
      </c>
      <c r="E404" s="27" t="str" cm="1">
        <f t="array" ref="E404">_xlfn.LET(
  _xlpm.tag, UPPER(TRIM(A404)),
  _xlpm.kw, N(C404),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404" s="27" t="str" cm="1">
        <f t="array" ref="F404">_xlfn.LET(
  _xlpm.tag, UPPER(TRIM(A404)),
  _xlpm.kw, N(C404),
  _xlpm.flc, N(D404),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04" s="27" t="str" cm="1">
        <f t="array" ref="G404">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05" spans="1:18">
      <c r="A405" t="s">
        <v>125</v>
      </c>
      <c r="B405" s="10" t="s">
        <v>15</v>
      </c>
      <c r="C405" s="28">
        <v>0.4</v>
      </c>
      <c r="D405">
        <v>0.63367712472032112</v>
      </c>
      <c r="E405" s="27" t="str" cm="1">
        <f t="array" ref="E405">_xlfn.LET(
  _xlpm.tag, UPPER(TRIM(A405)),
  _xlpm.kw, N(C405),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405" s="27" t="str" cm="1">
        <f t="array" ref="F405">_xlfn.LET(
  _xlpm.tag, UPPER(TRIM(A405)),
  _xlpm.kw, N(C405),
  _xlpm.flc, N(D405),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05" s="27" t="str" cm="1">
        <f t="array" ref="G405">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c r="R405" s="10"/>
    </row>
    <row r="406" spans="1:18">
      <c r="A406" t="s">
        <v>126</v>
      </c>
      <c r="B406" s="10" t="s">
        <v>15</v>
      </c>
      <c r="C406" s="28">
        <v>1.54</v>
      </c>
      <c r="D406">
        <v>2.439656930173236</v>
      </c>
      <c r="E406" s="27" t="str" cm="1">
        <f t="array" ref="E406">_xlfn.LET(
  _xlpm.tag, UPPER(TRIM(A406)),
  _xlpm.kw, N(C406),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06" s="27" t="str" cm="1">
        <f t="array" ref="F406">_xlfn.LET(
  _xlpm.tag, UPPER(TRIM(A406)),
  _xlpm.kw, N(C406),
  _xlpm.flc, N(D406),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06" s="27" t="str" cm="1">
        <f t="array" ref="G406">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07" spans="1:18">
      <c r="A407" t="s">
        <v>127</v>
      </c>
      <c r="B407" s="10" t="s">
        <v>15</v>
      </c>
      <c r="C407" s="28">
        <v>3.19</v>
      </c>
      <c r="D407">
        <v>5.0535750696445598</v>
      </c>
      <c r="E407" s="27" t="str" cm="1">
        <f t="array" ref="E407">_xlfn.LET(
  _xlpm.tag, UPPER(TRIM(A407)),
  _xlpm.kw, N(C407),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07" s="27" t="str" cm="1">
        <f t="array" ref="F407">_xlfn.LET(
  _xlpm.tag, UPPER(TRIM(A407)),
  _xlpm.kw, N(C407),
  _xlpm.flc, N(D407),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07" s="27" t="str" cm="1">
        <f t="array" ref="G407">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08" spans="1:18">
      <c r="A408" t="s">
        <v>128</v>
      </c>
      <c r="B408" s="10" t="s">
        <v>15</v>
      </c>
      <c r="C408" s="28">
        <v>6.16</v>
      </c>
      <c r="D408">
        <v>9.7586277206929442</v>
      </c>
      <c r="E408" s="27" t="str" cm="1">
        <f t="array" ref="E408">_xlfn.LET(
  _xlpm.tag, UPPER(TRIM(A408)),
  _xlpm.kw, N(C408),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08" s="27" t="str" cm="1">
        <f t="array" ref="F408">_xlfn.LET(
  _xlpm.tag, UPPER(TRIM(A408)),
  _xlpm.kw, N(C408),
  _xlpm.flc, N(D408),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08" s="27" t="str" cm="1">
        <f t="array" ref="G408">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09" spans="1:18">
      <c r="A409" t="s">
        <v>129</v>
      </c>
      <c r="B409" s="10" t="s">
        <v>15</v>
      </c>
      <c r="C409" s="28">
        <v>1.87</v>
      </c>
      <c r="D409">
        <v>2.9624405580675006</v>
      </c>
      <c r="E409" s="27" t="str" cm="1">
        <f t="array" ref="E409">_xlfn.LET(
  _xlpm.tag, UPPER(TRIM(A409)),
  _xlpm.kw, N(C409),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09" s="27" t="str" cm="1">
        <f t="array" ref="F409">_xlfn.LET(
  _xlpm.tag, UPPER(TRIM(A409)),
  _xlpm.kw, N(C409),
  _xlpm.flc, N(D409),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09" s="27" t="str" cm="1">
        <f t="array" ref="G409">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10" spans="1:18">
      <c r="A410" t="s">
        <v>130</v>
      </c>
      <c r="B410" s="10" t="s">
        <v>15</v>
      </c>
      <c r="C410" s="28">
        <v>2.5299999999999998</v>
      </c>
      <c r="D410">
        <v>4.0080078138560298</v>
      </c>
      <c r="E410" s="27" t="str" cm="1">
        <f t="array" ref="E410">_xlfn.LET(
  _xlpm.tag, UPPER(TRIM(A410)),
  _xlpm.kw, N(C410),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10" s="27" t="str" cm="1">
        <f t="array" ref="F410">_xlfn.LET(
  _xlpm.tag, UPPER(TRIM(A410)),
  _xlpm.kw, N(C410),
  _xlpm.flc, N(D410),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10" s="27" t="str" cm="1">
        <f t="array" ref="G410">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11" spans="1:18">
      <c r="A411" t="s">
        <v>131</v>
      </c>
      <c r="B411" s="10" t="s">
        <v>15</v>
      </c>
      <c r="C411" s="28">
        <v>2.9700000000000006</v>
      </c>
      <c r="D411">
        <v>4.7050526510483843</v>
      </c>
      <c r="E411" s="27" t="str" cm="1">
        <f t="array" ref="E411">_xlfn.LET(
  _xlpm.tag, UPPER(TRIM(A411)),
  _xlpm.kw, N(C411),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11" s="27" t="str" cm="1">
        <f t="array" ref="F411">_xlfn.LET(
  _xlpm.tag, UPPER(TRIM(A411)),
  _xlpm.kw, N(C411),
  _xlpm.flc, N(D411),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11" s="27" t="str" cm="1">
        <f t="array" ref="G411">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12" spans="1:18">
      <c r="A412" t="s">
        <v>132</v>
      </c>
      <c r="B412" s="10" t="s">
        <v>15</v>
      </c>
      <c r="C412" s="28">
        <v>3.3000000000000003</v>
      </c>
      <c r="D412">
        <v>5.2278362789426485</v>
      </c>
      <c r="E412" s="27" t="str" cm="1">
        <f t="array" ref="E412">_xlfn.LET(
  _xlpm.tag, UPPER(TRIM(A412)),
  _xlpm.kw, N(C412),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12" s="27" t="str" cm="1">
        <f t="array" ref="F412">_xlfn.LET(
  _xlpm.tag, UPPER(TRIM(A412)),
  _xlpm.kw, N(C412),
  _xlpm.flc, N(D412),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12" s="27" t="str" cm="1">
        <f t="array" ref="G412">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13" spans="1:18">
      <c r="A413" t="s">
        <v>133</v>
      </c>
      <c r="B413" s="10" t="s">
        <v>15</v>
      </c>
      <c r="C413" s="28">
        <v>1.87</v>
      </c>
      <c r="D413">
        <v>2.9624405580675006</v>
      </c>
      <c r="E413" s="27" t="str" cm="1">
        <f t="array" ref="E413">_xlfn.LET(
  _xlpm.tag, UPPER(TRIM(A413)),
  _xlpm.kw, N(C413),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13" s="27" t="str" cm="1">
        <f t="array" ref="F413">_xlfn.LET(
  _xlpm.tag, UPPER(TRIM(A413)),
  _xlpm.kw, N(C413),
  _xlpm.flc, N(D413),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13" s="27" t="str" cm="1">
        <f t="array" ref="G413">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14" spans="1:18">
      <c r="A414" t="s">
        <v>134</v>
      </c>
      <c r="B414" s="10" t="s">
        <v>15</v>
      </c>
      <c r="C414" s="28">
        <v>1.87</v>
      </c>
      <c r="D414">
        <v>2.9624405580675006</v>
      </c>
      <c r="E414" s="27" t="str" cm="1">
        <f t="array" ref="E414">_xlfn.LET(
  _xlpm.tag, UPPER(TRIM(A414)),
  _xlpm.kw, N(C414),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14" s="27" t="str" cm="1">
        <f t="array" ref="F414">_xlfn.LET(
  _xlpm.tag, UPPER(TRIM(A414)),
  _xlpm.kw, N(C414),
  _xlpm.flc, N(D414),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14" s="27" t="str" cm="1">
        <f t="array" ref="G414">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15" spans="1:18">
      <c r="A415" t="s">
        <v>135</v>
      </c>
      <c r="B415" s="10" t="s">
        <v>15</v>
      </c>
      <c r="C415" s="28">
        <v>4.07</v>
      </c>
      <c r="D415">
        <v>6.4476647440292663</v>
      </c>
      <c r="E415" s="27" t="str" cm="1">
        <f t="array" ref="E415">_xlfn.LET(
  _xlpm.tag, UPPER(TRIM(A415)),
  _xlpm.kw, N(C415),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15" s="27" t="str" cm="1">
        <f t="array" ref="F415">_xlfn.LET(
  _xlpm.tag, UPPER(TRIM(A415)),
  _xlpm.kw, N(C415),
  _xlpm.flc, N(D415),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15" s="27" t="str" cm="1">
        <f t="array" ref="G415">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16" spans="1:18">
      <c r="A416" t="s">
        <v>136</v>
      </c>
      <c r="B416" s="10" t="s">
        <v>15</v>
      </c>
      <c r="C416" s="28">
        <v>1.1000000000000001</v>
      </c>
      <c r="D416">
        <v>1.742612092980883</v>
      </c>
      <c r="E416" s="27" t="str" cm="1">
        <f t="array" ref="E416">_xlfn.LET(
  _xlpm.tag, UPPER(TRIM(A416)),
  _xlpm.kw, N(C416),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16" s="27" t="str" cm="1">
        <f t="array" ref="F416">_xlfn.LET(
  _xlpm.tag, UPPER(TRIM(A416)),
  _xlpm.kw, N(C416),
  _xlpm.flc, N(D416),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16" s="27" t="str" cm="1">
        <f t="array" ref="G416">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17" spans="1:7">
      <c r="A417" t="s">
        <v>137</v>
      </c>
      <c r="B417" s="10" t="s">
        <v>15</v>
      </c>
      <c r="C417" s="28">
        <v>1.2100000000000002</v>
      </c>
      <c r="D417">
        <v>1.9168733022789715</v>
      </c>
      <c r="E417" s="27" t="str" cm="1">
        <f t="array" ref="E417">_xlfn.LET(
  _xlpm.tag, UPPER(TRIM(A417)),
  _xlpm.kw, N(C417),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17" s="27" t="str" cm="1">
        <f t="array" ref="F417">_xlfn.LET(
  _xlpm.tag, UPPER(TRIM(A417)),
  _xlpm.kw, N(C417),
  _xlpm.flc, N(D417),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17" s="27" t="str" cm="1">
        <f t="array" ref="G417">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18" spans="1:7">
      <c r="A418" t="s">
        <v>138</v>
      </c>
      <c r="B418" s="10" t="s">
        <v>15</v>
      </c>
      <c r="C418" s="28">
        <v>5</v>
      </c>
      <c r="D418">
        <v>7.9209640590040129</v>
      </c>
      <c r="E418" s="27" t="str" cm="1">
        <f t="array" ref="E418">_xlfn.LET(
  _xlpm.tag, UPPER(TRIM(A418)),
  _xlpm.kw, N(C418),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18" s="27" t="str" cm="1">
        <f t="array" ref="F418">_xlfn.LET(
  _xlpm.tag, UPPER(TRIM(A418)),
  _xlpm.kw, N(C418),
  _xlpm.flc, N(D418),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18" s="27" t="str" cm="1">
        <f t="array" ref="G418">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19" spans="1:7">
      <c r="A419" t="s">
        <v>139</v>
      </c>
      <c r="B419" s="10" t="s">
        <v>15</v>
      </c>
      <c r="C419" s="28">
        <v>0.3</v>
      </c>
      <c r="D419">
        <v>0.82653538006998406</v>
      </c>
      <c r="E419" s="27" t="str" cm="1">
        <f t="array" ref="E419">_xlfn.LET(
  _xlpm.tag, UPPER(TRIM(A419)),
  _xlpm.kw, N(C419),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19" s="27" t="str" cm="1">
        <f t="array" ref="F419">_xlfn.LET(
  _xlpm.tag, UPPER(TRIM(A419)),
  _xlpm.kw, N(C419),
  _xlpm.flc, N(D419),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19" s="27" t="str" cm="1">
        <f t="array" ref="G419">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20" spans="1:7">
      <c r="A420" t="s">
        <v>140</v>
      </c>
      <c r="B420" s="10" t="s">
        <v>15</v>
      </c>
      <c r="C420" s="28">
        <v>1</v>
      </c>
      <c r="D420">
        <v>2.7551179335666136</v>
      </c>
      <c r="E420" s="27" t="str" cm="1">
        <f t="array" ref="E420">_xlfn.LET(
  _xlpm.tag, UPPER(TRIM(A420)),
  _xlpm.kw, N(C420),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20" s="27" t="str" cm="1">
        <f t="array" ref="F420">_xlfn.LET(
  _xlpm.tag, UPPER(TRIM(A420)),
  _xlpm.kw, N(C420),
  _xlpm.flc, N(D420),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20" s="27" t="str" cm="1">
        <f t="array" ref="G420">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21" spans="1:7">
      <c r="A421" t="s">
        <v>141</v>
      </c>
      <c r="B421" s="10" t="s">
        <v>15</v>
      </c>
      <c r="C421" s="28">
        <v>1</v>
      </c>
      <c r="D421">
        <v>2.7551179335666136</v>
      </c>
      <c r="E421" s="27" t="str" cm="1">
        <f t="array" ref="E421">_xlfn.LET(
  _xlpm.tag, UPPER(TRIM(A421)),
  _xlpm.kw, N(C421),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21" s="27" t="str" cm="1">
        <f t="array" ref="F421">_xlfn.LET(
  _xlpm.tag, UPPER(TRIM(A421)),
  _xlpm.kw, N(C421),
  _xlpm.flc, N(D421),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21" s="27" t="str" cm="1">
        <f t="array" ref="G421">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22" spans="1:7">
      <c r="A422" t="s">
        <v>142</v>
      </c>
      <c r="B422" s="10" t="s">
        <v>15</v>
      </c>
      <c r="C422" s="28">
        <v>1</v>
      </c>
      <c r="D422">
        <v>2.7551179335666136</v>
      </c>
      <c r="E422" s="27" t="str" cm="1">
        <f t="array" ref="E422">_xlfn.LET(
  _xlpm.tag, UPPER(TRIM(A422)),
  _xlpm.kw, N(C422),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22" s="27" t="str" cm="1">
        <f t="array" ref="F422">_xlfn.LET(
  _xlpm.tag, UPPER(TRIM(A422)),
  _xlpm.kw, N(C422),
  _xlpm.flc, N(D422),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22" s="27" t="str" cm="1">
        <f t="array" ref="G422">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23" spans="1:7">
      <c r="A423" t="s">
        <v>144</v>
      </c>
      <c r="B423" s="10" t="s">
        <v>15</v>
      </c>
      <c r="C423" s="28">
        <v>26.3</v>
      </c>
      <c r="D423">
        <v>41.664270950361107</v>
      </c>
      <c r="E423" s="27" t="str" cm="1">
        <f t="array" ref="E423">_xlfn.LET(
  _xlpm.tag, UPPER(TRIM(A423)),
  _xlpm.kw, N(C423),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423" s="27" t="str" cm="1">
        <f t="array" ref="F423">_xlfn.LET(
  _xlpm.tag, UPPER(TRIM(A423)),
  _xlpm.kw, N(C423),
  _xlpm.flc, N(D423),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23" s="27" t="str" cm="1">
        <f t="array" ref="G423">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row>
    <row r="424" spans="1:7">
      <c r="A424" t="s">
        <v>145</v>
      </c>
      <c r="B424" s="10" t="s">
        <v>15</v>
      </c>
      <c r="C424" s="28">
        <v>26.3</v>
      </c>
      <c r="D424">
        <v>41.664270950361107</v>
      </c>
      <c r="E424" s="27" t="str" cm="1">
        <f t="array" ref="E424">_xlfn.LET(
  _xlpm.tag, UPPER(TRIM(A424)),
  _xlpm.kw, N(C424),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424" s="27" t="str" cm="1">
        <f t="array" ref="F424">_xlfn.LET(
  _xlpm.tag, UPPER(TRIM(A424)),
  _xlpm.kw, N(C424),
  _xlpm.flc, N(D424),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24" s="27" t="str" cm="1">
        <f t="array" ref="G424">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row>
    <row r="425" spans="1:7">
      <c r="A425" t="s">
        <v>146</v>
      </c>
      <c r="B425" s="10" t="s">
        <v>15</v>
      </c>
      <c r="C425" s="28">
        <v>64.7</v>
      </c>
      <c r="D425">
        <v>102.49727492351192</v>
      </c>
      <c r="E425" s="27" t="str" cm="1">
        <f t="array" ref="E425">_xlfn.LET(
  _xlpm.tag, UPPER(TRIM(A425)),
  _xlpm.kw, N(C425),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M-E1</v>
      </c>
      <c r="F425" s="27" t="str" cm="1">
        <f t="array" ref="F425">_xlfn.LET(
  _xlpm.tag, UPPER(TRIM(A425)),
  _xlpm.kw, N(C425),
  _xlpm.flc, N(D425),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25" s="27" t="str" cm="1">
        <f t="array" ref="G425">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24E</v>
      </c>
    </row>
    <row r="426" spans="1:7">
      <c r="A426" t="s">
        <v>147</v>
      </c>
      <c r="B426" s="10" t="s">
        <v>15</v>
      </c>
      <c r="C426" s="28">
        <v>33.200000000000003</v>
      </c>
      <c r="D426">
        <v>52.595201351786649</v>
      </c>
      <c r="E426" s="27" t="str" cm="1">
        <f t="array" ref="E426">_xlfn.LET(
  _xlpm.tag, UPPER(TRIM(A426)),
  _xlpm.kw, N(C426),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26" s="27" t="str" cm="1">
        <f t="array" ref="F426">_xlfn.LET(
  _xlpm.tag, UPPER(TRIM(A426)),
  _xlpm.kw, N(C426),
  _xlpm.flc, N(D426),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26" s="27" t="str" cm="1">
        <f t="array" ref="G426">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12E</v>
      </c>
    </row>
    <row r="427" spans="1:7">
      <c r="A427" t="s">
        <v>148</v>
      </c>
      <c r="B427" s="10" t="s">
        <v>15</v>
      </c>
      <c r="C427" s="28">
        <v>33.200000000000003</v>
      </c>
      <c r="D427">
        <v>52.595201351786649</v>
      </c>
      <c r="E427" s="27" t="str" cm="1">
        <f t="array" ref="E427">_xlfn.LET(
  _xlpm.tag, UPPER(TRIM(A427)),
  _xlpm.kw, N(C427),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27" s="27" t="str" cm="1">
        <f t="array" ref="F427">_xlfn.LET(
  _xlpm.tag, UPPER(TRIM(A427)),
  _xlpm.kw, N(C427),
  _xlpm.flc, N(D427),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27" s="27" t="str" cm="1">
        <f t="array" ref="G427">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12E</v>
      </c>
    </row>
    <row r="428" spans="1:7">
      <c r="A428" t="s">
        <v>149</v>
      </c>
      <c r="B428" s="10" t="s">
        <v>15</v>
      </c>
      <c r="C428" s="28">
        <v>70.8</v>
      </c>
      <c r="D428">
        <v>112.16085107549682</v>
      </c>
      <c r="E428" s="27" t="str" cm="1">
        <f t="array" ref="E428">_xlfn.LET(
  _xlpm.tag, UPPER(TRIM(A428)),
  _xlpm.kw, N(C428),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28" s="27" t="str" cm="1">
        <f t="array" ref="F428">_xlfn.LET(
  _xlpm.tag, UPPER(TRIM(A428)),
  _xlpm.kw, N(C428),
  _xlpm.flc, N(D428),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28" s="27" t="str" cm="1">
        <f t="array" ref="G428">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16E</v>
      </c>
    </row>
    <row r="429" spans="1:7">
      <c r="A429" t="s">
        <v>150</v>
      </c>
      <c r="B429" s="10" t="s">
        <v>15</v>
      </c>
      <c r="C429" s="28">
        <v>3.84</v>
      </c>
      <c r="D429">
        <v>6.0833003973150817</v>
      </c>
      <c r="E429" s="27" t="str" cm="1">
        <f t="array" ref="E429">_xlfn.LET(
  _xlpm.tag, UPPER(TRIM(A429)),
  _xlpm.kw, N(C429),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429" s="27" t="str" cm="1">
        <f t="array" ref="F429">_xlfn.LET(
  _xlpm.tag, UPPER(TRIM(A429)),
  _xlpm.kw, N(C429),
  _xlpm.flc, N(D429),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29" s="27" t="str" cm="1">
        <f t="array" ref="G429">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30" spans="1:7">
      <c r="A430" t="s">
        <v>151</v>
      </c>
      <c r="B430" s="10" t="s">
        <v>15</v>
      </c>
      <c r="C430" s="28">
        <v>3.84</v>
      </c>
      <c r="D430">
        <v>6.0833003973150817</v>
      </c>
      <c r="E430" s="27" t="str" cm="1">
        <f t="array" ref="E430">_xlfn.LET(
  _xlpm.tag, UPPER(TRIM(A430)),
  _xlpm.kw, N(C430),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430" s="27" t="str" cm="1">
        <f t="array" ref="F430">_xlfn.LET(
  _xlpm.tag, UPPER(TRIM(A430)),
  _xlpm.kw, N(C430),
  _xlpm.flc, N(D430),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30" s="27" t="str" cm="1">
        <f t="array" ref="G430">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31" spans="1:7">
      <c r="A431" t="s">
        <v>152</v>
      </c>
      <c r="B431" s="10" t="s">
        <v>15</v>
      </c>
      <c r="C431" s="28">
        <v>1.83</v>
      </c>
      <c r="D431">
        <v>2.8990728455954686</v>
      </c>
      <c r="E431" s="27" t="str" cm="1">
        <f t="array" ref="E431">_xlfn.LET(
  _xlpm.tag, UPPER(TRIM(A431)),
  _xlpm.kw, N(C431),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31" s="27" t="str" cm="1">
        <f t="array" ref="F431">_xlfn.LET(
  _xlpm.tag, UPPER(TRIM(A431)),
  _xlpm.kw, N(C431),
  _xlpm.flc, N(D431),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31" s="27" t="str" cm="1">
        <f t="array" ref="G431">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32" spans="1:7">
      <c r="A432" t="s">
        <v>153</v>
      </c>
      <c r="B432" s="10" t="s">
        <v>15</v>
      </c>
      <c r="C432" s="28">
        <v>3.82</v>
      </c>
      <c r="D432">
        <v>10.524550506224463</v>
      </c>
      <c r="E432" s="27" t="str" cm="1">
        <f t="array" ref="E432">_xlfn.LET(
  _xlpm.tag, UPPER(TRIM(A432)),
  _xlpm.kw, N(C432),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32" s="27" t="str" cm="1">
        <f t="array" ref="F432">_xlfn.LET(
  _xlpm.tag, UPPER(TRIM(A432)),
  _xlpm.kw, N(C432),
  _xlpm.flc, N(D432),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32" s="27" t="str" cm="1">
        <f t="array" ref="G432">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33" spans="1:7">
      <c r="A433" t="s">
        <v>154</v>
      </c>
      <c r="B433" s="10" t="s">
        <v>15</v>
      </c>
      <c r="C433" s="28">
        <v>3.82</v>
      </c>
      <c r="D433">
        <v>10.524550506224463</v>
      </c>
      <c r="E433" s="27" t="str" cm="1">
        <f t="array" ref="E433">_xlfn.LET(
  _xlpm.tag, UPPER(TRIM(A433)),
  _xlpm.kw, N(C433),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33" s="27" t="str" cm="1">
        <f t="array" ref="F433">_xlfn.LET(
  _xlpm.tag, UPPER(TRIM(A433)),
  _xlpm.kw, N(C433),
  _xlpm.flc, N(D433),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33" s="27" t="str" cm="1">
        <f t="array" ref="G433">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34" spans="1:7">
      <c r="A434" t="s">
        <v>155</v>
      </c>
      <c r="B434" s="10" t="s">
        <v>15</v>
      </c>
      <c r="C434" s="28">
        <v>3.82</v>
      </c>
      <c r="D434">
        <v>10.524550506224463</v>
      </c>
      <c r="E434" s="27" t="str" cm="1">
        <f t="array" ref="E434">_xlfn.LET(
  _xlpm.tag, UPPER(TRIM(A434)),
  _xlpm.kw, N(C434),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34" s="27" t="str" cm="1">
        <f t="array" ref="F434">_xlfn.LET(
  _xlpm.tag, UPPER(TRIM(A434)),
  _xlpm.kw, N(C434),
  _xlpm.flc, N(D434),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34" s="27" t="str" cm="1">
        <f t="array" ref="G434">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35" spans="1:7">
      <c r="A435" t="s">
        <v>156</v>
      </c>
      <c r="B435" s="10" t="s">
        <v>15</v>
      </c>
      <c r="C435" s="28">
        <v>2.72</v>
      </c>
      <c r="D435">
        <v>7.4939207793011899</v>
      </c>
      <c r="E435" s="27" t="str" cm="1">
        <f t="array" ref="E435">_xlfn.LET(
  _xlpm.tag, UPPER(TRIM(A435)),
  _xlpm.kw, N(C435),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35" s="27" t="str" cm="1">
        <f t="array" ref="F435">_xlfn.LET(
  _xlpm.tag, UPPER(TRIM(A435)),
  _xlpm.kw, N(C435),
  _xlpm.flc, N(D435),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35" s="27" t="str" cm="1">
        <f t="array" ref="G435">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36" spans="1:7">
      <c r="A436" t="s">
        <v>157</v>
      </c>
      <c r="B436" s="10" t="s">
        <v>15</v>
      </c>
      <c r="C436" s="28">
        <v>4.9400000000000004</v>
      </c>
      <c r="D436">
        <v>13.610282591819072</v>
      </c>
      <c r="E436" s="27" t="str" cm="1">
        <f t="array" ref="E436">_xlfn.LET(
  _xlpm.tag, UPPER(TRIM(A436)),
  _xlpm.kw, N(C436),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36" s="27" t="str" cm="1">
        <f t="array" ref="F436">_xlfn.LET(
  _xlpm.tag, UPPER(TRIM(A436)),
  _xlpm.kw, N(C436),
  _xlpm.flc, N(D436),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36" s="27" t="str" cm="1">
        <f t="array" ref="G436">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37" spans="1:7">
      <c r="A437" t="s">
        <v>158</v>
      </c>
      <c r="B437" s="10" t="s">
        <v>15</v>
      </c>
      <c r="C437" s="28">
        <v>4.9400000000000004</v>
      </c>
      <c r="D437">
        <v>13.610282591819072</v>
      </c>
      <c r="E437" s="27" t="str" cm="1">
        <f t="array" ref="E437">_xlfn.LET(
  _xlpm.tag, UPPER(TRIM(A437)),
  _xlpm.kw, N(C437),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37" s="27" t="str" cm="1">
        <f t="array" ref="F437">_xlfn.LET(
  _xlpm.tag, UPPER(TRIM(A437)),
  _xlpm.kw, N(C437),
  _xlpm.flc, N(D437),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37" s="27" t="str" cm="1">
        <f t="array" ref="G437">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38" spans="1:7">
      <c r="A438" t="s">
        <v>159</v>
      </c>
      <c r="B438" s="10" t="s">
        <v>15</v>
      </c>
      <c r="C438" s="28">
        <v>4.9400000000000004</v>
      </c>
      <c r="D438">
        <v>13.610282591819072</v>
      </c>
      <c r="E438" s="27" t="str" cm="1">
        <f t="array" ref="E438">_xlfn.LET(
  _xlpm.tag, UPPER(TRIM(A438)),
  _xlpm.kw, N(C438),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38" s="27" t="str" cm="1">
        <f t="array" ref="F438">_xlfn.LET(
  _xlpm.tag, UPPER(TRIM(A438)),
  _xlpm.kw, N(C438),
  _xlpm.flc, N(D438),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38" s="27" t="str" cm="1">
        <f t="array" ref="G438">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39" spans="1:7">
      <c r="A439" t="s">
        <v>160</v>
      </c>
      <c r="B439" s="10" t="s">
        <v>15</v>
      </c>
      <c r="C439" s="28">
        <v>4.6900000000000004</v>
      </c>
      <c r="D439">
        <v>12.921503108427418</v>
      </c>
      <c r="E439" s="27" t="str" cm="1">
        <f t="array" ref="E439">_xlfn.LET(
  _xlpm.tag, UPPER(TRIM(A439)),
  _xlpm.kw, N(C439),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39" s="27" t="str" cm="1">
        <f t="array" ref="F439">_xlfn.LET(
  _xlpm.tag, UPPER(TRIM(A439)),
  _xlpm.kw, N(C439),
  _xlpm.flc, N(D439),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39" s="27" t="str" cm="1">
        <f t="array" ref="G439">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40" spans="1:7">
      <c r="A440" t="s">
        <v>161</v>
      </c>
      <c r="B440" s="10" t="s">
        <v>15</v>
      </c>
      <c r="C440" s="28">
        <v>4.6900000000000004</v>
      </c>
      <c r="D440">
        <v>12.921503108427418</v>
      </c>
      <c r="E440" s="27" t="str" cm="1">
        <f t="array" ref="E440">_xlfn.LET(
  _xlpm.tag, UPPER(TRIM(A440)),
  _xlpm.kw, N(C440),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40" s="27" t="str" cm="1">
        <f t="array" ref="F440">_xlfn.LET(
  _xlpm.tag, UPPER(TRIM(A440)),
  _xlpm.kw, N(C440),
  _xlpm.flc, N(D440),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40" s="27" t="str" cm="1">
        <f t="array" ref="G440">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41" spans="1:7">
      <c r="A441" t="s">
        <v>162</v>
      </c>
      <c r="B441" s="10" t="s">
        <v>15</v>
      </c>
      <c r="C441" s="28">
        <v>3.5</v>
      </c>
      <c r="D441">
        <v>9.6429127674831463</v>
      </c>
      <c r="E441" s="27" t="str" cm="1">
        <f t="array" ref="E441">_xlfn.LET(
  _xlpm.tag, UPPER(TRIM(A441)),
  _xlpm.kw, N(C441),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41" s="27" t="str" cm="1">
        <f t="array" ref="F441">_xlfn.LET(
  _xlpm.tag, UPPER(TRIM(A441)),
  _xlpm.kw, N(C441),
  _xlpm.flc, N(D441),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41" s="27" t="str" cm="1">
        <f t="array" ref="G441">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42" spans="1:7">
      <c r="A442" t="s">
        <v>163</v>
      </c>
      <c r="B442" s="10" t="s">
        <v>15</v>
      </c>
      <c r="C442" s="28">
        <v>3.67</v>
      </c>
      <c r="D442">
        <v>10.111282816189471</v>
      </c>
      <c r="E442" s="27" t="str" cm="1">
        <f t="array" ref="E442">_xlfn.LET(
  _xlpm.tag, UPPER(TRIM(A442)),
  _xlpm.kw, N(C442),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42" s="27" t="str" cm="1">
        <f t="array" ref="F442">_xlfn.LET(
  _xlpm.tag, UPPER(TRIM(A442)),
  _xlpm.kw, N(C442),
  _xlpm.flc, N(D442),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42" s="27" t="str" cm="1">
        <f t="array" ref="G442">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43" spans="1:7">
      <c r="A443" t="s">
        <v>164</v>
      </c>
      <c r="B443" s="10" t="s">
        <v>15</v>
      </c>
      <c r="C443" s="28">
        <v>2.77</v>
      </c>
      <c r="D443">
        <v>7.6316766759795192</v>
      </c>
      <c r="E443" s="27" t="str" cm="1">
        <f t="array" ref="E443">_xlfn.LET(
  _xlpm.tag, UPPER(TRIM(A443)),
  _xlpm.kw, N(C443),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43" s="27" t="str" cm="1">
        <f t="array" ref="F443">_xlfn.LET(
  _xlpm.tag, UPPER(TRIM(A443)),
  _xlpm.kw, N(C443),
  _xlpm.flc, N(D443),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43" s="27" t="str" cm="1">
        <f t="array" ref="G443">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44" spans="1:7">
      <c r="A444" t="s">
        <v>165</v>
      </c>
      <c r="B444" s="10" t="s">
        <v>15</v>
      </c>
      <c r="C444" s="28">
        <v>2.77</v>
      </c>
      <c r="D444">
        <v>7.6316766759795192</v>
      </c>
      <c r="E444" s="27" t="str" cm="1">
        <f t="array" ref="E444">_xlfn.LET(
  _xlpm.tag, UPPER(TRIM(A444)),
  _xlpm.kw, N(C444),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44" s="27" t="str" cm="1">
        <f t="array" ref="F444">_xlfn.LET(
  _xlpm.tag, UPPER(TRIM(A444)),
  _xlpm.kw, N(C444),
  _xlpm.flc, N(D444),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44" s="27" t="str" cm="1">
        <f t="array" ref="G444">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45" spans="1:7">
      <c r="A445" t="s">
        <v>166</v>
      </c>
      <c r="B445" s="10" t="s">
        <v>15</v>
      </c>
      <c r="C445" s="28">
        <v>2.0299999999999998</v>
      </c>
      <c r="D445">
        <v>5.5928894051402249</v>
      </c>
      <c r="E445" s="27" t="str" cm="1">
        <f t="array" ref="E445">_xlfn.LET(
  _xlpm.tag, UPPER(TRIM(A445)),
  _xlpm.kw, N(C445),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45" s="27" t="str" cm="1">
        <f t="array" ref="F445">_xlfn.LET(
  _xlpm.tag, UPPER(TRIM(A445)),
  _xlpm.kw, N(C445),
  _xlpm.flc, N(D445),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45" s="27" t="str" cm="1">
        <f t="array" ref="G445">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46" spans="1:7">
      <c r="A446" t="s">
        <v>167</v>
      </c>
      <c r="B446" s="10" t="s">
        <v>15</v>
      </c>
      <c r="C446" s="28">
        <v>2.2999999999999998</v>
      </c>
      <c r="D446">
        <v>6.3367712472032105</v>
      </c>
      <c r="E446" s="27" t="str" cm="1">
        <f t="array" ref="E446">_xlfn.LET(
  _xlpm.tag, UPPER(TRIM(A446)),
  _xlpm.kw, N(C446),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46" s="27" t="str" cm="1">
        <f t="array" ref="F446">_xlfn.LET(
  _xlpm.tag, UPPER(TRIM(A446)),
  _xlpm.kw, N(C446),
  _xlpm.flc, N(D446),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46" s="27" t="str" cm="1">
        <f t="array" ref="G446">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47" spans="1:7">
      <c r="A447" t="s">
        <v>168</v>
      </c>
      <c r="B447" s="10" t="s">
        <v>15</v>
      </c>
      <c r="C447" s="28">
        <v>3.39</v>
      </c>
      <c r="D447">
        <v>9.3398497947908208</v>
      </c>
      <c r="E447" s="27" t="str" cm="1">
        <f t="array" ref="E447">_xlfn.LET(
  _xlpm.tag, UPPER(TRIM(A447)),
  _xlpm.kw, N(C447),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47" s="27" t="str" cm="1">
        <f t="array" ref="F447">_xlfn.LET(
  _xlpm.tag, UPPER(TRIM(A447)),
  _xlpm.kw, N(C447),
  _xlpm.flc, N(D447),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47" s="27" t="str" cm="1">
        <f t="array" ref="G447">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48" spans="1:7">
      <c r="A448" t="s">
        <v>169</v>
      </c>
      <c r="B448" s="10" t="s">
        <v>15</v>
      </c>
      <c r="C448" s="28">
        <v>3.39</v>
      </c>
      <c r="D448">
        <v>9.3398497947908208</v>
      </c>
      <c r="E448" s="27" t="str" cm="1">
        <f t="array" ref="E448">_xlfn.LET(
  _xlpm.tag, UPPER(TRIM(A448)),
  _xlpm.kw, N(C448),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48" s="27" t="str" cm="1">
        <f t="array" ref="F448">_xlfn.LET(
  _xlpm.tag, UPPER(TRIM(A448)),
  _xlpm.kw, N(C448),
  _xlpm.flc, N(D448),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48" s="27" t="str" cm="1">
        <f t="array" ref="G448">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49" spans="1:7">
      <c r="A449" t="s">
        <v>170</v>
      </c>
      <c r="B449" s="10" t="s">
        <v>15</v>
      </c>
      <c r="C449" s="28">
        <v>3.39</v>
      </c>
      <c r="D449">
        <v>9.3398497947908208</v>
      </c>
      <c r="E449" s="27" t="str" cm="1">
        <f t="array" ref="E449">_xlfn.LET(
  _xlpm.tag, UPPER(TRIM(A449)),
  _xlpm.kw, N(C449),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49" s="27" t="str" cm="1">
        <f t="array" ref="F449">_xlfn.LET(
  _xlpm.tag, UPPER(TRIM(A449)),
  _xlpm.kw, N(C449),
  _xlpm.flc, N(D449),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49" s="27" t="str" cm="1">
        <f t="array" ref="G449">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50" spans="1:7">
      <c r="A450" t="s">
        <v>171</v>
      </c>
      <c r="B450" s="10" t="s">
        <v>15</v>
      </c>
      <c r="C450" s="28">
        <v>2.77</v>
      </c>
      <c r="D450">
        <v>7.6316766759795192</v>
      </c>
      <c r="E450" s="27" t="str" cm="1">
        <f t="array" ref="E450">_xlfn.LET(
  _xlpm.tag, UPPER(TRIM(A450)),
  _xlpm.kw, N(C450),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50" s="27" t="str" cm="1">
        <f t="array" ref="F450">_xlfn.LET(
  _xlpm.tag, UPPER(TRIM(A450)),
  _xlpm.kw, N(C450),
  _xlpm.flc, N(D450),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50" s="27" t="str" cm="1">
        <f t="array" ref="G450">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51" spans="1:7">
      <c r="A451" t="s">
        <v>172</v>
      </c>
      <c r="B451" s="10" t="s">
        <v>15</v>
      </c>
      <c r="C451" s="28">
        <v>2.77</v>
      </c>
      <c r="D451">
        <v>7.6316766759795192</v>
      </c>
      <c r="E451" s="27" t="str" cm="1">
        <f t="array" ref="E451">_xlfn.LET(
  _xlpm.tag, UPPER(TRIM(A451)),
  _xlpm.kw, N(C451),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51" s="27" t="str" cm="1">
        <f t="array" ref="F451">_xlfn.LET(
  _xlpm.tag, UPPER(TRIM(A451)),
  _xlpm.kw, N(C451),
  _xlpm.flc, N(D451),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51" s="27" t="str" cm="1">
        <f t="array" ref="G451">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52" spans="1:7">
      <c r="A452" t="s">
        <v>173</v>
      </c>
      <c r="B452" s="10" t="s">
        <v>15</v>
      </c>
      <c r="C452" s="28">
        <v>3.34</v>
      </c>
      <c r="D452">
        <v>9.2020938981124889</v>
      </c>
      <c r="E452" s="27" t="str" cm="1">
        <f t="array" ref="E452">_xlfn.LET(
  _xlpm.tag, UPPER(TRIM(A452)),
  _xlpm.kw, N(C452),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52" s="27" t="str" cm="1">
        <f t="array" ref="F452">_xlfn.LET(
  _xlpm.tag, UPPER(TRIM(A452)),
  _xlpm.kw, N(C452),
  _xlpm.flc, N(D452),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52" s="27" t="str" cm="1">
        <f t="array" ref="G452">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53" spans="1:7">
      <c r="A453" t="s">
        <v>174</v>
      </c>
      <c r="B453" s="10" t="s">
        <v>15</v>
      </c>
      <c r="C453" s="28">
        <v>3.34</v>
      </c>
      <c r="D453">
        <v>9.2020938981124889</v>
      </c>
      <c r="E453" s="27" t="str" cm="1">
        <f t="array" ref="E453">_xlfn.LET(
  _xlpm.tag, UPPER(TRIM(A453)),
  _xlpm.kw, N(C453),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53" s="27" t="str" cm="1">
        <f t="array" ref="F453">_xlfn.LET(
  _xlpm.tag, UPPER(TRIM(A453)),
  _xlpm.kw, N(C453),
  _xlpm.flc, N(D453),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53" s="27" t="str" cm="1">
        <f t="array" ref="G453">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54" spans="1:7">
      <c r="A454" t="s">
        <v>175</v>
      </c>
      <c r="B454" s="10" t="s">
        <v>15</v>
      </c>
      <c r="C454" s="28">
        <v>3.42</v>
      </c>
      <c r="D454">
        <v>9.4225033327978185</v>
      </c>
      <c r="E454" s="27" t="str" cm="1">
        <f t="array" ref="E454">_xlfn.LET(
  _xlpm.tag, UPPER(TRIM(A454)),
  _xlpm.kw, N(C454),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54" s="27" t="str" cm="1">
        <f t="array" ref="F454">_xlfn.LET(
  _xlpm.tag, UPPER(TRIM(A454)),
  _xlpm.kw, N(C454),
  _xlpm.flc, N(D454),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54" s="27" t="str" cm="1">
        <f t="array" ref="G454">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55" spans="1:7">
      <c r="A455" t="s">
        <v>176</v>
      </c>
      <c r="B455" s="10" t="s">
        <v>15</v>
      </c>
      <c r="C455" s="28">
        <v>3.42</v>
      </c>
      <c r="D455">
        <v>9.4225033327978185</v>
      </c>
      <c r="E455" s="27" t="str" cm="1">
        <f t="array" ref="E455">_xlfn.LET(
  _xlpm.tag, UPPER(TRIM(A455)),
  _xlpm.kw, N(C455),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55" s="27" t="str" cm="1">
        <f t="array" ref="F455">_xlfn.LET(
  _xlpm.tag, UPPER(TRIM(A455)),
  _xlpm.kw, N(C455),
  _xlpm.flc, N(D455),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55" s="27" t="str" cm="1">
        <f t="array" ref="G455">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56" spans="1:7">
      <c r="A456" t="s">
        <v>177</v>
      </c>
      <c r="B456" s="10" t="s">
        <v>15</v>
      </c>
      <c r="C456" s="28">
        <v>4.6900000000000004</v>
      </c>
      <c r="D456">
        <v>12.921503108427418</v>
      </c>
      <c r="E456" s="27" t="str" cm="1">
        <f t="array" ref="E456">_xlfn.LET(
  _xlpm.tag, UPPER(TRIM(A456)),
  _xlpm.kw, N(C456),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56" s="27" t="str" cm="1">
        <f t="array" ref="F456">_xlfn.LET(
  _xlpm.tag, UPPER(TRIM(A456)),
  _xlpm.kw, N(C456),
  _xlpm.flc, N(D456),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56" s="27" t="str" cm="1">
        <f t="array" ref="G456">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57" spans="1:7">
      <c r="A457" t="s">
        <v>178</v>
      </c>
      <c r="B457" s="10" t="s">
        <v>15</v>
      </c>
      <c r="C457" s="28">
        <v>4.6900000000000004</v>
      </c>
      <c r="D457">
        <v>12.921503108427418</v>
      </c>
      <c r="E457" s="27" t="str" cm="1">
        <f t="array" ref="E457">_xlfn.LET(
  _xlpm.tag, UPPER(TRIM(A457)),
  _xlpm.kw, N(C457),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57" s="27" t="str" cm="1">
        <f t="array" ref="F457">_xlfn.LET(
  _xlpm.tag, UPPER(TRIM(A457)),
  _xlpm.kw, N(C457),
  _xlpm.flc, N(D457),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57" s="27" t="str" cm="1">
        <f t="array" ref="G457">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58" spans="1:7">
      <c r="A458" t="s">
        <v>179</v>
      </c>
      <c r="B458" s="10" t="s">
        <v>15</v>
      </c>
      <c r="C458" s="28">
        <v>3.94</v>
      </c>
      <c r="D458">
        <v>10.855164658252457</v>
      </c>
      <c r="E458" s="27" t="str" cm="1">
        <f t="array" ref="E458">_xlfn.LET(
  _xlpm.tag, UPPER(TRIM(A458)),
  _xlpm.kw, N(C458),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58" s="27" t="str" cm="1">
        <f t="array" ref="F458">_xlfn.LET(
  _xlpm.tag, UPPER(TRIM(A458)),
  _xlpm.kw, N(C458),
  _xlpm.flc, N(D458),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58" s="27" t="str" cm="1">
        <f t="array" ref="G458">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59" spans="1:7">
      <c r="A459" t="s">
        <v>180</v>
      </c>
      <c r="B459" s="10" t="s">
        <v>15</v>
      </c>
      <c r="C459" s="28">
        <v>6.68</v>
      </c>
      <c r="D459">
        <v>18.404187796224978</v>
      </c>
      <c r="E459" s="27" t="str" cm="1">
        <f t="array" ref="E459">_xlfn.LET(
  _xlpm.tag, UPPER(TRIM(A459)),
  _xlpm.kw, N(C459),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59" s="27" t="str" cm="1">
        <f t="array" ref="F459">_xlfn.LET(
  _xlpm.tag, UPPER(TRIM(A459)),
  _xlpm.kw, N(C459),
  _xlpm.flc, N(D459),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59" s="27" t="str" cm="1">
        <f t="array" ref="G459">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60" spans="1:7">
      <c r="A460" t="s">
        <v>181</v>
      </c>
      <c r="B460" s="10" t="s">
        <v>15</v>
      </c>
      <c r="C460" s="28">
        <v>6.06</v>
      </c>
      <c r="D460">
        <v>16.696014677413675</v>
      </c>
      <c r="E460" s="27" t="str" cm="1">
        <f t="array" ref="E460">_xlfn.LET(
  _xlpm.tag, UPPER(TRIM(A460)),
  _xlpm.kw, N(C460),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60" s="27" t="str" cm="1">
        <f t="array" ref="F460">_xlfn.LET(
  _xlpm.tag, UPPER(TRIM(A460)),
  _xlpm.kw, N(C460),
  _xlpm.flc, N(D460),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60" s="27" t="str" cm="1">
        <f t="array" ref="G460">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61" spans="1:7">
      <c r="A461" t="s">
        <v>182</v>
      </c>
      <c r="B461" s="10" t="s">
        <v>15</v>
      </c>
      <c r="C461" s="28">
        <v>6.06</v>
      </c>
      <c r="D461">
        <v>16.696014677413675</v>
      </c>
      <c r="E461" s="27" t="str" cm="1">
        <f t="array" ref="E461">_xlfn.LET(
  _xlpm.tag, UPPER(TRIM(A461)),
  _xlpm.kw, N(C461),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61" s="27" t="str" cm="1">
        <f t="array" ref="F461">_xlfn.LET(
  _xlpm.tag, UPPER(TRIM(A461)),
  _xlpm.kw, N(C461),
  _xlpm.flc, N(D461),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61" s="27" t="str" cm="1">
        <f t="array" ref="G461">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62" spans="1:7">
      <c r="A462" t="s">
        <v>183</v>
      </c>
      <c r="B462" s="10" t="s">
        <v>15</v>
      </c>
      <c r="C462" s="28">
        <v>6.06</v>
      </c>
      <c r="D462">
        <v>16.696014677413675</v>
      </c>
      <c r="E462" s="27" t="str" cm="1">
        <f t="array" ref="E462">_xlfn.LET(
  _xlpm.tag, UPPER(TRIM(A462)),
  _xlpm.kw, N(C462),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62" t="str" cm="1">
        <f t="array" ref="F462">_xlfn.LET(
  _xlpm.tag, UPPER(TRIM(A462)),
  _xlpm.kw, N(C462),
  _xlpm.flc, N(D462),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62" t="str" cm="1">
        <f t="array" ref="G462">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63" spans="1:7">
      <c r="A463" t="s">
        <v>184</v>
      </c>
      <c r="B463" s="10" t="s">
        <v>15</v>
      </c>
      <c r="C463" s="28">
        <v>6.06</v>
      </c>
      <c r="D463">
        <v>16.696014677413675</v>
      </c>
      <c r="E463" s="27" t="str" cm="1">
        <f t="array" ref="E463">_xlfn.LET(
  _xlpm.tag, UPPER(TRIM(A463)),
  _xlpm.kw, N(C463),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63" t="str" cm="1">
        <f t="array" ref="F463">_xlfn.LET(
  _xlpm.tag, UPPER(TRIM(A463)),
  _xlpm.kw, N(C463),
  _xlpm.flc, N(D463),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63" t="str" cm="1">
        <f t="array" ref="G463">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64" spans="1:7">
      <c r="A464" t="s">
        <v>185</v>
      </c>
      <c r="B464" s="10" t="s">
        <v>15</v>
      </c>
      <c r="C464" s="28">
        <v>6.06</v>
      </c>
      <c r="D464">
        <v>16.696014677413675</v>
      </c>
      <c r="E464" s="27" t="str" cm="1">
        <f t="array" ref="E464">_xlfn.LET(
  _xlpm.tag, UPPER(TRIM(A464)),
  _xlpm.kw, N(C464),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64" t="str" cm="1">
        <f t="array" ref="F464">_xlfn.LET(
  _xlpm.tag, UPPER(TRIM(A464)),
  _xlpm.kw, N(C464),
  _xlpm.flc, N(D464),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64" t="str" cm="1">
        <f t="array" ref="G464">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65" spans="1:7">
      <c r="A465" t="s">
        <v>186</v>
      </c>
      <c r="B465" s="10" t="s">
        <v>15</v>
      </c>
      <c r="C465" s="28">
        <v>6.06</v>
      </c>
      <c r="D465">
        <v>16.696014677413675</v>
      </c>
      <c r="E465" s="27" t="str" cm="1">
        <f t="array" ref="E465">_xlfn.LET(
  _xlpm.tag, UPPER(TRIM(A465)),
  _xlpm.kw, N(C465),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65" t="str" cm="1">
        <f t="array" ref="F465">_xlfn.LET(
  _xlpm.tag, UPPER(TRIM(A465)),
  _xlpm.kw, N(C465),
  _xlpm.flc, N(D465),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65" t="str" cm="1">
        <f t="array" ref="G465">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66" spans="1:7">
      <c r="A466" t="s">
        <v>187</v>
      </c>
      <c r="B466" s="10" t="s">
        <v>15</v>
      </c>
      <c r="C466" s="28">
        <v>0.4</v>
      </c>
      <c r="D466">
        <v>0.63367712472032112</v>
      </c>
      <c r="E466" s="27" t="str" cm="1">
        <f t="array" ref="E466">_xlfn.LET(
  _xlpm.tag, UPPER(TRIM(A466)),
  _xlpm.kw, N(C466),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466" t="str" cm="1">
        <f t="array" ref="F466">_xlfn.LET(
  _xlpm.tag, UPPER(TRIM(A466)),
  _xlpm.kw, N(C466),
  _xlpm.flc, N(D466),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66" t="str" cm="1">
        <f t="array" ref="G466">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67" spans="1:7">
      <c r="A467" t="s">
        <v>188</v>
      </c>
      <c r="B467" s="10" t="s">
        <v>15</v>
      </c>
      <c r="C467" s="28">
        <v>0.37</v>
      </c>
      <c r="D467">
        <v>1.0193936354196471</v>
      </c>
      <c r="E467" s="27" t="str" cm="1">
        <f t="array" ref="E467">_xlfn.LET(
  _xlpm.tag, UPPER(TRIM(A467)),
  _xlpm.kw, N(C467),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467" t="str" cm="1">
        <f t="array" ref="F467">_xlfn.LET(
  _xlpm.tag, UPPER(TRIM(A467)),
  _xlpm.kw, N(C467),
  _xlpm.flc, N(D467),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67" t="str" cm="1">
        <f t="array" ref="G467">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68" spans="1:7">
      <c r="A468" t="s">
        <v>189</v>
      </c>
      <c r="B468" s="10" t="s">
        <v>15</v>
      </c>
      <c r="C468" s="28">
        <v>0.7</v>
      </c>
      <c r="D468">
        <v>1.1089349682605618</v>
      </c>
      <c r="E468" s="27" t="str" cm="1">
        <f t="array" ref="E468">_xlfn.LET(
  _xlpm.tag, UPPER(TRIM(A468)),
  _xlpm.kw, N(C468),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468" t="str" cm="1">
        <f t="array" ref="F468">_xlfn.LET(
  _xlpm.tag, UPPER(TRIM(A468)),
  _xlpm.kw, N(C468),
  _xlpm.flc, N(D468),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68" t="str" cm="1">
        <f t="array" ref="G468">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69" spans="1:7">
      <c r="A469" t="s">
        <v>190</v>
      </c>
      <c r="B469" s="10" t="s">
        <v>15</v>
      </c>
      <c r="C469" s="28">
        <v>0.7</v>
      </c>
      <c r="D469">
        <v>1.1089349682605618</v>
      </c>
      <c r="E469" s="27" t="str" cm="1">
        <f t="array" ref="E469">_xlfn.LET(
  _xlpm.tag, UPPER(TRIM(A469)),
  _xlpm.kw, N(C469),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469" t="str" cm="1">
        <f t="array" ref="F469">_xlfn.LET(
  _xlpm.tag, UPPER(TRIM(A469)),
  _xlpm.kw, N(C469),
  _xlpm.flc, N(D469),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69" t="str" cm="1">
        <f t="array" ref="G469">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70" spans="1:7">
      <c r="A470" t="s">
        <v>191</v>
      </c>
      <c r="B470" s="10" t="s">
        <v>15</v>
      </c>
      <c r="C470" s="28">
        <v>0.4</v>
      </c>
      <c r="D470">
        <v>0.63367712472032112</v>
      </c>
      <c r="E470" s="27" t="str" cm="1">
        <f t="array" ref="E470">_xlfn.LET(
  _xlpm.tag, UPPER(TRIM(A470)),
  _xlpm.kw, N(C470),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470" t="str" cm="1">
        <f t="array" ref="F470">_xlfn.LET(
  _xlpm.tag, UPPER(TRIM(A470)),
  _xlpm.kw, N(C470),
  _xlpm.flc, N(D470),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70" t="str" cm="1">
        <f t="array" ref="G470">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71" spans="1:7">
      <c r="A471" t="s">
        <v>192</v>
      </c>
      <c r="B471" s="10" t="s">
        <v>15</v>
      </c>
      <c r="C471" s="28">
        <v>0.4</v>
      </c>
      <c r="D471">
        <v>0.63367712472032112</v>
      </c>
      <c r="E471" s="27" t="str" cm="1">
        <f t="array" ref="E471">_xlfn.LET(
  _xlpm.tag, UPPER(TRIM(A471)),
  _xlpm.kw, N(C471),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M-A1</v>
      </c>
      <c r="F471" t="str" cm="1">
        <f t="array" ref="F471">_xlfn.LET(
  _xlpm.tag, UPPER(TRIM(A471)),
  _xlpm.kw, N(C471),
  _xlpm.flc, N(D471),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DOL Motor Starter Cubicle</v>
      </c>
      <c r="G471" t="str" cm="1">
        <f t="array" ref="G471">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72" spans="1:7">
      <c r="A472" t="s">
        <v>193</v>
      </c>
      <c r="B472" s="10" t="s">
        <v>15</v>
      </c>
      <c r="C472" s="28">
        <v>2.4200000000000004</v>
      </c>
      <c r="D472">
        <v>3.8337466045579429</v>
      </c>
      <c r="E472" s="27" t="str" cm="1">
        <f t="array" ref="E472">_xlfn.LET(
  _xlpm.tag, UPPER(TRIM(A472)),
  _xlpm.kw, N(C472),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72" t="str" cm="1">
        <f t="array" ref="F472">_xlfn.LET(
  _xlpm.tag, UPPER(TRIM(A472)),
  _xlpm.kw, N(C472),
  _xlpm.flc, N(D472),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72" t="str" cm="1">
        <f t="array" ref="G472">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73" spans="1:7">
      <c r="A473" t="s">
        <v>194</v>
      </c>
      <c r="B473" s="10" t="s">
        <v>15</v>
      </c>
      <c r="C473" s="28">
        <v>10</v>
      </c>
      <c r="D473">
        <v>15.841928118008026</v>
      </c>
      <c r="E473" s="27" t="str" cm="1">
        <f t="array" ref="E473">_xlfn.LET(
  _xlpm.tag, UPPER(TRIM(A473)),
  _xlpm.kw, N(C473),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73" t="str" cm="1">
        <f t="array" ref="F473">_xlfn.LET(
  _xlpm.tag, UPPER(TRIM(A473)),
  _xlpm.kw, N(C473),
  _xlpm.flc, N(D473),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73" t="str" cm="1">
        <f t="array" ref="G473">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74" spans="1:7">
      <c r="A474" t="s">
        <v>195</v>
      </c>
      <c r="B474" s="10" t="s">
        <v>15</v>
      </c>
      <c r="C474" s="28">
        <v>0.3</v>
      </c>
      <c r="D474">
        <v>0.82653538006998406</v>
      </c>
      <c r="E474" s="27" t="str" cm="1">
        <f t="array" ref="E474">_xlfn.LET(
  _xlpm.tag, UPPER(TRIM(A474)),
  _xlpm.kw, N(C474),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74" t="str" cm="1">
        <f t="array" ref="F474">_xlfn.LET(
  _xlpm.tag, UPPER(TRIM(A474)),
  _xlpm.kw, N(C474),
  _xlpm.flc, N(D474),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74" t="str" cm="1">
        <f t="array" ref="G474">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75" spans="1:7">
      <c r="A475" t="s">
        <v>196</v>
      </c>
      <c r="B475" s="10" t="s">
        <v>15</v>
      </c>
      <c r="C475" s="28">
        <v>1</v>
      </c>
      <c r="D475">
        <v>2.7551179335666136</v>
      </c>
      <c r="E475" s="27" t="str" cm="1">
        <f t="array" ref="E475">_xlfn.LET(
  _xlpm.tag, UPPER(TRIM(A475)),
  _xlpm.kw, N(C475),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75" t="str" cm="1">
        <f t="array" ref="F475">_xlfn.LET(
  _xlpm.tag, UPPER(TRIM(A475)),
  _xlpm.kw, N(C475),
  _xlpm.flc, N(D475),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75" t="str" cm="1">
        <f t="array" ref="G475">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76" spans="1:7">
      <c r="A476" t="s">
        <v>197</v>
      </c>
      <c r="B476" s="10" t="s">
        <v>15</v>
      </c>
      <c r="C476" s="28">
        <v>1</v>
      </c>
      <c r="D476">
        <v>2.7551179335666136</v>
      </c>
      <c r="E476" s="27" t="str" cm="1">
        <f t="array" ref="E476">_xlfn.LET(
  _xlpm.tag, UPPER(TRIM(A476)),
  _xlpm.kw, N(C476),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76" t="str" cm="1">
        <f t="array" ref="F476">_xlfn.LET(
  _xlpm.tag, UPPER(TRIM(A476)),
  _xlpm.kw, N(C476),
  _xlpm.flc, N(D476),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76" t="str" cm="1">
        <f t="array" ref="G476">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77" spans="1:7">
      <c r="A477" t="s">
        <v>198</v>
      </c>
      <c r="B477" s="10" t="s">
        <v>15</v>
      </c>
      <c r="C477" s="28">
        <v>1</v>
      </c>
      <c r="D477">
        <v>2.7551179335666136</v>
      </c>
      <c r="E477" s="27" t="str" cm="1">
        <f t="array" ref="E477">_xlfn.LET(
  _xlpm.tag, UPPER(TRIM(A477)),
  _xlpm.kw, N(C477),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77" t="str" cm="1">
        <f t="array" ref="F477">_xlfn.LET(
  _xlpm.tag, UPPER(TRIM(A477)),
  _xlpm.kw, N(C477),
  _xlpm.flc, N(D477),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77" t="str" cm="1">
        <f t="array" ref="G477">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78" spans="1:7">
      <c r="A478" t="s">
        <v>199</v>
      </c>
      <c r="B478" s="10" t="s">
        <v>15</v>
      </c>
      <c r="C478" s="28">
        <v>1</v>
      </c>
      <c r="D478">
        <v>2.7551179335666136</v>
      </c>
      <c r="E478" s="27" t="str" cm="1">
        <f t="array" ref="E478">_xlfn.LET(
  _xlpm.tag, UPPER(TRIM(A478)),
  _xlpm.kw, N(C478),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78" t="str" cm="1">
        <f t="array" ref="F478">_xlfn.LET(
  _xlpm.tag, UPPER(TRIM(A478)),
  _xlpm.kw, N(C478),
  _xlpm.flc, N(D478),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78" t="str" cm="1">
        <f t="array" ref="G478">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79" spans="1:7">
      <c r="A479" t="s">
        <v>200</v>
      </c>
      <c r="B479" s="10" t="s">
        <v>15</v>
      </c>
      <c r="C479" s="28">
        <v>1</v>
      </c>
      <c r="D479">
        <v>2.7551179335666136</v>
      </c>
      <c r="E479" s="27" t="str" cm="1">
        <f t="array" ref="E479">_xlfn.LET(
  _xlpm.tag, UPPER(TRIM(A479)),
  _xlpm.kw, N(C479),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79" t="str" cm="1">
        <f t="array" ref="F479">_xlfn.LET(
  _xlpm.tag, UPPER(TRIM(A479)),
  _xlpm.kw, N(C479),
  _xlpm.flc, N(D479),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79" t="str" cm="1">
        <f t="array" ref="G479">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80" spans="1:7">
      <c r="A480" t="s">
        <v>201</v>
      </c>
      <c r="B480" s="10" t="s">
        <v>15</v>
      </c>
      <c r="C480" s="28">
        <v>1</v>
      </c>
      <c r="D480">
        <v>2.7551179335666136</v>
      </c>
      <c r="E480" s="27" t="str" cm="1">
        <f t="array" ref="E480">_xlfn.LET(
  _xlpm.tag, UPPER(TRIM(A480)),
  _xlpm.kw, N(C480),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80" t="str" cm="1">
        <f t="array" ref="F480">_xlfn.LET(
  _xlpm.tag, UPPER(TRIM(A480)),
  _xlpm.kw, N(C480),
  _xlpm.flc, N(D480),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80" t="str" cm="1">
        <f t="array" ref="G480">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81" spans="1:12">
      <c r="A481" t="s">
        <v>202</v>
      </c>
      <c r="B481" s="10" t="s">
        <v>15</v>
      </c>
      <c r="C481" s="28">
        <v>1</v>
      </c>
      <c r="D481">
        <v>2.7551179335666136</v>
      </c>
      <c r="E481" t="str" cm="1">
        <f t="array" ref="E481">_xlfn.LET(
  _xlpm.tag, UPPER(TRIM(A481)),
  _xlpm.kw, N(C481),
  _xlpm.parts, _xlfn.TEXTSPLIT(_xlpm.tag,"-"),
  _xlpm.mid, IF(COUNTA(_xlpm.parts)&gt;=2, INDEX(_xlpm.parts,1,2), ""),
  _xlpm.mapCodes, {"AHU";"CWP";"EF";"ACWC";"ACCU";"EDH";"WWG";"WWP";"HD";"ASU";"FCU"},
  _xlpm.mapType,  {"M";"M";"M";"F";"F";"F";"F";"F";"F";"F";"F"},
  _xlpm.codeType, _xlfn.XLOOKUP(_xlpm.mid, _xlpm.mapCodes, _xlpm.mapType, ""),
  IF(_xlpm.codeType="F","F",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"&lt;review&gt;"
    )
  )
)</f>
        <v>F</v>
      </c>
      <c r="F481" t="str" cm="1">
        <f t="array" ref="F481">_xlfn.LET(
  _xlpm.tag, UPPER(TRIM(A481)),
  _xlpm.kw, N(C481),
  _xlpm.flc, N(D481),
  _xlpm.I_MCCB, 160,
  _xlpm.I_ACB, 630,
  _xlpm.tACB, "400V Air Circuit Breaker(ACB) Feeder Cubicle (per Dwg LV1)",
  _xlpm.tMCCB_HI, "400V MCCB Feeder Cubicle (I &gt; 160A, per Dwg LV3)",
  _xlpm.tMCCB_LO, "400V MCCB Feeder Cubicle (I &lt; 160A, per Dwg LV4)",
  _xlpm.tM_LV_DOL, "400V DOL Motor Starter Cubicle",
  _xlpm.parts, _xlfn.TEXTSPLIT(_xlpm.tag,"-"),
  _xlpm.mid, IF(COUNTA(_xlpm.parts)&gt;=2, INDEX(_xlpm.parts,1,2), ""),
  _xlpm.mapCodes, {"AHU";"CWP";"EF";"ACWC";"ACCU";"EDH";"WWG";"WWP";"HD";"ASU";"FCU"},
  _xlpm.mapType,  {"M";"M";"M";"F";"F";"F";"F";"F";"F";"F";"F"},
  _xlpm.codeType, _xlfn.XLOOKUP(_xlpm.mid, _xlpm.mapCodes, _xlpm.mapType, ""),
  _xlpm.motorClass,
    IF(_xlpm.codeType="M",
      _xlfn.IFS(
        _xlpm.mid="AHU",               "M-E1",
        AND(_xlpm.kw&gt;=0.37, _xlpm.kw&lt;=15),   "M-A1",
        AND(_xlpm.kw&gt;=18.5, _xlpm.kw&lt;22),    "M-A1",
        AND(_xlpm.kw&gt;=22, _xlpm.kw&lt;=37),     "M-B1",
        AND(_xlpm.kw&gt;=45, _xlpm.kw&lt;=75),     "M-B1",
        AND(_xlpm.kw&gt;=90, _xlpm.kw&lt;=110),    "M-B1",
        AND(_xlpm.kw&gt;110, _xlpm.kw&lt;132),     "M-C1",
        AND(_xlpm.kw&gt;=132, _xlpm.kw&lt;=200),   "M-D1",
        _xlpm.kw&gt;200,                  "M-E1",
        TRUE,                    "&lt;review&gt;"
      ),
      ""
    ),
  _xlpm.FeederSel, IF(_xlpm.flc&gt;=_xlpm.I_ACB, _xlpm.tACB, IF(_xlpm.flc&gt;_xlpm.I_MCCB, _xlpm.tMCCB_HI, _xlpm.tMCCB_LO)),
  IF(_xlpm.codeType="F", _xlpm.FeederSel,
    IF(_xlpm.codeType="M",
      IF(_xlpm.motorClass="&lt;review&gt;", "&lt;review&gt;", _xlpm.tM_LV_DOL),
      "CHECK TAG CODE: "&amp;_xlpm.mid
    )
  )
)</f>
        <v>400V MCCB Feeder Cubicle (I &lt; 160A, per Dwg LV4)</v>
      </c>
      <c r="G481" t="str" cm="1">
        <f t="array" ref="G481">_xlfn.LET(
  _xlpm.c, UPPER(_81IK610001891018[[#This Row],[Starter Type]]),
  _xlpm.kw, N(_81IK610001891018[[#This Row],[RATED POWER]]),
  _xlpm.flc, N(_81IK610001891018[[#This Row],[FULL LOAD CURRENT]]),
  _xlpm.feederType,
    IFERROR(
      _xlfn.IFS(
        _xlpm.c="M-A1", "M_A1",
        _xlpm.c="M-B1", "M_B1",
        _xlpm.c="M-C1", "M_C1",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_xlpm.FeederE, IF(_xlpm.flc&lt;=32, "8E/4", IF(_xlpm.flc&lt;=160, _xlpm.LowE(_xlpm.flc), _xlpm.HighE(_xlpm.flc))),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IF(_xlpm.kw&lt;=15, "8E/4", "8E"),
    _xlpm.feederType="M_B1", IF(_xlpm.kw&lt;=37, "8E", "12E"),
    _xlpm.feederType="M_C1", IF(_xlpm.kw&lt;132, "12E", "16E"),
    _xlpm.feederType="M_D1", "16E",
    _xlpm.feederType="M_E1", "24E",
    _xlpm.feederType="UPS", IF(_xlpm.flc&lt;=50, "8E", IF(_xlpm.flc&lt;=100, "12E", IF(_xlpm.flc&lt;=250, "16E", IF(_xlpm.flc&lt;=400, "24E", "36E")))),
    _xlpm.feederType="FEEDER", _xlpm.FeederE,
    _xlpm.feederType="LIGHT",  _xlpm.FeederE,
    _xlpm.feederType="HEATER", _xlpm.FeederE,
    TRUE, "&lt;review&gt;"
  )
)</f>
        <v>8E/4</v>
      </c>
    </row>
    <row r="483" spans="1:12">
      <c r="I483" s="10" t="s">
        <v>50</v>
      </c>
      <c r="J483" s="10" t="s">
        <v>51</v>
      </c>
      <c r="K483" s="10" t="s">
        <v>52</v>
      </c>
      <c r="L483" s="10" t="s">
        <v>53</v>
      </c>
    </row>
    <row r="484" spans="1:12">
      <c r="I484">
        <f>I485*1000</f>
        <v>7000</v>
      </c>
      <c r="J484">
        <f>800*J485</f>
        <v>2400</v>
      </c>
      <c r="K484">
        <f>400*K485</f>
        <v>0</v>
      </c>
      <c r="L484" s="34">
        <f>I484+J484+K484</f>
        <v>9400</v>
      </c>
    </row>
    <row r="485" spans="1:12">
      <c r="I485" cm="1">
        <f t="array" ref="I485">ROUNDUP(
  _xlfn.LET(
    _xlpm.arrange,$I$3,
    _xlpm.capE,IF(_xlpm.arrange="B2B",144,72),
    _xlpm.rng,G384:G481,
    _xlpm.totalE,SUMPRODUCT(
      IFERROR(
        VALUE(_xlfn.TEXTBEFORE(_xlpm.rng,"E")) / IFERROR(VALUE(_xlfn.TEXTAFTER(_xlpm.rng,"/")),1),
        0
      )
    ),
    CEILING((1+$J$4)*_xlpm.totalE/_xlpm.capE,1)
  ),
0)</f>
        <v>7</v>
      </c>
      <c r="J485">
        <v>3</v>
      </c>
      <c r="K485">
        <v>0</v>
      </c>
      <c r="L485" s="34">
        <f>I485+J485+K485</f>
        <v>10</v>
      </c>
    </row>
    <row r="486" spans="1:12">
      <c r="I486" cm="1">
        <f t="array" ref="I486">ROUNDUP(
  _xlfn.LET(
    _xlpm.arrange,UPPER(TRIM($I$3)),
    _xlpm.capE,IF(_xlpm.arrange="B2B",144,72),
    _xlpm.rng,TRIM(P384:P389),
    _xlpm.qty,N(R384:R389),
    _xlpm.eVal,IFERROR(VALUE(_xlfn.TEXTBEFORE(_xlpm.rng,"E"))/IFERROR(VALUE(_xlfn.TEXTAFTER(_xlpm.rng,"/")),1),0),
    _xlpm.totalE,SUMPRODUCT(_xlpm.eVal*_xlpm.qty),
    CEILING((1+$J$4)*_xlpm.totalE/_xlpm.capE,1)
  ),
0
)</f>
        <v>3</v>
      </c>
    </row>
  </sheetData>
  <pageMargins left="0.7" right="0.7" top="0.75" bottom="0.75" header="0.3" footer="0.3"/>
  <pageSetup paperSize="9" orientation="portrait" verticalDpi="0"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123B6-516C-449B-946A-2A937D9840F9}">
  <dimension ref="A1:AG1086"/>
  <sheetViews>
    <sheetView tabSelected="1" topLeftCell="A647" zoomScale="85" zoomScaleNormal="85" workbookViewId="0">
      <selection activeCell="E667" sqref="E667"/>
    </sheetView>
  </sheetViews>
  <sheetFormatPr defaultColWidth="8.88671875" defaultRowHeight="13.2"/>
  <cols>
    <col min="1" max="1" width="11" style="42" bestFit="1" customWidth="1"/>
    <col min="2" max="2" width="20.5546875" style="42" customWidth="1"/>
    <col min="3" max="3" width="25.6640625" style="42" bestFit="1" customWidth="1"/>
    <col min="4" max="4" width="20.33203125" style="42" customWidth="1"/>
    <col min="5" max="5" width="46.33203125" style="42" bestFit="1" customWidth="1"/>
    <col min="6" max="6" width="117.33203125" style="52" bestFit="1" customWidth="1"/>
    <col min="7" max="7" width="17.6640625" style="52" bestFit="1" customWidth="1"/>
    <col min="8" max="8" width="15.109375" style="52" customWidth="1"/>
    <col min="9" max="9" width="9.33203125" style="42" customWidth="1"/>
    <col min="10" max="11" width="14.109375" style="42" customWidth="1"/>
    <col min="12" max="12" width="7.5546875" style="42" customWidth="1"/>
    <col min="13" max="13" width="11.88671875" style="42" bestFit="1" customWidth="1"/>
    <col min="14" max="14" width="10.33203125" style="42" customWidth="1"/>
    <col min="15" max="15" width="20.6640625" style="42" customWidth="1"/>
    <col min="16" max="16" width="11.88671875" style="42" bestFit="1" customWidth="1"/>
    <col min="17" max="16384" width="8.88671875" style="42"/>
  </cols>
  <sheetData>
    <row r="1" spans="1:17" ht="52.8">
      <c r="A1" s="43" t="s">
        <v>289</v>
      </c>
      <c r="B1" s="43" t="s">
        <v>290</v>
      </c>
      <c r="C1" s="43" t="s">
        <v>291</v>
      </c>
      <c r="D1" s="43" t="s">
        <v>292</v>
      </c>
      <c r="E1" s="43" t="s">
        <v>293</v>
      </c>
      <c r="F1" s="51" t="s">
        <v>294</v>
      </c>
      <c r="G1" s="51" t="s">
        <v>295</v>
      </c>
      <c r="H1" s="51" t="s">
        <v>296</v>
      </c>
      <c r="I1" s="43" t="s">
        <v>297</v>
      </c>
      <c r="J1" s="43" t="s">
        <v>298</v>
      </c>
      <c r="K1" s="43" t="s">
        <v>299</v>
      </c>
      <c r="L1" s="43" t="s">
        <v>300</v>
      </c>
      <c r="M1" s="43" t="s">
        <v>301</v>
      </c>
      <c r="N1" s="43" t="s">
        <v>302</v>
      </c>
      <c r="O1" s="43" t="s">
        <v>11</v>
      </c>
      <c r="P1" s="43" t="s">
        <v>303</v>
      </c>
      <c r="Q1" s="43" t="s">
        <v>304</v>
      </c>
    </row>
    <row r="2" spans="1:17">
      <c r="A2" s="42" t="s">
        <v>305</v>
      </c>
      <c r="B2" s="42" t="s">
        <v>306</v>
      </c>
      <c r="C2" s="42" t="s">
        <v>307</v>
      </c>
      <c r="D2" s="42" t="s">
        <v>308</v>
      </c>
      <c r="E2" s="52" t="s">
        <v>15</v>
      </c>
      <c r="F2" s="52" t="s">
        <v>309</v>
      </c>
      <c r="G2" s="52" t="s">
        <v>310</v>
      </c>
      <c r="H2" s="52" t="s">
        <v>311</v>
      </c>
      <c r="I2" s="42" t="s">
        <v>305</v>
      </c>
      <c r="J2" s="42" t="s">
        <v>312</v>
      </c>
      <c r="K2" s="42" t="s">
        <v>313</v>
      </c>
      <c r="L2" s="42" t="s">
        <v>314</v>
      </c>
      <c r="M2" s="42" t="s">
        <v>315</v>
      </c>
      <c r="N2" s="42" t="s">
        <v>316</v>
      </c>
      <c r="O2" s="43"/>
      <c r="P2" s="42" t="s">
        <v>317</v>
      </c>
    </row>
    <row r="3" spans="1:17">
      <c r="A3" s="42" t="s">
        <v>318</v>
      </c>
      <c r="B3" s="42" t="s">
        <v>306</v>
      </c>
      <c r="C3" s="42" t="s">
        <v>319</v>
      </c>
      <c r="D3" s="42" t="s">
        <v>320</v>
      </c>
      <c r="E3" s="52" t="s">
        <v>321</v>
      </c>
      <c r="F3" s="52" t="s">
        <v>309</v>
      </c>
      <c r="G3" s="52" t="s">
        <v>310</v>
      </c>
      <c r="H3" s="52" t="s">
        <v>311</v>
      </c>
      <c r="I3" s="42" t="s">
        <v>305</v>
      </c>
      <c r="J3" s="42" t="s">
        <v>312</v>
      </c>
      <c r="K3" s="42" t="s">
        <v>313</v>
      </c>
      <c r="L3" s="42" t="s">
        <v>314</v>
      </c>
      <c r="M3" s="42" t="s">
        <v>315</v>
      </c>
      <c r="N3" s="42" t="s">
        <v>316</v>
      </c>
      <c r="O3" s="43"/>
      <c r="P3" s="42" t="s">
        <v>317</v>
      </c>
    </row>
    <row r="4" spans="1:17">
      <c r="A4" s="42" t="s">
        <v>322</v>
      </c>
      <c r="B4" s="42" t="s">
        <v>306</v>
      </c>
      <c r="C4" s="42" t="s">
        <v>323</v>
      </c>
      <c r="D4" s="42" t="s">
        <v>324</v>
      </c>
      <c r="E4" s="52" t="s">
        <v>15</v>
      </c>
      <c r="F4" s="52" t="s">
        <v>20</v>
      </c>
      <c r="G4" s="52" t="s">
        <v>310</v>
      </c>
      <c r="H4" s="52" t="s">
        <v>311</v>
      </c>
      <c r="I4" s="42" t="s">
        <v>305</v>
      </c>
      <c r="M4" s="42" t="s">
        <v>325</v>
      </c>
      <c r="O4" s="43"/>
      <c r="P4" s="42" t="s">
        <v>326</v>
      </c>
    </row>
    <row r="5" spans="1:17">
      <c r="A5" s="42" t="s">
        <v>327</v>
      </c>
      <c r="B5" s="42" t="s">
        <v>306</v>
      </c>
      <c r="C5" s="42" t="s">
        <v>328</v>
      </c>
      <c r="D5" s="42" t="s">
        <v>329</v>
      </c>
      <c r="E5" s="52" t="s">
        <v>321</v>
      </c>
      <c r="F5" s="52" t="s">
        <v>20</v>
      </c>
      <c r="G5" s="52" t="s">
        <v>310</v>
      </c>
      <c r="H5" s="52" t="s">
        <v>311</v>
      </c>
      <c r="I5" s="42" t="s">
        <v>305</v>
      </c>
      <c r="M5" s="42" t="s">
        <v>325</v>
      </c>
      <c r="O5" s="43"/>
      <c r="P5" s="42" t="s">
        <v>326</v>
      </c>
    </row>
    <row r="6" spans="1:17">
      <c r="A6" s="42" t="s">
        <v>330</v>
      </c>
      <c r="B6" s="42" t="s">
        <v>306</v>
      </c>
      <c r="C6" s="42" t="s">
        <v>331</v>
      </c>
      <c r="D6" s="42" t="s">
        <v>332</v>
      </c>
      <c r="E6" s="52" t="s">
        <v>311</v>
      </c>
      <c r="F6" s="52" t="s">
        <v>20</v>
      </c>
      <c r="G6" s="52" t="s">
        <v>333</v>
      </c>
      <c r="H6" s="52" t="s">
        <v>311</v>
      </c>
      <c r="I6" s="42" t="s">
        <v>305</v>
      </c>
      <c r="M6" s="42" t="s">
        <v>325</v>
      </c>
      <c r="O6" s="43"/>
      <c r="P6" s="42" t="s">
        <v>326</v>
      </c>
    </row>
    <row r="7" spans="1:17">
      <c r="A7" s="42" t="s">
        <v>334</v>
      </c>
      <c r="B7" s="42" t="s">
        <v>306</v>
      </c>
      <c r="C7" s="42" t="s">
        <v>335</v>
      </c>
      <c r="D7" s="42" t="s">
        <v>324</v>
      </c>
      <c r="E7" s="52" t="s">
        <v>15</v>
      </c>
      <c r="F7" s="52" t="s">
        <v>20</v>
      </c>
      <c r="G7" s="52" t="s">
        <v>310</v>
      </c>
      <c r="H7" s="52" t="s">
        <v>311</v>
      </c>
      <c r="I7" s="42" t="s">
        <v>305</v>
      </c>
      <c r="M7" s="42" t="s">
        <v>325</v>
      </c>
      <c r="O7" s="43"/>
      <c r="P7" s="42" t="s">
        <v>326</v>
      </c>
    </row>
    <row r="8" spans="1:17">
      <c r="A8" s="42" t="s">
        <v>336</v>
      </c>
      <c r="B8" s="42" t="s">
        <v>306</v>
      </c>
      <c r="C8" s="42" t="s">
        <v>337</v>
      </c>
      <c r="D8" s="42" t="s">
        <v>338</v>
      </c>
      <c r="E8" s="52" t="s">
        <v>321</v>
      </c>
      <c r="F8" s="52" t="s">
        <v>20</v>
      </c>
      <c r="G8" s="52" t="s">
        <v>310</v>
      </c>
      <c r="H8" s="52" t="s">
        <v>311</v>
      </c>
      <c r="I8" s="42" t="s">
        <v>305</v>
      </c>
      <c r="M8" s="42" t="s">
        <v>325</v>
      </c>
      <c r="O8" s="43"/>
      <c r="P8" s="42" t="s">
        <v>326</v>
      </c>
    </row>
    <row r="9" spans="1:17">
      <c r="A9" s="42" t="s">
        <v>339</v>
      </c>
      <c r="B9" s="42" t="s">
        <v>306</v>
      </c>
      <c r="C9" s="42" t="s">
        <v>340</v>
      </c>
      <c r="D9" s="42" t="s">
        <v>341</v>
      </c>
      <c r="E9" s="52" t="s">
        <v>15</v>
      </c>
      <c r="F9" s="52" t="s">
        <v>20</v>
      </c>
      <c r="G9" s="52" t="s">
        <v>310</v>
      </c>
      <c r="H9" s="52" t="s">
        <v>311</v>
      </c>
      <c r="I9" s="42" t="s">
        <v>305</v>
      </c>
      <c r="M9" s="42" t="s">
        <v>325</v>
      </c>
      <c r="O9" s="43"/>
      <c r="P9" s="42" t="s">
        <v>326</v>
      </c>
    </row>
    <row r="10" spans="1:17">
      <c r="A10" s="42" t="s">
        <v>342</v>
      </c>
      <c r="B10" s="42" t="s">
        <v>306</v>
      </c>
      <c r="C10" s="42" t="s">
        <v>343</v>
      </c>
      <c r="D10" s="42" t="s">
        <v>344</v>
      </c>
      <c r="E10" s="52" t="s">
        <v>321</v>
      </c>
      <c r="F10" s="52" t="s">
        <v>20</v>
      </c>
      <c r="G10" s="52" t="s">
        <v>310</v>
      </c>
      <c r="H10" s="52" t="s">
        <v>311</v>
      </c>
      <c r="I10" s="42" t="s">
        <v>305</v>
      </c>
      <c r="M10" s="42" t="s">
        <v>325</v>
      </c>
      <c r="O10" s="43"/>
      <c r="P10" s="42" t="s">
        <v>326</v>
      </c>
    </row>
    <row r="11" spans="1:17">
      <c r="A11" s="42" t="s">
        <v>345</v>
      </c>
      <c r="B11" s="42" t="s">
        <v>306</v>
      </c>
      <c r="C11" s="42" t="s">
        <v>346</v>
      </c>
      <c r="D11" s="42" t="s">
        <v>347</v>
      </c>
      <c r="E11" s="52" t="s">
        <v>311</v>
      </c>
      <c r="F11" s="52" t="s">
        <v>20</v>
      </c>
      <c r="G11" s="52" t="s">
        <v>333</v>
      </c>
      <c r="H11" s="52" t="s">
        <v>311</v>
      </c>
      <c r="I11" s="42" t="s">
        <v>305</v>
      </c>
      <c r="J11" s="42" t="s">
        <v>348</v>
      </c>
      <c r="K11" s="42" t="s">
        <v>348</v>
      </c>
      <c r="L11" s="42" t="s">
        <v>314</v>
      </c>
      <c r="M11" s="42" t="s">
        <v>315</v>
      </c>
      <c r="N11" s="42" t="s">
        <v>316</v>
      </c>
      <c r="O11" s="43"/>
      <c r="P11" s="42" t="s">
        <v>326</v>
      </c>
    </row>
    <row r="12" spans="1:17">
      <c r="A12" s="42" t="s">
        <v>349</v>
      </c>
      <c r="B12" s="42" t="s">
        <v>306</v>
      </c>
      <c r="C12" s="42" t="s">
        <v>350</v>
      </c>
      <c r="D12" s="42" t="s">
        <v>351</v>
      </c>
      <c r="E12" s="52" t="s">
        <v>15</v>
      </c>
      <c r="F12" s="52" t="s">
        <v>352</v>
      </c>
      <c r="G12" s="52" t="s">
        <v>310</v>
      </c>
      <c r="H12" s="52" t="s">
        <v>353</v>
      </c>
      <c r="I12" s="42" t="s">
        <v>354</v>
      </c>
      <c r="J12" s="42" t="s">
        <v>355</v>
      </c>
      <c r="K12" s="42" t="s">
        <v>356</v>
      </c>
      <c r="L12" s="42" t="s">
        <v>357</v>
      </c>
      <c r="M12" s="42" t="s">
        <v>358</v>
      </c>
      <c r="N12" s="42" t="s">
        <v>359</v>
      </c>
      <c r="O12" s="43"/>
      <c r="P12" s="42" t="s">
        <v>317</v>
      </c>
    </row>
    <row r="13" spans="1:17">
      <c r="A13" s="42" t="s">
        <v>360</v>
      </c>
      <c r="B13" s="42" t="s">
        <v>306</v>
      </c>
      <c r="C13" s="42" t="s">
        <v>361</v>
      </c>
      <c r="D13" s="42" t="s">
        <v>362</v>
      </c>
      <c r="E13" s="52" t="s">
        <v>321</v>
      </c>
      <c r="F13" s="52" t="s">
        <v>352</v>
      </c>
      <c r="G13" s="52" t="s">
        <v>310</v>
      </c>
      <c r="H13" s="52" t="s">
        <v>363</v>
      </c>
      <c r="I13" s="42" t="s">
        <v>364</v>
      </c>
      <c r="J13" s="42" t="s">
        <v>355</v>
      </c>
      <c r="K13" s="42" t="s">
        <v>356</v>
      </c>
      <c r="L13" s="42" t="s">
        <v>357</v>
      </c>
      <c r="M13" s="42" t="s">
        <v>358</v>
      </c>
      <c r="N13" s="42" t="s">
        <v>345</v>
      </c>
      <c r="O13" s="43"/>
      <c r="P13" s="42" t="s">
        <v>317</v>
      </c>
    </row>
    <row r="14" spans="1:17">
      <c r="A14" s="42" t="s">
        <v>365</v>
      </c>
      <c r="B14" s="42" t="s">
        <v>306</v>
      </c>
      <c r="C14" s="42" t="s">
        <v>366</v>
      </c>
      <c r="D14" s="42" t="s">
        <v>367</v>
      </c>
      <c r="E14" s="52" t="s">
        <v>15</v>
      </c>
      <c r="F14" s="52" t="s">
        <v>352</v>
      </c>
      <c r="G14" s="52" t="s">
        <v>310</v>
      </c>
      <c r="H14" s="52" t="s">
        <v>311</v>
      </c>
      <c r="I14" s="42" t="s">
        <v>305</v>
      </c>
      <c r="J14" s="42" t="s">
        <v>368</v>
      </c>
      <c r="K14" s="42" t="s">
        <v>369</v>
      </c>
      <c r="L14" s="42" t="s">
        <v>357</v>
      </c>
      <c r="M14" s="42" t="s">
        <v>358</v>
      </c>
      <c r="N14" s="42" t="s">
        <v>316</v>
      </c>
      <c r="O14" s="43" t="s">
        <v>370</v>
      </c>
      <c r="P14" s="42" t="s">
        <v>317</v>
      </c>
    </row>
    <row r="15" spans="1:17">
      <c r="A15" s="42" t="s">
        <v>371</v>
      </c>
      <c r="B15" s="42" t="s">
        <v>306</v>
      </c>
      <c r="C15" s="42" t="s">
        <v>372</v>
      </c>
      <c r="D15" s="42" t="s">
        <v>373</v>
      </c>
      <c r="E15" s="52" t="s">
        <v>321</v>
      </c>
      <c r="F15" s="52" t="s">
        <v>352</v>
      </c>
      <c r="G15" s="52" t="s">
        <v>310</v>
      </c>
      <c r="H15" s="52" t="s">
        <v>363</v>
      </c>
      <c r="I15" s="42" t="s">
        <v>364</v>
      </c>
      <c r="J15" s="42" t="s">
        <v>368</v>
      </c>
      <c r="K15" s="42" t="s">
        <v>369</v>
      </c>
      <c r="L15" s="42" t="s">
        <v>357</v>
      </c>
      <c r="M15" s="42" t="s">
        <v>358</v>
      </c>
      <c r="N15" s="42" t="s">
        <v>345</v>
      </c>
      <c r="O15" s="43" t="s">
        <v>370</v>
      </c>
      <c r="P15" s="42" t="s">
        <v>317</v>
      </c>
    </row>
    <row r="16" spans="1:17">
      <c r="A16" s="42" t="s">
        <v>374</v>
      </c>
      <c r="B16" s="42" t="s">
        <v>306</v>
      </c>
      <c r="C16" s="42" t="s">
        <v>375</v>
      </c>
      <c r="D16" s="42" t="s">
        <v>376</v>
      </c>
      <c r="E16" s="52" t="s">
        <v>311</v>
      </c>
      <c r="F16" s="52" t="s">
        <v>309</v>
      </c>
      <c r="G16" s="52" t="s">
        <v>333</v>
      </c>
      <c r="H16" s="52" t="s">
        <v>353</v>
      </c>
      <c r="I16" s="42" t="s">
        <v>354</v>
      </c>
      <c r="J16" s="42" t="s">
        <v>377</v>
      </c>
      <c r="K16" s="42" t="s">
        <v>378</v>
      </c>
      <c r="L16" s="42" t="s">
        <v>357</v>
      </c>
      <c r="M16" s="42" t="s">
        <v>358</v>
      </c>
      <c r="N16" s="42" t="s">
        <v>359</v>
      </c>
      <c r="O16" s="43" t="s">
        <v>379</v>
      </c>
      <c r="P16" s="42" t="s">
        <v>317</v>
      </c>
    </row>
    <row r="17" spans="1:16">
      <c r="A17" s="42" t="s">
        <v>380</v>
      </c>
      <c r="B17" s="42" t="s">
        <v>306</v>
      </c>
      <c r="C17" s="42" t="s">
        <v>381</v>
      </c>
      <c r="D17" s="42" t="s">
        <v>382</v>
      </c>
      <c r="E17" s="52" t="s">
        <v>15</v>
      </c>
      <c r="F17" s="53" t="s">
        <v>20</v>
      </c>
      <c r="G17" s="52" t="s">
        <v>310</v>
      </c>
      <c r="H17" s="52" t="s">
        <v>311</v>
      </c>
      <c r="I17" s="42" t="s">
        <v>305</v>
      </c>
      <c r="J17" s="42" t="s">
        <v>383</v>
      </c>
      <c r="K17" s="42" t="s">
        <v>383</v>
      </c>
      <c r="L17" s="42" t="s">
        <v>384</v>
      </c>
      <c r="M17" s="42" t="s">
        <v>358</v>
      </c>
      <c r="N17" s="42" t="s">
        <v>316</v>
      </c>
      <c r="O17" s="43" t="s">
        <v>385</v>
      </c>
      <c r="P17" s="42" t="s">
        <v>386</v>
      </c>
    </row>
    <row r="18" spans="1:16">
      <c r="A18" s="42" t="s">
        <v>305</v>
      </c>
      <c r="B18" s="42" t="s">
        <v>387</v>
      </c>
      <c r="C18" s="42" t="s">
        <v>388</v>
      </c>
      <c r="D18" s="42" t="s">
        <v>389</v>
      </c>
      <c r="E18" s="52" t="s">
        <v>311</v>
      </c>
      <c r="F18" s="52" t="s">
        <v>16</v>
      </c>
      <c r="G18" s="52" t="s">
        <v>333</v>
      </c>
      <c r="H18" s="52" t="s">
        <v>353</v>
      </c>
      <c r="I18" s="42" t="s">
        <v>354</v>
      </c>
      <c r="J18" s="42" t="s">
        <v>390</v>
      </c>
      <c r="K18" s="42" t="s">
        <v>391</v>
      </c>
      <c r="L18" s="42" t="s">
        <v>357</v>
      </c>
      <c r="M18" s="42" t="s">
        <v>392</v>
      </c>
      <c r="N18" s="42" t="s">
        <v>359</v>
      </c>
      <c r="O18" s="43" t="s">
        <v>393</v>
      </c>
      <c r="P18" s="42" t="s">
        <v>317</v>
      </c>
    </row>
    <row r="19" spans="1:16">
      <c r="A19" s="42" t="s">
        <v>318</v>
      </c>
      <c r="B19" s="42" t="s">
        <v>387</v>
      </c>
      <c r="C19" s="42" t="s">
        <v>394</v>
      </c>
      <c r="D19" s="42" t="s">
        <v>395</v>
      </c>
      <c r="E19" s="52" t="s">
        <v>311</v>
      </c>
      <c r="F19" s="52" t="s">
        <v>16</v>
      </c>
      <c r="G19" s="52" t="s">
        <v>333</v>
      </c>
      <c r="H19" s="52" t="s">
        <v>363</v>
      </c>
      <c r="I19" s="42" t="s">
        <v>364</v>
      </c>
      <c r="J19" s="42" t="s">
        <v>390</v>
      </c>
      <c r="K19" s="42" t="s">
        <v>391</v>
      </c>
      <c r="L19" s="42" t="s">
        <v>357</v>
      </c>
      <c r="M19" s="42" t="s">
        <v>392</v>
      </c>
      <c r="N19" s="42" t="s">
        <v>345</v>
      </c>
      <c r="O19" s="43" t="s">
        <v>393</v>
      </c>
      <c r="P19" s="42" t="s">
        <v>317</v>
      </c>
    </row>
    <row r="20" spans="1:16">
      <c r="A20" s="42" t="s">
        <v>322</v>
      </c>
      <c r="B20" s="42" t="s">
        <v>387</v>
      </c>
      <c r="C20" s="42" t="s">
        <v>396</v>
      </c>
      <c r="D20" s="42" t="s">
        <v>397</v>
      </c>
      <c r="E20" s="52" t="s">
        <v>311</v>
      </c>
      <c r="F20" s="52" t="s">
        <v>20</v>
      </c>
      <c r="G20" s="52" t="s">
        <v>333</v>
      </c>
      <c r="H20" s="52" t="s">
        <v>311</v>
      </c>
      <c r="I20" s="42" t="s">
        <v>305</v>
      </c>
      <c r="J20" s="42" t="s">
        <v>398</v>
      </c>
      <c r="K20" s="42" t="s">
        <v>398</v>
      </c>
      <c r="L20" s="42" t="s">
        <v>357</v>
      </c>
      <c r="M20" s="42" t="s">
        <v>348</v>
      </c>
      <c r="N20" s="42" t="s">
        <v>316</v>
      </c>
      <c r="O20" s="43" t="s">
        <v>393</v>
      </c>
      <c r="P20" s="42" t="s">
        <v>326</v>
      </c>
    </row>
    <row r="21" spans="1:16">
      <c r="A21" s="42" t="s">
        <v>327</v>
      </c>
      <c r="B21" s="42" t="s">
        <v>387</v>
      </c>
      <c r="C21" s="42" t="s">
        <v>399</v>
      </c>
      <c r="D21" s="42" t="s">
        <v>400</v>
      </c>
      <c r="E21" s="52" t="s">
        <v>311</v>
      </c>
      <c r="F21" s="52" t="s">
        <v>20</v>
      </c>
      <c r="G21" s="52" t="s">
        <v>333</v>
      </c>
      <c r="H21" s="52" t="s">
        <v>363</v>
      </c>
      <c r="I21" s="42" t="s">
        <v>364</v>
      </c>
      <c r="J21" s="42" t="s">
        <v>398</v>
      </c>
      <c r="K21" s="42" t="s">
        <v>398</v>
      </c>
      <c r="L21" s="42" t="s">
        <v>357</v>
      </c>
      <c r="M21" s="42" t="s">
        <v>348</v>
      </c>
      <c r="N21" s="42" t="s">
        <v>345</v>
      </c>
      <c r="O21" s="43" t="s">
        <v>393</v>
      </c>
      <c r="P21" s="42" t="s">
        <v>326</v>
      </c>
    </row>
    <row r="22" spans="1:16">
      <c r="A22" s="42" t="s">
        <v>330</v>
      </c>
      <c r="B22" s="42" t="s">
        <v>387</v>
      </c>
      <c r="C22" s="42" t="s">
        <v>401</v>
      </c>
      <c r="D22" s="42" t="s">
        <v>402</v>
      </c>
      <c r="E22" s="52" t="s">
        <v>15</v>
      </c>
      <c r="F22" s="52" t="s">
        <v>24</v>
      </c>
      <c r="G22" s="52" t="s">
        <v>333</v>
      </c>
      <c r="H22" s="52" t="s">
        <v>363</v>
      </c>
      <c r="I22" s="42" t="s">
        <v>364</v>
      </c>
      <c r="J22" s="42" t="s">
        <v>403</v>
      </c>
      <c r="K22" s="42" t="s">
        <v>403</v>
      </c>
      <c r="L22" s="42" t="s">
        <v>357</v>
      </c>
      <c r="M22" s="42" t="s">
        <v>348</v>
      </c>
      <c r="N22" s="42" t="s">
        <v>345</v>
      </c>
      <c r="O22" s="43" t="s">
        <v>393</v>
      </c>
      <c r="P22" s="42" t="s">
        <v>326</v>
      </c>
    </row>
    <row r="23" spans="1:16">
      <c r="A23" s="42" t="s">
        <v>334</v>
      </c>
      <c r="B23" s="42" t="s">
        <v>387</v>
      </c>
      <c r="C23" s="42" t="s">
        <v>404</v>
      </c>
      <c r="D23" s="42" t="s">
        <v>405</v>
      </c>
      <c r="E23" s="52" t="s">
        <v>311</v>
      </c>
      <c r="F23" s="52" t="s">
        <v>24</v>
      </c>
      <c r="G23" s="52" t="s">
        <v>333</v>
      </c>
      <c r="H23" s="52" t="s">
        <v>311</v>
      </c>
      <c r="I23" s="42" t="s">
        <v>305</v>
      </c>
      <c r="J23" s="42" t="s">
        <v>403</v>
      </c>
      <c r="K23" s="42" t="s">
        <v>403</v>
      </c>
      <c r="L23" s="42" t="s">
        <v>357</v>
      </c>
      <c r="M23" s="42" t="s">
        <v>348</v>
      </c>
      <c r="N23" s="42" t="s">
        <v>316</v>
      </c>
      <c r="O23" s="43" t="s">
        <v>393</v>
      </c>
      <c r="P23" s="42" t="s">
        <v>326</v>
      </c>
    </row>
    <row r="24" spans="1:16">
      <c r="A24" s="42" t="s">
        <v>336</v>
      </c>
      <c r="B24" s="42" t="s">
        <v>387</v>
      </c>
      <c r="C24" s="42" t="s">
        <v>406</v>
      </c>
      <c r="D24" s="42" t="s">
        <v>407</v>
      </c>
      <c r="E24" s="52" t="s">
        <v>15</v>
      </c>
      <c r="F24" s="52" t="s">
        <v>24</v>
      </c>
      <c r="G24" s="52" t="s">
        <v>333</v>
      </c>
      <c r="H24" s="52" t="s">
        <v>363</v>
      </c>
      <c r="I24" s="42" t="s">
        <v>364</v>
      </c>
      <c r="J24" s="42" t="s">
        <v>408</v>
      </c>
      <c r="K24" s="42" t="s">
        <v>409</v>
      </c>
      <c r="L24" s="42" t="s">
        <v>357</v>
      </c>
      <c r="M24" s="42" t="s">
        <v>348</v>
      </c>
      <c r="N24" s="42" t="s">
        <v>345</v>
      </c>
      <c r="O24" s="43" t="s">
        <v>393</v>
      </c>
      <c r="P24" s="42" t="s">
        <v>386</v>
      </c>
    </row>
    <row r="25" spans="1:16">
      <c r="A25" s="42" t="s">
        <v>339</v>
      </c>
      <c r="B25" s="42" t="s">
        <v>387</v>
      </c>
      <c r="C25" s="42" t="s">
        <v>410</v>
      </c>
      <c r="D25" s="42" t="s">
        <v>411</v>
      </c>
      <c r="E25" s="52" t="s">
        <v>311</v>
      </c>
      <c r="F25" s="52" t="s">
        <v>24</v>
      </c>
      <c r="G25" s="52" t="s">
        <v>333</v>
      </c>
      <c r="H25" s="52" t="s">
        <v>311</v>
      </c>
      <c r="I25" s="42" t="s">
        <v>305</v>
      </c>
      <c r="J25" s="42" t="s">
        <v>408</v>
      </c>
      <c r="K25" s="42" t="s">
        <v>409</v>
      </c>
      <c r="L25" s="42" t="s">
        <v>357</v>
      </c>
      <c r="M25" s="42" t="s">
        <v>348</v>
      </c>
      <c r="N25" s="42" t="s">
        <v>412</v>
      </c>
      <c r="O25" s="43" t="s">
        <v>393</v>
      </c>
      <c r="P25" s="42" t="s">
        <v>386</v>
      </c>
    </row>
    <row r="26" spans="1:16">
      <c r="A26" s="42" t="s">
        <v>342</v>
      </c>
      <c r="B26" s="42" t="s">
        <v>387</v>
      </c>
      <c r="C26" s="42" t="s">
        <v>413</v>
      </c>
      <c r="D26" s="42" t="s">
        <v>414</v>
      </c>
      <c r="E26" s="52" t="s">
        <v>321</v>
      </c>
      <c r="F26" s="52" t="s">
        <v>24</v>
      </c>
      <c r="G26" s="52" t="s">
        <v>333</v>
      </c>
      <c r="H26" s="52" t="s">
        <v>363</v>
      </c>
      <c r="I26" s="42" t="s">
        <v>364</v>
      </c>
      <c r="J26" s="42" t="s">
        <v>408</v>
      </c>
      <c r="K26" s="42" t="s">
        <v>409</v>
      </c>
      <c r="L26" s="42" t="s">
        <v>357</v>
      </c>
      <c r="M26" s="42" t="s">
        <v>348</v>
      </c>
      <c r="N26" s="42" t="s">
        <v>345</v>
      </c>
      <c r="O26" s="43" t="s">
        <v>393</v>
      </c>
      <c r="P26" s="42" t="s">
        <v>386</v>
      </c>
    </row>
    <row r="27" spans="1:16">
      <c r="A27" s="42" t="s">
        <v>345</v>
      </c>
      <c r="B27" s="42" t="s">
        <v>387</v>
      </c>
      <c r="C27" s="42" t="s">
        <v>415</v>
      </c>
      <c r="D27" s="42" t="s">
        <v>416</v>
      </c>
      <c r="E27" s="52" t="s">
        <v>15</v>
      </c>
      <c r="F27" s="52" t="s">
        <v>24</v>
      </c>
      <c r="G27" s="52" t="s">
        <v>333</v>
      </c>
      <c r="H27" s="52" t="s">
        <v>363</v>
      </c>
      <c r="I27" s="42" t="s">
        <v>364</v>
      </c>
      <c r="J27" s="42" t="s">
        <v>417</v>
      </c>
      <c r="K27" s="42" t="s">
        <v>409</v>
      </c>
      <c r="L27" s="42" t="s">
        <v>357</v>
      </c>
      <c r="M27" s="42" t="s">
        <v>348</v>
      </c>
      <c r="N27" s="42" t="s">
        <v>345</v>
      </c>
      <c r="O27" s="43" t="s">
        <v>393</v>
      </c>
      <c r="P27" s="42" t="s">
        <v>386</v>
      </c>
    </row>
    <row r="28" spans="1:16">
      <c r="A28" s="42" t="s">
        <v>349</v>
      </c>
      <c r="B28" s="42" t="s">
        <v>387</v>
      </c>
      <c r="C28" s="42" t="s">
        <v>418</v>
      </c>
      <c r="D28" s="42" t="s">
        <v>419</v>
      </c>
      <c r="E28" s="52" t="s">
        <v>311</v>
      </c>
      <c r="F28" s="52" t="s">
        <v>24</v>
      </c>
      <c r="G28" s="52" t="s">
        <v>333</v>
      </c>
      <c r="H28" s="52" t="s">
        <v>311</v>
      </c>
      <c r="I28" s="42" t="s">
        <v>305</v>
      </c>
      <c r="J28" s="42" t="s">
        <v>417</v>
      </c>
      <c r="K28" s="42" t="s">
        <v>409</v>
      </c>
      <c r="L28" s="42" t="s">
        <v>357</v>
      </c>
      <c r="M28" s="42" t="s">
        <v>348</v>
      </c>
      <c r="N28" s="42" t="s">
        <v>412</v>
      </c>
      <c r="O28" s="43" t="s">
        <v>393</v>
      </c>
      <c r="P28" s="42" t="s">
        <v>386</v>
      </c>
    </row>
    <row r="29" spans="1:16">
      <c r="A29" s="42" t="s">
        <v>360</v>
      </c>
      <c r="B29" s="42" t="s">
        <v>387</v>
      </c>
      <c r="C29" s="42" t="s">
        <v>420</v>
      </c>
      <c r="D29" s="42" t="s">
        <v>421</v>
      </c>
      <c r="E29" s="52" t="s">
        <v>321</v>
      </c>
      <c r="F29" s="52" t="s">
        <v>24</v>
      </c>
      <c r="G29" s="52" t="s">
        <v>333</v>
      </c>
      <c r="H29" s="52" t="s">
        <v>363</v>
      </c>
      <c r="I29" s="42" t="s">
        <v>364</v>
      </c>
      <c r="J29" s="42" t="s">
        <v>417</v>
      </c>
      <c r="K29" s="42" t="s">
        <v>409</v>
      </c>
      <c r="L29" s="42" t="s">
        <v>357</v>
      </c>
      <c r="M29" s="42" t="s">
        <v>348</v>
      </c>
      <c r="N29" s="42" t="s">
        <v>345</v>
      </c>
      <c r="O29" s="43" t="s">
        <v>393</v>
      </c>
      <c r="P29" s="42" t="s">
        <v>386</v>
      </c>
    </row>
    <row r="30" spans="1:16">
      <c r="A30" s="42" t="s">
        <v>365</v>
      </c>
      <c r="B30" s="42" t="s">
        <v>387</v>
      </c>
      <c r="C30" s="42" t="s">
        <v>422</v>
      </c>
      <c r="D30" s="42" t="s">
        <v>423</v>
      </c>
      <c r="E30" s="52" t="s">
        <v>15</v>
      </c>
      <c r="F30" s="52" t="s">
        <v>24</v>
      </c>
      <c r="G30" s="52" t="s">
        <v>333</v>
      </c>
      <c r="H30" s="52" t="s">
        <v>363</v>
      </c>
      <c r="I30" s="42" t="s">
        <v>364</v>
      </c>
      <c r="J30" s="42" t="s">
        <v>424</v>
      </c>
      <c r="K30" s="42" t="s">
        <v>425</v>
      </c>
      <c r="L30" s="42" t="s">
        <v>357</v>
      </c>
      <c r="M30" s="42" t="s">
        <v>348</v>
      </c>
      <c r="N30" s="42" t="s">
        <v>345</v>
      </c>
      <c r="O30" s="43" t="s">
        <v>393</v>
      </c>
      <c r="P30" s="42" t="s">
        <v>386</v>
      </c>
    </row>
    <row r="31" spans="1:16">
      <c r="A31" s="42" t="s">
        <v>371</v>
      </c>
      <c r="B31" s="42" t="s">
        <v>387</v>
      </c>
      <c r="C31" s="42" t="s">
        <v>426</v>
      </c>
      <c r="D31" s="42" t="s">
        <v>427</v>
      </c>
      <c r="E31" s="52" t="s">
        <v>311</v>
      </c>
      <c r="F31" s="52" t="s">
        <v>24</v>
      </c>
      <c r="G31" s="52" t="s">
        <v>333</v>
      </c>
      <c r="H31" s="52" t="s">
        <v>311</v>
      </c>
      <c r="I31" s="42" t="s">
        <v>305</v>
      </c>
      <c r="J31" s="42" t="s">
        <v>424</v>
      </c>
      <c r="K31" s="42" t="s">
        <v>425</v>
      </c>
      <c r="L31" s="42" t="s">
        <v>357</v>
      </c>
      <c r="M31" s="42" t="s">
        <v>348</v>
      </c>
      <c r="N31" s="42" t="s">
        <v>316</v>
      </c>
      <c r="O31" s="43" t="s">
        <v>393</v>
      </c>
      <c r="P31" s="42" t="s">
        <v>386</v>
      </c>
    </row>
    <row r="32" spans="1:16">
      <c r="A32" s="42" t="s">
        <v>374</v>
      </c>
      <c r="B32" s="42" t="s">
        <v>387</v>
      </c>
      <c r="C32" s="42" t="s">
        <v>428</v>
      </c>
      <c r="D32" s="42" t="s">
        <v>429</v>
      </c>
      <c r="E32" s="52" t="s">
        <v>321</v>
      </c>
      <c r="F32" s="52" t="s">
        <v>24</v>
      </c>
      <c r="G32" s="52" t="s">
        <v>333</v>
      </c>
      <c r="H32" s="52" t="s">
        <v>363</v>
      </c>
      <c r="I32" s="42" t="s">
        <v>364</v>
      </c>
      <c r="J32" s="42" t="s">
        <v>424</v>
      </c>
      <c r="K32" s="42" t="s">
        <v>425</v>
      </c>
      <c r="L32" s="42" t="s">
        <v>357</v>
      </c>
      <c r="M32" s="42" t="s">
        <v>348</v>
      </c>
      <c r="N32" s="42" t="s">
        <v>345</v>
      </c>
      <c r="O32" s="43" t="s">
        <v>393</v>
      </c>
      <c r="P32" s="42" t="s">
        <v>386</v>
      </c>
    </row>
    <row r="33" spans="1:16">
      <c r="A33" s="42" t="s">
        <v>380</v>
      </c>
      <c r="B33" s="42" t="s">
        <v>387</v>
      </c>
      <c r="C33" s="42" t="s">
        <v>430</v>
      </c>
      <c r="D33" s="42" t="s">
        <v>431</v>
      </c>
      <c r="E33" s="52" t="s">
        <v>15</v>
      </c>
      <c r="F33" s="52" t="s">
        <v>24</v>
      </c>
      <c r="G33" s="52" t="s">
        <v>333</v>
      </c>
      <c r="H33" s="52" t="s">
        <v>363</v>
      </c>
      <c r="I33" s="42" t="s">
        <v>364</v>
      </c>
      <c r="J33" s="42" t="s">
        <v>417</v>
      </c>
      <c r="K33" s="42" t="s">
        <v>409</v>
      </c>
      <c r="L33" s="42" t="s">
        <v>357</v>
      </c>
      <c r="M33" s="42" t="s">
        <v>348</v>
      </c>
      <c r="N33" s="42" t="s">
        <v>345</v>
      </c>
      <c r="O33" s="43" t="s">
        <v>393</v>
      </c>
      <c r="P33" s="42" t="s">
        <v>386</v>
      </c>
    </row>
    <row r="34" spans="1:16">
      <c r="A34" s="42" t="s">
        <v>432</v>
      </c>
      <c r="B34" s="42" t="s">
        <v>387</v>
      </c>
      <c r="C34" s="42" t="s">
        <v>433</v>
      </c>
      <c r="D34" s="42" t="s">
        <v>434</v>
      </c>
      <c r="E34" s="52" t="s">
        <v>311</v>
      </c>
      <c r="F34" s="52" t="s">
        <v>24</v>
      </c>
      <c r="G34" s="52" t="s">
        <v>333</v>
      </c>
      <c r="H34" s="52" t="s">
        <v>311</v>
      </c>
      <c r="I34" s="42" t="s">
        <v>305</v>
      </c>
      <c r="J34" s="42" t="s">
        <v>417</v>
      </c>
      <c r="K34" s="42" t="s">
        <v>409</v>
      </c>
      <c r="L34" s="42" t="s">
        <v>357</v>
      </c>
      <c r="M34" s="42" t="s">
        <v>348</v>
      </c>
      <c r="N34" s="42" t="s">
        <v>412</v>
      </c>
      <c r="O34" s="43" t="s">
        <v>393</v>
      </c>
      <c r="P34" s="42" t="s">
        <v>386</v>
      </c>
    </row>
    <row r="35" spans="1:16">
      <c r="A35" s="42" t="s">
        <v>435</v>
      </c>
      <c r="B35" s="42" t="s">
        <v>387</v>
      </c>
      <c r="C35" s="42" t="s">
        <v>436</v>
      </c>
      <c r="D35" s="42" t="s">
        <v>437</v>
      </c>
      <c r="E35" s="52" t="s">
        <v>321</v>
      </c>
      <c r="F35" s="52" t="s">
        <v>24</v>
      </c>
      <c r="G35" s="52" t="s">
        <v>333</v>
      </c>
      <c r="H35" s="52" t="s">
        <v>363</v>
      </c>
      <c r="I35" s="42" t="s">
        <v>364</v>
      </c>
      <c r="J35" s="42" t="s">
        <v>417</v>
      </c>
      <c r="K35" s="42" t="s">
        <v>409</v>
      </c>
      <c r="L35" s="42" t="s">
        <v>357</v>
      </c>
      <c r="M35" s="42" t="s">
        <v>348</v>
      </c>
      <c r="N35" s="42" t="s">
        <v>345</v>
      </c>
      <c r="O35" s="43" t="s">
        <v>393</v>
      </c>
      <c r="P35" s="42" t="s">
        <v>386</v>
      </c>
    </row>
    <row r="36" spans="1:16">
      <c r="A36" s="42" t="s">
        <v>438</v>
      </c>
      <c r="B36" s="42" t="s">
        <v>387</v>
      </c>
      <c r="C36" s="42" t="s">
        <v>439</v>
      </c>
      <c r="D36" s="42" t="s">
        <v>440</v>
      </c>
      <c r="E36" s="52" t="s">
        <v>15</v>
      </c>
      <c r="F36" s="52" t="s">
        <v>24</v>
      </c>
      <c r="G36" s="52" t="s">
        <v>333</v>
      </c>
      <c r="H36" s="52" t="s">
        <v>363</v>
      </c>
      <c r="I36" s="42" t="s">
        <v>364</v>
      </c>
      <c r="J36" s="42" t="s">
        <v>441</v>
      </c>
      <c r="K36" s="42" t="s">
        <v>398</v>
      </c>
      <c r="L36" s="42" t="s">
        <v>357</v>
      </c>
      <c r="M36" s="42" t="s">
        <v>348</v>
      </c>
      <c r="N36" s="42" t="s">
        <v>345</v>
      </c>
      <c r="O36" s="43" t="s">
        <v>393</v>
      </c>
      <c r="P36" s="42" t="s">
        <v>386</v>
      </c>
    </row>
    <row r="37" spans="1:16">
      <c r="A37" s="42" t="s">
        <v>442</v>
      </c>
      <c r="B37" s="42" t="s">
        <v>387</v>
      </c>
      <c r="C37" s="42" t="s">
        <v>443</v>
      </c>
      <c r="D37" s="42" t="s">
        <v>444</v>
      </c>
      <c r="E37" s="52" t="s">
        <v>311</v>
      </c>
      <c r="F37" s="52" t="s">
        <v>24</v>
      </c>
      <c r="G37" s="52" t="s">
        <v>333</v>
      </c>
      <c r="H37" s="52" t="s">
        <v>311</v>
      </c>
      <c r="I37" s="42" t="s">
        <v>305</v>
      </c>
      <c r="J37" s="42" t="s">
        <v>441</v>
      </c>
      <c r="K37" s="42" t="s">
        <v>398</v>
      </c>
      <c r="L37" s="42" t="s">
        <v>357</v>
      </c>
      <c r="M37" s="42" t="s">
        <v>348</v>
      </c>
      <c r="N37" s="42" t="s">
        <v>316</v>
      </c>
      <c r="O37" s="43" t="s">
        <v>393</v>
      </c>
      <c r="P37" s="42" t="s">
        <v>386</v>
      </c>
    </row>
    <row r="38" spans="1:16">
      <c r="A38" s="42" t="s">
        <v>445</v>
      </c>
      <c r="B38" s="42" t="s">
        <v>387</v>
      </c>
      <c r="C38" s="42" t="s">
        <v>446</v>
      </c>
      <c r="D38" s="42" t="s">
        <v>447</v>
      </c>
      <c r="E38" s="52" t="s">
        <v>321</v>
      </c>
      <c r="F38" s="52" t="s">
        <v>24</v>
      </c>
      <c r="G38" s="52" t="s">
        <v>333</v>
      </c>
      <c r="H38" s="52" t="s">
        <v>363</v>
      </c>
      <c r="I38" s="42" t="s">
        <v>364</v>
      </c>
      <c r="J38" s="42" t="s">
        <v>441</v>
      </c>
      <c r="K38" s="42" t="s">
        <v>398</v>
      </c>
      <c r="L38" s="42" t="s">
        <v>357</v>
      </c>
      <c r="M38" s="42" t="s">
        <v>348</v>
      </c>
      <c r="N38" s="42" t="s">
        <v>345</v>
      </c>
      <c r="O38" s="43" t="s">
        <v>393</v>
      </c>
      <c r="P38" s="42" t="s">
        <v>386</v>
      </c>
    </row>
    <row r="39" spans="1:16">
      <c r="A39" s="42" t="s">
        <v>448</v>
      </c>
      <c r="B39" s="42" t="s">
        <v>387</v>
      </c>
      <c r="C39" s="42" t="s">
        <v>449</v>
      </c>
      <c r="D39" s="42" t="s">
        <v>450</v>
      </c>
      <c r="E39" s="52" t="s">
        <v>15</v>
      </c>
      <c r="F39" s="52" t="s">
        <v>24</v>
      </c>
      <c r="G39" s="52" t="s">
        <v>333</v>
      </c>
      <c r="H39" s="52" t="s">
        <v>363</v>
      </c>
      <c r="I39" s="42" t="s">
        <v>364</v>
      </c>
      <c r="J39" s="42" t="s">
        <v>451</v>
      </c>
      <c r="K39" s="42" t="s">
        <v>425</v>
      </c>
      <c r="L39" s="42" t="s">
        <v>357</v>
      </c>
      <c r="M39" s="42" t="s">
        <v>348</v>
      </c>
      <c r="N39" s="42" t="s">
        <v>345</v>
      </c>
      <c r="O39" s="43" t="s">
        <v>393</v>
      </c>
      <c r="P39" s="42" t="s">
        <v>386</v>
      </c>
    </row>
    <row r="40" spans="1:16">
      <c r="A40" s="42" t="s">
        <v>452</v>
      </c>
      <c r="B40" s="42" t="s">
        <v>387</v>
      </c>
      <c r="C40" s="42" t="s">
        <v>453</v>
      </c>
      <c r="D40" s="42" t="s">
        <v>454</v>
      </c>
      <c r="E40" s="52" t="s">
        <v>311</v>
      </c>
      <c r="F40" s="52" t="s">
        <v>24</v>
      </c>
      <c r="G40" s="52" t="s">
        <v>333</v>
      </c>
      <c r="H40" s="52" t="s">
        <v>311</v>
      </c>
      <c r="I40" s="42" t="s">
        <v>305</v>
      </c>
      <c r="J40" s="42" t="s">
        <v>451</v>
      </c>
      <c r="K40" s="42" t="s">
        <v>425</v>
      </c>
      <c r="L40" s="42" t="s">
        <v>357</v>
      </c>
      <c r="M40" s="42" t="s">
        <v>348</v>
      </c>
      <c r="N40" s="42" t="s">
        <v>412</v>
      </c>
      <c r="O40" s="43" t="s">
        <v>393</v>
      </c>
      <c r="P40" s="42" t="s">
        <v>386</v>
      </c>
    </row>
    <row r="41" spans="1:16">
      <c r="A41" s="42" t="s">
        <v>455</v>
      </c>
      <c r="B41" s="42" t="s">
        <v>387</v>
      </c>
      <c r="C41" s="42" t="s">
        <v>456</v>
      </c>
      <c r="D41" s="42" t="s">
        <v>457</v>
      </c>
      <c r="E41" s="52" t="s">
        <v>321</v>
      </c>
      <c r="F41" s="52" t="s">
        <v>24</v>
      </c>
      <c r="G41" s="52" t="s">
        <v>333</v>
      </c>
      <c r="H41" s="52" t="s">
        <v>363</v>
      </c>
      <c r="I41" s="42" t="s">
        <v>364</v>
      </c>
      <c r="J41" s="42" t="s">
        <v>451</v>
      </c>
      <c r="K41" s="42" t="s">
        <v>425</v>
      </c>
      <c r="L41" s="42" t="s">
        <v>357</v>
      </c>
      <c r="M41" s="42" t="s">
        <v>348</v>
      </c>
      <c r="N41" s="42" t="s">
        <v>345</v>
      </c>
      <c r="O41" s="43" t="s">
        <v>393</v>
      </c>
      <c r="P41" s="42" t="s">
        <v>386</v>
      </c>
    </row>
    <row r="42" spans="1:16">
      <c r="A42" s="42" t="s">
        <v>458</v>
      </c>
      <c r="B42" s="42" t="s">
        <v>387</v>
      </c>
      <c r="C42" s="42" t="s">
        <v>459</v>
      </c>
      <c r="D42" s="42" t="s">
        <v>460</v>
      </c>
      <c r="E42" s="52" t="s">
        <v>15</v>
      </c>
      <c r="F42" s="52" t="s">
        <v>24</v>
      </c>
      <c r="G42" s="52" t="s">
        <v>333</v>
      </c>
      <c r="H42" s="52" t="s">
        <v>363</v>
      </c>
      <c r="I42" s="42" t="s">
        <v>364</v>
      </c>
      <c r="J42" s="42" t="s">
        <v>461</v>
      </c>
      <c r="K42" s="42" t="s">
        <v>425</v>
      </c>
      <c r="L42" s="42" t="s">
        <v>357</v>
      </c>
      <c r="M42" s="42" t="s">
        <v>348</v>
      </c>
      <c r="N42" s="42" t="s">
        <v>345</v>
      </c>
      <c r="O42" s="43" t="s">
        <v>393</v>
      </c>
      <c r="P42" s="42" t="s">
        <v>386</v>
      </c>
    </row>
    <row r="43" spans="1:16">
      <c r="A43" s="42" t="s">
        <v>462</v>
      </c>
      <c r="B43" s="42" t="s">
        <v>387</v>
      </c>
      <c r="C43" s="42" t="s">
        <v>463</v>
      </c>
      <c r="D43" s="42" t="s">
        <v>464</v>
      </c>
      <c r="E43" s="52" t="s">
        <v>311</v>
      </c>
      <c r="F43" s="52" t="s">
        <v>24</v>
      </c>
      <c r="G43" s="52" t="s">
        <v>333</v>
      </c>
      <c r="H43" s="52" t="s">
        <v>311</v>
      </c>
      <c r="I43" s="42" t="s">
        <v>305</v>
      </c>
      <c r="J43" s="42" t="s">
        <v>461</v>
      </c>
      <c r="K43" s="42" t="s">
        <v>425</v>
      </c>
      <c r="L43" s="42" t="s">
        <v>357</v>
      </c>
      <c r="M43" s="42" t="s">
        <v>348</v>
      </c>
      <c r="N43" s="42" t="s">
        <v>316</v>
      </c>
      <c r="O43" s="43" t="s">
        <v>393</v>
      </c>
      <c r="P43" s="42" t="s">
        <v>386</v>
      </c>
    </row>
    <row r="44" spans="1:16">
      <c r="A44" s="42" t="s">
        <v>465</v>
      </c>
      <c r="B44" s="42" t="s">
        <v>387</v>
      </c>
      <c r="C44" s="42" t="s">
        <v>466</v>
      </c>
      <c r="D44" s="42" t="s">
        <v>467</v>
      </c>
      <c r="E44" s="52" t="s">
        <v>321</v>
      </c>
      <c r="F44" s="52" t="s">
        <v>24</v>
      </c>
      <c r="G44" s="52" t="s">
        <v>333</v>
      </c>
      <c r="H44" s="52" t="s">
        <v>363</v>
      </c>
      <c r="I44" s="42" t="s">
        <v>364</v>
      </c>
      <c r="J44" s="42" t="s">
        <v>461</v>
      </c>
      <c r="K44" s="42" t="s">
        <v>425</v>
      </c>
      <c r="L44" s="42" t="s">
        <v>357</v>
      </c>
      <c r="M44" s="42" t="s">
        <v>348</v>
      </c>
      <c r="N44" s="42" t="s">
        <v>345</v>
      </c>
      <c r="O44" s="43" t="s">
        <v>393</v>
      </c>
      <c r="P44" s="42" t="s">
        <v>386</v>
      </c>
    </row>
    <row r="45" spans="1:16">
      <c r="A45" s="42" t="s">
        <v>468</v>
      </c>
      <c r="B45" s="42" t="s">
        <v>387</v>
      </c>
      <c r="C45" s="42" t="s">
        <v>469</v>
      </c>
      <c r="D45" s="42" t="s">
        <v>470</v>
      </c>
      <c r="E45" s="52" t="s">
        <v>15</v>
      </c>
      <c r="F45" s="52" t="s">
        <v>24</v>
      </c>
      <c r="G45" s="52" t="s">
        <v>333</v>
      </c>
      <c r="H45" s="52" t="s">
        <v>363</v>
      </c>
      <c r="I45" s="42" t="s">
        <v>364</v>
      </c>
      <c r="J45" s="42" t="s">
        <v>408</v>
      </c>
      <c r="K45" s="42" t="s">
        <v>409</v>
      </c>
      <c r="L45" s="42" t="s">
        <v>357</v>
      </c>
      <c r="M45" s="42" t="s">
        <v>348</v>
      </c>
      <c r="N45" s="42" t="s">
        <v>345</v>
      </c>
      <c r="O45" s="43" t="s">
        <v>393</v>
      </c>
      <c r="P45" s="42" t="s">
        <v>386</v>
      </c>
    </row>
    <row r="46" spans="1:16">
      <c r="A46" s="42" t="s">
        <v>471</v>
      </c>
      <c r="B46" s="42" t="s">
        <v>387</v>
      </c>
      <c r="C46" s="42" t="s">
        <v>472</v>
      </c>
      <c r="D46" s="42" t="s">
        <v>473</v>
      </c>
      <c r="E46" s="52" t="s">
        <v>311</v>
      </c>
      <c r="F46" s="52" t="s">
        <v>24</v>
      </c>
      <c r="G46" s="52" t="s">
        <v>333</v>
      </c>
      <c r="H46" s="52" t="s">
        <v>311</v>
      </c>
      <c r="I46" s="42" t="s">
        <v>305</v>
      </c>
      <c r="J46" s="42" t="s">
        <v>408</v>
      </c>
      <c r="K46" s="42" t="s">
        <v>409</v>
      </c>
      <c r="L46" s="42" t="s">
        <v>357</v>
      </c>
      <c r="M46" s="42" t="s">
        <v>348</v>
      </c>
      <c r="N46" s="42" t="s">
        <v>412</v>
      </c>
      <c r="O46" s="43" t="s">
        <v>393</v>
      </c>
      <c r="P46" s="42" t="s">
        <v>386</v>
      </c>
    </row>
    <row r="47" spans="1:16">
      <c r="A47" s="42" t="s">
        <v>359</v>
      </c>
      <c r="B47" s="42" t="s">
        <v>387</v>
      </c>
      <c r="C47" s="42" t="s">
        <v>474</v>
      </c>
      <c r="D47" s="42" t="s">
        <v>475</v>
      </c>
      <c r="E47" s="52" t="s">
        <v>321</v>
      </c>
      <c r="F47" s="52" t="s">
        <v>24</v>
      </c>
      <c r="G47" s="52" t="s">
        <v>333</v>
      </c>
      <c r="H47" s="52" t="s">
        <v>363</v>
      </c>
      <c r="I47" s="42" t="s">
        <v>364</v>
      </c>
      <c r="J47" s="42" t="s">
        <v>408</v>
      </c>
      <c r="K47" s="42" t="s">
        <v>409</v>
      </c>
      <c r="L47" s="42" t="s">
        <v>357</v>
      </c>
      <c r="M47" s="42" t="s">
        <v>348</v>
      </c>
      <c r="N47" s="42" t="s">
        <v>345</v>
      </c>
      <c r="O47" s="43" t="s">
        <v>393</v>
      </c>
      <c r="P47" s="42" t="s">
        <v>386</v>
      </c>
    </row>
    <row r="48" spans="1:16">
      <c r="A48" s="42" t="s">
        <v>476</v>
      </c>
      <c r="B48" s="42" t="s">
        <v>387</v>
      </c>
      <c r="C48" s="42" t="s">
        <v>477</v>
      </c>
      <c r="D48" s="42" t="s">
        <v>478</v>
      </c>
      <c r="E48" s="52" t="s">
        <v>15</v>
      </c>
      <c r="F48" s="52" t="s">
        <v>24</v>
      </c>
      <c r="G48" s="52" t="s">
        <v>333</v>
      </c>
      <c r="H48" s="52" t="s">
        <v>363</v>
      </c>
      <c r="I48" s="42" t="s">
        <v>364</v>
      </c>
      <c r="J48" s="42" t="s">
        <v>408</v>
      </c>
      <c r="K48" s="42" t="s">
        <v>409</v>
      </c>
      <c r="L48" s="42" t="s">
        <v>357</v>
      </c>
      <c r="M48" s="42" t="s">
        <v>348</v>
      </c>
      <c r="N48" s="42" t="s">
        <v>345</v>
      </c>
      <c r="O48" s="43" t="s">
        <v>393</v>
      </c>
      <c r="P48" s="42" t="s">
        <v>386</v>
      </c>
    </row>
    <row r="49" spans="1:16">
      <c r="A49" s="42" t="s">
        <v>479</v>
      </c>
      <c r="B49" s="42" t="s">
        <v>387</v>
      </c>
      <c r="C49" s="42" t="s">
        <v>480</v>
      </c>
      <c r="D49" s="42" t="s">
        <v>481</v>
      </c>
      <c r="E49" s="52" t="s">
        <v>311</v>
      </c>
      <c r="F49" s="52" t="s">
        <v>24</v>
      </c>
      <c r="G49" s="52" t="s">
        <v>333</v>
      </c>
      <c r="H49" s="52" t="s">
        <v>311</v>
      </c>
      <c r="I49" s="42" t="s">
        <v>305</v>
      </c>
      <c r="J49" s="42" t="s">
        <v>408</v>
      </c>
      <c r="K49" s="42" t="s">
        <v>409</v>
      </c>
      <c r="L49" s="42" t="s">
        <v>357</v>
      </c>
      <c r="M49" s="42" t="s">
        <v>348</v>
      </c>
      <c r="N49" s="42" t="s">
        <v>412</v>
      </c>
      <c r="O49" s="43" t="s">
        <v>393</v>
      </c>
      <c r="P49" s="42" t="s">
        <v>386</v>
      </c>
    </row>
    <row r="50" spans="1:16">
      <c r="A50" s="42" t="s">
        <v>482</v>
      </c>
      <c r="B50" s="42" t="s">
        <v>387</v>
      </c>
      <c r="C50" s="42" t="s">
        <v>483</v>
      </c>
      <c r="D50" s="42" t="s">
        <v>484</v>
      </c>
      <c r="E50" s="52" t="s">
        <v>321</v>
      </c>
      <c r="F50" s="52" t="s">
        <v>24</v>
      </c>
      <c r="G50" s="52" t="s">
        <v>333</v>
      </c>
      <c r="H50" s="52" t="s">
        <v>363</v>
      </c>
      <c r="I50" s="42" t="s">
        <v>364</v>
      </c>
      <c r="J50" s="42" t="s">
        <v>408</v>
      </c>
      <c r="K50" s="42" t="s">
        <v>409</v>
      </c>
      <c r="L50" s="42" t="s">
        <v>357</v>
      </c>
      <c r="M50" s="42" t="s">
        <v>348</v>
      </c>
      <c r="N50" s="42" t="s">
        <v>345</v>
      </c>
      <c r="O50" s="43" t="s">
        <v>393</v>
      </c>
      <c r="P50" s="42" t="s">
        <v>386</v>
      </c>
    </row>
    <row r="51" spans="1:16">
      <c r="A51" s="42" t="s">
        <v>485</v>
      </c>
      <c r="B51" s="42" t="s">
        <v>387</v>
      </c>
      <c r="C51" s="42" t="s">
        <v>486</v>
      </c>
      <c r="D51" s="42" t="s">
        <v>487</v>
      </c>
      <c r="E51" s="52" t="s">
        <v>15</v>
      </c>
      <c r="F51" s="52" t="s">
        <v>24</v>
      </c>
      <c r="G51" s="52" t="s">
        <v>333</v>
      </c>
      <c r="H51" s="52" t="s">
        <v>363</v>
      </c>
      <c r="I51" s="42" t="s">
        <v>364</v>
      </c>
      <c r="J51" s="42" t="s">
        <v>488</v>
      </c>
      <c r="K51" s="42" t="s">
        <v>489</v>
      </c>
      <c r="L51" s="42" t="s">
        <v>357</v>
      </c>
      <c r="M51" s="42" t="s">
        <v>348</v>
      </c>
      <c r="N51" s="42" t="s">
        <v>345</v>
      </c>
      <c r="O51" s="43" t="s">
        <v>393</v>
      </c>
      <c r="P51" s="42" t="s">
        <v>386</v>
      </c>
    </row>
    <row r="52" spans="1:16">
      <c r="A52" s="42" t="s">
        <v>490</v>
      </c>
      <c r="B52" s="42" t="s">
        <v>387</v>
      </c>
      <c r="C52" s="42" t="s">
        <v>491</v>
      </c>
      <c r="D52" s="42" t="s">
        <v>492</v>
      </c>
      <c r="E52" s="52" t="s">
        <v>311</v>
      </c>
      <c r="F52" s="52" t="s">
        <v>24</v>
      </c>
      <c r="G52" s="52" t="s">
        <v>333</v>
      </c>
      <c r="H52" s="52" t="s">
        <v>311</v>
      </c>
      <c r="I52" s="42" t="s">
        <v>305</v>
      </c>
      <c r="J52" s="42" t="s">
        <v>488</v>
      </c>
      <c r="K52" s="42" t="s">
        <v>489</v>
      </c>
      <c r="L52" s="42" t="s">
        <v>357</v>
      </c>
      <c r="M52" s="42" t="s">
        <v>348</v>
      </c>
      <c r="N52" s="42" t="s">
        <v>412</v>
      </c>
      <c r="O52" s="43" t="s">
        <v>393</v>
      </c>
      <c r="P52" s="42" t="s">
        <v>386</v>
      </c>
    </row>
    <row r="53" spans="1:16">
      <c r="A53" s="42" t="s">
        <v>493</v>
      </c>
      <c r="B53" s="42" t="s">
        <v>387</v>
      </c>
      <c r="C53" s="42" t="s">
        <v>494</v>
      </c>
      <c r="D53" s="42" t="s">
        <v>495</v>
      </c>
      <c r="E53" s="52" t="s">
        <v>321</v>
      </c>
      <c r="F53" s="52" t="s">
        <v>24</v>
      </c>
      <c r="G53" s="52" t="s">
        <v>333</v>
      </c>
      <c r="H53" s="52" t="s">
        <v>363</v>
      </c>
      <c r="I53" s="42" t="s">
        <v>364</v>
      </c>
      <c r="J53" s="42" t="s">
        <v>488</v>
      </c>
      <c r="K53" s="42" t="s">
        <v>489</v>
      </c>
      <c r="L53" s="42" t="s">
        <v>357</v>
      </c>
      <c r="M53" s="42" t="s">
        <v>348</v>
      </c>
      <c r="N53" s="42" t="s">
        <v>345</v>
      </c>
      <c r="O53" s="43" t="s">
        <v>393</v>
      </c>
      <c r="P53" s="42" t="s">
        <v>386</v>
      </c>
    </row>
    <row r="54" spans="1:16">
      <c r="A54" s="42" t="s">
        <v>496</v>
      </c>
      <c r="B54" s="42" t="s">
        <v>387</v>
      </c>
      <c r="C54" s="42" t="s">
        <v>497</v>
      </c>
      <c r="D54" s="42" t="s">
        <v>498</v>
      </c>
      <c r="E54" s="52" t="s">
        <v>15</v>
      </c>
      <c r="F54" s="52" t="s">
        <v>24</v>
      </c>
      <c r="G54" s="52" t="s">
        <v>333</v>
      </c>
      <c r="H54" s="52" t="s">
        <v>363</v>
      </c>
      <c r="I54" s="42" t="s">
        <v>364</v>
      </c>
      <c r="J54" s="42" t="s">
        <v>408</v>
      </c>
      <c r="K54" s="42" t="s">
        <v>409</v>
      </c>
      <c r="L54" s="42" t="s">
        <v>357</v>
      </c>
      <c r="M54" s="42" t="s">
        <v>348</v>
      </c>
      <c r="N54" s="42" t="s">
        <v>345</v>
      </c>
      <c r="O54" s="43" t="s">
        <v>393</v>
      </c>
      <c r="P54" s="42" t="s">
        <v>386</v>
      </c>
    </row>
    <row r="55" spans="1:16">
      <c r="A55" s="42" t="s">
        <v>499</v>
      </c>
      <c r="B55" s="42" t="s">
        <v>387</v>
      </c>
      <c r="C55" s="42" t="s">
        <v>500</v>
      </c>
      <c r="D55" s="42" t="s">
        <v>501</v>
      </c>
      <c r="E55" s="52" t="s">
        <v>311</v>
      </c>
      <c r="F55" s="52" t="s">
        <v>24</v>
      </c>
      <c r="G55" s="52" t="s">
        <v>333</v>
      </c>
      <c r="H55" s="52" t="s">
        <v>311</v>
      </c>
      <c r="I55" s="42" t="s">
        <v>305</v>
      </c>
      <c r="J55" s="42" t="s">
        <v>408</v>
      </c>
      <c r="K55" s="42" t="s">
        <v>409</v>
      </c>
      <c r="L55" s="42" t="s">
        <v>357</v>
      </c>
      <c r="M55" s="42" t="s">
        <v>348</v>
      </c>
      <c r="N55" s="42" t="s">
        <v>412</v>
      </c>
      <c r="O55" s="43" t="s">
        <v>393</v>
      </c>
      <c r="P55" s="42" t="s">
        <v>386</v>
      </c>
    </row>
    <row r="56" spans="1:16">
      <c r="A56" s="42" t="s">
        <v>502</v>
      </c>
      <c r="B56" s="42" t="s">
        <v>387</v>
      </c>
      <c r="C56" s="42" t="s">
        <v>503</v>
      </c>
      <c r="D56" s="42" t="s">
        <v>504</v>
      </c>
      <c r="E56" s="52" t="s">
        <v>321</v>
      </c>
      <c r="F56" s="52" t="s">
        <v>24</v>
      </c>
      <c r="G56" s="52" t="s">
        <v>333</v>
      </c>
      <c r="H56" s="52" t="s">
        <v>363</v>
      </c>
      <c r="I56" s="42" t="s">
        <v>364</v>
      </c>
      <c r="J56" s="42" t="s">
        <v>408</v>
      </c>
      <c r="K56" s="42" t="s">
        <v>409</v>
      </c>
      <c r="L56" s="42" t="s">
        <v>357</v>
      </c>
      <c r="M56" s="42" t="s">
        <v>348</v>
      </c>
      <c r="N56" s="42" t="s">
        <v>345</v>
      </c>
      <c r="O56" s="43" t="s">
        <v>393</v>
      </c>
      <c r="P56" s="42" t="s">
        <v>386</v>
      </c>
    </row>
    <row r="57" spans="1:16">
      <c r="A57" s="42" t="s">
        <v>505</v>
      </c>
      <c r="B57" s="42" t="s">
        <v>387</v>
      </c>
      <c r="C57" s="42" t="s">
        <v>506</v>
      </c>
      <c r="D57" s="42" t="s">
        <v>507</v>
      </c>
      <c r="E57" s="52" t="s">
        <v>311</v>
      </c>
      <c r="F57" s="52" t="s">
        <v>29</v>
      </c>
      <c r="G57" s="52" t="s">
        <v>333</v>
      </c>
      <c r="H57" s="52" t="s">
        <v>311</v>
      </c>
      <c r="I57" s="42" t="s">
        <v>305</v>
      </c>
      <c r="J57" s="42" t="s">
        <v>508</v>
      </c>
      <c r="K57" s="42" t="s">
        <v>509</v>
      </c>
      <c r="L57" s="42" t="s">
        <v>357</v>
      </c>
      <c r="M57" s="42" t="s">
        <v>358</v>
      </c>
      <c r="N57" s="42" t="s">
        <v>316</v>
      </c>
      <c r="O57" s="43" t="s">
        <v>393</v>
      </c>
      <c r="P57" s="42" t="s">
        <v>386</v>
      </c>
    </row>
    <row r="58" spans="1:16">
      <c r="A58" s="42" t="s">
        <v>510</v>
      </c>
      <c r="B58" s="42" t="s">
        <v>387</v>
      </c>
      <c r="C58" s="42" t="s">
        <v>511</v>
      </c>
      <c r="D58" s="42" t="s">
        <v>512</v>
      </c>
      <c r="E58" s="52" t="s">
        <v>15</v>
      </c>
      <c r="F58" s="52" t="s">
        <v>20</v>
      </c>
      <c r="G58" s="52" t="s">
        <v>310</v>
      </c>
      <c r="H58" s="52" t="s">
        <v>311</v>
      </c>
      <c r="I58" s="42" t="s">
        <v>305</v>
      </c>
      <c r="J58" s="42" t="s">
        <v>513</v>
      </c>
      <c r="K58" s="42" t="s">
        <v>514</v>
      </c>
      <c r="L58" s="42" t="s">
        <v>515</v>
      </c>
      <c r="M58" s="42" t="s">
        <v>348</v>
      </c>
      <c r="N58" s="42" t="s">
        <v>316</v>
      </c>
      <c r="O58" s="43" t="s">
        <v>393</v>
      </c>
      <c r="P58" s="42" t="s">
        <v>386</v>
      </c>
    </row>
    <row r="59" spans="1:16">
      <c r="A59" s="42" t="s">
        <v>516</v>
      </c>
      <c r="B59" s="42" t="s">
        <v>387</v>
      </c>
      <c r="C59" s="42" t="s">
        <v>517</v>
      </c>
      <c r="D59" s="42" t="s">
        <v>518</v>
      </c>
      <c r="E59" s="52" t="s">
        <v>321</v>
      </c>
      <c r="F59" s="52" t="s">
        <v>20</v>
      </c>
      <c r="G59" s="52" t="s">
        <v>310</v>
      </c>
      <c r="H59" s="52" t="s">
        <v>363</v>
      </c>
      <c r="I59" s="42" t="s">
        <v>364</v>
      </c>
      <c r="J59" s="42" t="s">
        <v>513</v>
      </c>
      <c r="K59" s="42" t="s">
        <v>514</v>
      </c>
      <c r="L59" s="42" t="s">
        <v>515</v>
      </c>
      <c r="M59" s="42" t="s">
        <v>348</v>
      </c>
      <c r="N59" s="42" t="s">
        <v>345</v>
      </c>
      <c r="O59" s="43" t="s">
        <v>393</v>
      </c>
      <c r="P59" s="42" t="s">
        <v>386</v>
      </c>
    </row>
    <row r="60" spans="1:16">
      <c r="A60" s="42" t="s">
        <v>519</v>
      </c>
      <c r="B60" s="42" t="s">
        <v>387</v>
      </c>
      <c r="C60" s="42" t="s">
        <v>520</v>
      </c>
      <c r="D60" s="42" t="s">
        <v>521</v>
      </c>
      <c r="E60" s="52" t="s">
        <v>15</v>
      </c>
      <c r="F60" s="52" t="s">
        <v>20</v>
      </c>
      <c r="G60" s="52" t="s">
        <v>310</v>
      </c>
      <c r="H60" s="52" t="s">
        <v>311</v>
      </c>
      <c r="I60" s="42" t="s">
        <v>305</v>
      </c>
      <c r="J60" s="42" t="s">
        <v>522</v>
      </c>
      <c r="K60" s="42" t="s">
        <v>523</v>
      </c>
      <c r="L60" s="42" t="s">
        <v>515</v>
      </c>
      <c r="M60" s="42" t="s">
        <v>348</v>
      </c>
      <c r="N60" s="42" t="s">
        <v>316</v>
      </c>
      <c r="O60" s="43" t="s">
        <v>393</v>
      </c>
      <c r="P60" s="42" t="s">
        <v>386</v>
      </c>
    </row>
    <row r="61" spans="1:16">
      <c r="A61" s="42" t="s">
        <v>524</v>
      </c>
      <c r="B61" s="42" t="s">
        <v>387</v>
      </c>
      <c r="C61" s="42" t="s">
        <v>525</v>
      </c>
      <c r="D61" s="42" t="s">
        <v>526</v>
      </c>
      <c r="E61" s="52" t="s">
        <v>321</v>
      </c>
      <c r="F61" s="52" t="s">
        <v>20</v>
      </c>
      <c r="G61" s="52" t="s">
        <v>310</v>
      </c>
      <c r="H61" s="52" t="s">
        <v>363</v>
      </c>
      <c r="I61" s="42" t="s">
        <v>364</v>
      </c>
      <c r="J61" s="42" t="s">
        <v>522</v>
      </c>
      <c r="K61" s="42" t="s">
        <v>523</v>
      </c>
      <c r="L61" s="42" t="s">
        <v>515</v>
      </c>
      <c r="M61" s="42" t="s">
        <v>348</v>
      </c>
      <c r="N61" s="42" t="s">
        <v>345</v>
      </c>
      <c r="O61" s="43" t="s">
        <v>393</v>
      </c>
      <c r="P61" s="42" t="s">
        <v>386</v>
      </c>
    </row>
    <row r="62" spans="1:16">
      <c r="A62" s="42" t="s">
        <v>527</v>
      </c>
      <c r="B62" s="42" t="s">
        <v>387</v>
      </c>
      <c r="C62" s="42" t="s">
        <v>528</v>
      </c>
      <c r="D62" s="42" t="s">
        <v>529</v>
      </c>
      <c r="E62" s="52" t="s">
        <v>311</v>
      </c>
      <c r="F62" s="52" t="s">
        <v>20</v>
      </c>
      <c r="G62" s="52" t="s">
        <v>333</v>
      </c>
      <c r="H62" s="52" t="s">
        <v>311</v>
      </c>
      <c r="I62" s="42" t="s">
        <v>305</v>
      </c>
      <c r="J62" s="42" t="s">
        <v>530</v>
      </c>
      <c r="K62" s="42" t="s">
        <v>531</v>
      </c>
      <c r="L62" s="42" t="s">
        <v>515</v>
      </c>
      <c r="M62" s="42" t="s">
        <v>348</v>
      </c>
      <c r="N62" s="42" t="s">
        <v>532</v>
      </c>
      <c r="O62" s="43" t="s">
        <v>393</v>
      </c>
      <c r="P62" s="42" t="s">
        <v>386</v>
      </c>
    </row>
    <row r="63" spans="1:16">
      <c r="A63" s="42" t="s">
        <v>533</v>
      </c>
      <c r="B63" s="42" t="s">
        <v>387</v>
      </c>
      <c r="C63" s="42" t="s">
        <v>534</v>
      </c>
      <c r="D63" s="42" t="s">
        <v>535</v>
      </c>
      <c r="E63" s="52" t="s">
        <v>15</v>
      </c>
      <c r="F63" s="52" t="s">
        <v>20</v>
      </c>
      <c r="G63" s="52" t="s">
        <v>333</v>
      </c>
      <c r="H63" s="52" t="s">
        <v>363</v>
      </c>
      <c r="I63" s="42" t="s">
        <v>364</v>
      </c>
      <c r="J63" s="42" t="s">
        <v>530</v>
      </c>
      <c r="K63" s="42" t="s">
        <v>531</v>
      </c>
      <c r="L63" s="42" t="s">
        <v>515</v>
      </c>
      <c r="M63" s="42" t="s">
        <v>348</v>
      </c>
      <c r="N63" s="42" t="s">
        <v>345</v>
      </c>
      <c r="O63" s="43" t="s">
        <v>393</v>
      </c>
      <c r="P63" s="42" t="s">
        <v>386</v>
      </c>
    </row>
    <row r="64" spans="1:16">
      <c r="A64" s="42" t="s">
        <v>536</v>
      </c>
      <c r="B64" s="42" t="s">
        <v>387</v>
      </c>
      <c r="C64" s="42" t="s">
        <v>537</v>
      </c>
      <c r="D64" s="42" t="s">
        <v>538</v>
      </c>
      <c r="E64" s="52" t="s">
        <v>15</v>
      </c>
      <c r="F64" s="52" t="s">
        <v>20</v>
      </c>
      <c r="G64" s="52" t="s">
        <v>310</v>
      </c>
      <c r="H64" s="52" t="s">
        <v>311</v>
      </c>
      <c r="I64" s="42" t="s">
        <v>305</v>
      </c>
      <c r="J64" s="42" t="s">
        <v>539</v>
      </c>
      <c r="K64" s="42" t="s">
        <v>348</v>
      </c>
      <c r="L64" s="42" t="s">
        <v>515</v>
      </c>
      <c r="M64" s="42" t="s">
        <v>348</v>
      </c>
      <c r="N64" s="42" t="s">
        <v>316</v>
      </c>
      <c r="O64" s="43" t="s">
        <v>393</v>
      </c>
      <c r="P64" s="42" t="s">
        <v>386</v>
      </c>
    </row>
    <row r="65" spans="1:16">
      <c r="A65" s="42" t="s">
        <v>540</v>
      </c>
      <c r="B65" s="42" t="s">
        <v>387</v>
      </c>
      <c r="C65" s="42" t="s">
        <v>541</v>
      </c>
      <c r="D65" s="42" t="s">
        <v>542</v>
      </c>
      <c r="E65" s="52" t="s">
        <v>321</v>
      </c>
      <c r="F65" s="52" t="s">
        <v>20</v>
      </c>
      <c r="G65" s="52" t="s">
        <v>310</v>
      </c>
      <c r="H65" s="52" t="s">
        <v>363</v>
      </c>
      <c r="I65" s="42" t="s">
        <v>364</v>
      </c>
      <c r="J65" s="42" t="s">
        <v>539</v>
      </c>
      <c r="K65" s="42" t="s">
        <v>348</v>
      </c>
      <c r="L65" s="42" t="s">
        <v>515</v>
      </c>
      <c r="M65" s="42" t="s">
        <v>348</v>
      </c>
      <c r="N65" s="42" t="s">
        <v>345</v>
      </c>
      <c r="O65" s="43" t="s">
        <v>393</v>
      </c>
      <c r="P65" s="42" t="s">
        <v>386</v>
      </c>
    </row>
    <row r="66" spans="1:16">
      <c r="A66" s="42" t="s">
        <v>543</v>
      </c>
      <c r="B66" s="42" t="s">
        <v>387</v>
      </c>
      <c r="C66" s="42" t="s">
        <v>544</v>
      </c>
      <c r="D66" s="42" t="s">
        <v>545</v>
      </c>
      <c r="E66" s="52" t="s">
        <v>311</v>
      </c>
      <c r="F66" s="52" t="s">
        <v>20</v>
      </c>
      <c r="G66" s="52" t="s">
        <v>333</v>
      </c>
      <c r="H66" s="52" t="s">
        <v>311</v>
      </c>
      <c r="I66" s="42" t="s">
        <v>305</v>
      </c>
      <c r="J66" s="42" t="s">
        <v>546</v>
      </c>
      <c r="K66" s="42" t="s">
        <v>531</v>
      </c>
      <c r="L66" s="42" t="s">
        <v>515</v>
      </c>
      <c r="M66" s="42" t="s">
        <v>348</v>
      </c>
      <c r="N66" s="42" t="s">
        <v>532</v>
      </c>
      <c r="O66" s="43" t="s">
        <v>393</v>
      </c>
      <c r="P66" s="42" t="s">
        <v>386</v>
      </c>
    </row>
    <row r="67" spans="1:16">
      <c r="A67" s="42" t="s">
        <v>532</v>
      </c>
      <c r="B67" s="42" t="s">
        <v>387</v>
      </c>
      <c r="C67" s="42" t="s">
        <v>547</v>
      </c>
      <c r="D67" s="42" t="s">
        <v>548</v>
      </c>
      <c r="E67" s="52" t="s">
        <v>15</v>
      </c>
      <c r="F67" s="52" t="s">
        <v>20</v>
      </c>
      <c r="G67" s="52" t="s">
        <v>333</v>
      </c>
      <c r="H67" s="52" t="s">
        <v>363</v>
      </c>
      <c r="I67" s="42" t="s">
        <v>364</v>
      </c>
      <c r="J67" s="42" t="s">
        <v>546</v>
      </c>
      <c r="K67" s="42" t="s">
        <v>531</v>
      </c>
      <c r="L67" s="42" t="s">
        <v>515</v>
      </c>
      <c r="M67" s="42" t="s">
        <v>348</v>
      </c>
      <c r="N67" s="42" t="s">
        <v>345</v>
      </c>
      <c r="O67" s="43" t="s">
        <v>393</v>
      </c>
      <c r="P67" s="42" t="s">
        <v>386</v>
      </c>
    </row>
    <row r="68" spans="1:16">
      <c r="A68" s="42" t="s">
        <v>549</v>
      </c>
      <c r="B68" s="42" t="s">
        <v>387</v>
      </c>
      <c r="C68" s="42" t="s">
        <v>550</v>
      </c>
      <c r="D68" s="42" t="s">
        <v>551</v>
      </c>
      <c r="E68" s="52" t="s">
        <v>311</v>
      </c>
      <c r="F68" s="52" t="s">
        <v>20</v>
      </c>
      <c r="G68" s="52" t="s">
        <v>333</v>
      </c>
      <c r="H68" s="52" t="s">
        <v>311</v>
      </c>
      <c r="I68" s="42" t="s">
        <v>305</v>
      </c>
      <c r="J68" s="42" t="s">
        <v>552</v>
      </c>
      <c r="K68" s="42" t="s">
        <v>348</v>
      </c>
      <c r="L68" s="42" t="s">
        <v>515</v>
      </c>
      <c r="M68" s="42" t="s">
        <v>348</v>
      </c>
      <c r="N68" s="42" t="s">
        <v>532</v>
      </c>
      <c r="O68" s="43" t="s">
        <v>393</v>
      </c>
      <c r="P68" s="42" t="s">
        <v>386</v>
      </c>
    </row>
    <row r="69" spans="1:16">
      <c r="A69" s="42" t="s">
        <v>553</v>
      </c>
      <c r="B69" s="42" t="s">
        <v>387</v>
      </c>
      <c r="C69" s="42" t="s">
        <v>554</v>
      </c>
      <c r="D69" s="42" t="s">
        <v>555</v>
      </c>
      <c r="E69" s="52" t="s">
        <v>15</v>
      </c>
      <c r="F69" s="52" t="s">
        <v>20</v>
      </c>
      <c r="G69" s="52" t="s">
        <v>333</v>
      </c>
      <c r="H69" s="52" t="s">
        <v>363</v>
      </c>
      <c r="I69" s="42" t="s">
        <v>364</v>
      </c>
      <c r="J69" s="42" t="s">
        <v>552</v>
      </c>
      <c r="K69" s="42" t="s">
        <v>348</v>
      </c>
      <c r="L69" s="42" t="s">
        <v>515</v>
      </c>
      <c r="M69" s="42" t="s">
        <v>348</v>
      </c>
      <c r="N69" s="42" t="s">
        <v>345</v>
      </c>
      <c r="O69" s="43" t="s">
        <v>393</v>
      </c>
      <c r="P69" s="42" t="s">
        <v>386</v>
      </c>
    </row>
    <row r="70" spans="1:16">
      <c r="A70" s="42" t="s">
        <v>556</v>
      </c>
      <c r="B70" s="42" t="s">
        <v>387</v>
      </c>
      <c r="C70" s="42" t="s">
        <v>557</v>
      </c>
      <c r="D70" s="42" t="s">
        <v>558</v>
      </c>
      <c r="E70" s="52" t="s">
        <v>311</v>
      </c>
      <c r="F70" s="52" t="s">
        <v>20</v>
      </c>
      <c r="G70" s="52" t="s">
        <v>333</v>
      </c>
      <c r="H70" s="52" t="s">
        <v>311</v>
      </c>
      <c r="I70" s="42" t="s">
        <v>305</v>
      </c>
      <c r="J70" s="42" t="s">
        <v>552</v>
      </c>
      <c r="K70" s="42" t="s">
        <v>348</v>
      </c>
      <c r="L70" s="42" t="s">
        <v>515</v>
      </c>
      <c r="M70" s="42" t="s">
        <v>348</v>
      </c>
      <c r="N70" s="42" t="s">
        <v>532</v>
      </c>
      <c r="O70" s="43" t="s">
        <v>393</v>
      </c>
      <c r="P70" s="42" t="s">
        <v>386</v>
      </c>
    </row>
    <row r="71" spans="1:16">
      <c r="A71" s="42" t="s">
        <v>559</v>
      </c>
      <c r="B71" s="42" t="s">
        <v>387</v>
      </c>
      <c r="C71" s="42" t="s">
        <v>560</v>
      </c>
      <c r="D71" s="42" t="s">
        <v>561</v>
      </c>
      <c r="E71" s="52" t="s">
        <v>15</v>
      </c>
      <c r="F71" s="52" t="s">
        <v>20</v>
      </c>
      <c r="G71" s="52" t="s">
        <v>333</v>
      </c>
      <c r="H71" s="52" t="s">
        <v>363</v>
      </c>
      <c r="I71" s="42" t="s">
        <v>364</v>
      </c>
      <c r="J71" s="42" t="s">
        <v>552</v>
      </c>
      <c r="K71" s="42" t="s">
        <v>348</v>
      </c>
      <c r="L71" s="42" t="s">
        <v>515</v>
      </c>
      <c r="M71" s="42" t="s">
        <v>348</v>
      </c>
      <c r="N71" s="42" t="s">
        <v>345</v>
      </c>
      <c r="O71" s="43" t="s">
        <v>393</v>
      </c>
      <c r="P71" s="42" t="s">
        <v>386</v>
      </c>
    </row>
    <row r="72" spans="1:16">
      <c r="A72" s="42" t="s">
        <v>562</v>
      </c>
      <c r="B72" s="42" t="s">
        <v>387</v>
      </c>
      <c r="C72" s="42" t="s">
        <v>563</v>
      </c>
      <c r="D72" s="42" t="s">
        <v>564</v>
      </c>
      <c r="E72" s="52" t="s">
        <v>311</v>
      </c>
      <c r="F72" s="52" t="s">
        <v>20</v>
      </c>
      <c r="G72" s="52" t="s">
        <v>333</v>
      </c>
      <c r="H72" s="52" t="s">
        <v>311</v>
      </c>
      <c r="I72" s="42" t="s">
        <v>305</v>
      </c>
      <c r="J72" s="42" t="s">
        <v>565</v>
      </c>
      <c r="K72" s="42" t="s">
        <v>514</v>
      </c>
      <c r="L72" s="42" t="s">
        <v>515</v>
      </c>
      <c r="M72" s="42" t="s">
        <v>348</v>
      </c>
      <c r="N72" s="42" t="s">
        <v>532</v>
      </c>
      <c r="O72" s="43" t="s">
        <v>393</v>
      </c>
      <c r="P72" s="42" t="s">
        <v>386</v>
      </c>
    </row>
    <row r="73" spans="1:16">
      <c r="A73" s="42" t="s">
        <v>566</v>
      </c>
      <c r="B73" s="42" t="s">
        <v>387</v>
      </c>
      <c r="C73" s="42" t="s">
        <v>567</v>
      </c>
      <c r="D73" s="42" t="s">
        <v>568</v>
      </c>
      <c r="E73" s="52" t="s">
        <v>15</v>
      </c>
      <c r="F73" s="52" t="s">
        <v>20</v>
      </c>
      <c r="G73" s="52" t="s">
        <v>333</v>
      </c>
      <c r="H73" s="52" t="s">
        <v>363</v>
      </c>
      <c r="I73" s="42" t="s">
        <v>364</v>
      </c>
      <c r="J73" s="42" t="s">
        <v>565</v>
      </c>
      <c r="K73" s="42" t="s">
        <v>514</v>
      </c>
      <c r="L73" s="42" t="s">
        <v>515</v>
      </c>
      <c r="M73" s="42" t="s">
        <v>348</v>
      </c>
      <c r="N73" s="42" t="s">
        <v>345</v>
      </c>
      <c r="O73" s="43" t="s">
        <v>393</v>
      </c>
      <c r="P73" s="42" t="s">
        <v>386</v>
      </c>
    </row>
    <row r="74" spans="1:16">
      <c r="A74" s="42" t="s">
        <v>569</v>
      </c>
      <c r="B74" s="42" t="s">
        <v>387</v>
      </c>
      <c r="C74" s="42" t="s">
        <v>570</v>
      </c>
      <c r="D74" s="42" t="s">
        <v>571</v>
      </c>
      <c r="E74" s="52" t="s">
        <v>15</v>
      </c>
      <c r="F74" s="52" t="s">
        <v>20</v>
      </c>
      <c r="G74" s="52" t="s">
        <v>310</v>
      </c>
      <c r="H74" s="52" t="s">
        <v>311</v>
      </c>
      <c r="I74" s="42" t="s">
        <v>305</v>
      </c>
      <c r="J74" s="42" t="s">
        <v>572</v>
      </c>
      <c r="K74" s="42" t="s">
        <v>514</v>
      </c>
      <c r="L74" s="42" t="s">
        <v>515</v>
      </c>
      <c r="M74" s="42" t="s">
        <v>348</v>
      </c>
      <c r="N74" s="42" t="s">
        <v>316</v>
      </c>
      <c r="O74" s="43" t="s">
        <v>393</v>
      </c>
      <c r="P74" s="42" t="s">
        <v>386</v>
      </c>
    </row>
    <row r="75" spans="1:16">
      <c r="A75" s="42" t="s">
        <v>573</v>
      </c>
      <c r="B75" s="42" t="s">
        <v>387</v>
      </c>
      <c r="C75" s="42" t="s">
        <v>574</v>
      </c>
      <c r="D75" s="42" t="s">
        <v>575</v>
      </c>
      <c r="E75" s="52" t="s">
        <v>321</v>
      </c>
      <c r="F75" s="52" t="s">
        <v>20</v>
      </c>
      <c r="G75" s="52" t="s">
        <v>310</v>
      </c>
      <c r="H75" s="52" t="s">
        <v>363</v>
      </c>
      <c r="I75" s="42" t="s">
        <v>364</v>
      </c>
      <c r="J75" s="42" t="s">
        <v>572</v>
      </c>
      <c r="K75" s="42" t="s">
        <v>514</v>
      </c>
      <c r="L75" s="42" t="s">
        <v>515</v>
      </c>
      <c r="M75" s="42" t="s">
        <v>348</v>
      </c>
      <c r="N75" s="42" t="s">
        <v>345</v>
      </c>
      <c r="O75" s="43" t="s">
        <v>393</v>
      </c>
      <c r="P75" s="42" t="s">
        <v>386</v>
      </c>
    </row>
    <row r="76" spans="1:16">
      <c r="A76" s="42" t="s">
        <v>576</v>
      </c>
      <c r="B76" s="42" t="s">
        <v>387</v>
      </c>
      <c r="C76" s="42" t="s">
        <v>577</v>
      </c>
      <c r="D76" s="42" t="s">
        <v>578</v>
      </c>
      <c r="E76" s="52" t="s">
        <v>15</v>
      </c>
      <c r="F76" s="52" t="s">
        <v>20</v>
      </c>
      <c r="G76" s="52" t="s">
        <v>310</v>
      </c>
      <c r="H76" s="52" t="s">
        <v>311</v>
      </c>
      <c r="I76" s="42" t="s">
        <v>305</v>
      </c>
      <c r="J76" s="42" t="s">
        <v>579</v>
      </c>
      <c r="K76" s="42" t="s">
        <v>514</v>
      </c>
      <c r="L76" s="42" t="s">
        <v>515</v>
      </c>
      <c r="M76" s="42" t="s">
        <v>348</v>
      </c>
      <c r="N76" s="42" t="s">
        <v>316</v>
      </c>
      <c r="O76" s="43" t="s">
        <v>393</v>
      </c>
      <c r="P76" s="42" t="s">
        <v>386</v>
      </c>
    </row>
    <row r="77" spans="1:16">
      <c r="A77" s="42" t="s">
        <v>580</v>
      </c>
      <c r="B77" s="42" t="s">
        <v>387</v>
      </c>
      <c r="C77" s="42" t="s">
        <v>581</v>
      </c>
      <c r="D77" s="42" t="s">
        <v>582</v>
      </c>
      <c r="E77" s="52" t="s">
        <v>321</v>
      </c>
      <c r="F77" s="52" t="s">
        <v>20</v>
      </c>
      <c r="G77" s="52" t="s">
        <v>310</v>
      </c>
      <c r="H77" s="52" t="s">
        <v>363</v>
      </c>
      <c r="I77" s="42" t="s">
        <v>364</v>
      </c>
      <c r="J77" s="42" t="s">
        <v>579</v>
      </c>
      <c r="K77" s="42" t="s">
        <v>514</v>
      </c>
      <c r="L77" s="42" t="s">
        <v>515</v>
      </c>
      <c r="M77" s="42" t="s">
        <v>348</v>
      </c>
      <c r="N77" s="42" t="s">
        <v>345</v>
      </c>
      <c r="O77" s="43" t="s">
        <v>393</v>
      </c>
      <c r="P77" s="42" t="s">
        <v>386</v>
      </c>
    </row>
    <row r="78" spans="1:16">
      <c r="A78" s="42" t="s">
        <v>583</v>
      </c>
      <c r="B78" s="42" t="s">
        <v>387</v>
      </c>
      <c r="C78" s="42" t="s">
        <v>584</v>
      </c>
      <c r="D78" s="42" t="s">
        <v>585</v>
      </c>
      <c r="E78" s="52" t="s">
        <v>15</v>
      </c>
      <c r="F78" s="52" t="s">
        <v>20</v>
      </c>
      <c r="G78" s="52" t="s">
        <v>310</v>
      </c>
      <c r="H78" s="52" t="s">
        <v>311</v>
      </c>
      <c r="I78" s="42" t="s">
        <v>305</v>
      </c>
      <c r="J78" s="42" t="s">
        <v>586</v>
      </c>
      <c r="K78" s="42" t="s">
        <v>514</v>
      </c>
      <c r="L78" s="42" t="s">
        <v>515</v>
      </c>
      <c r="M78" s="42" t="s">
        <v>348</v>
      </c>
      <c r="N78" s="42" t="s">
        <v>316</v>
      </c>
      <c r="O78" s="43" t="s">
        <v>393</v>
      </c>
      <c r="P78" s="42" t="s">
        <v>386</v>
      </c>
    </row>
    <row r="79" spans="1:16">
      <c r="A79" s="42" t="s">
        <v>587</v>
      </c>
      <c r="B79" s="42" t="s">
        <v>387</v>
      </c>
      <c r="C79" s="42" t="s">
        <v>588</v>
      </c>
      <c r="D79" s="42" t="s">
        <v>589</v>
      </c>
      <c r="E79" s="52" t="s">
        <v>321</v>
      </c>
      <c r="F79" s="52" t="s">
        <v>20</v>
      </c>
      <c r="G79" s="52" t="s">
        <v>310</v>
      </c>
      <c r="H79" s="52" t="s">
        <v>363</v>
      </c>
      <c r="I79" s="42" t="s">
        <v>364</v>
      </c>
      <c r="J79" s="42" t="s">
        <v>586</v>
      </c>
      <c r="K79" s="42" t="s">
        <v>514</v>
      </c>
      <c r="L79" s="42" t="s">
        <v>515</v>
      </c>
      <c r="M79" s="42" t="s">
        <v>348</v>
      </c>
      <c r="N79" s="42" t="s">
        <v>345</v>
      </c>
      <c r="O79" s="43" t="s">
        <v>393</v>
      </c>
      <c r="P79" s="42" t="s">
        <v>386</v>
      </c>
    </row>
    <row r="80" spans="1:16">
      <c r="A80" s="42" t="s">
        <v>590</v>
      </c>
      <c r="B80" s="42" t="s">
        <v>387</v>
      </c>
      <c r="C80" s="42" t="s">
        <v>591</v>
      </c>
      <c r="D80" s="42" t="s">
        <v>592</v>
      </c>
      <c r="E80" s="52" t="s">
        <v>15</v>
      </c>
      <c r="F80" s="52" t="s">
        <v>36</v>
      </c>
      <c r="G80" s="52" t="s">
        <v>310</v>
      </c>
      <c r="H80" s="52" t="s">
        <v>353</v>
      </c>
      <c r="I80" s="42" t="s">
        <v>354</v>
      </c>
      <c r="J80" s="42" t="s">
        <v>593</v>
      </c>
      <c r="K80" s="42" t="s">
        <v>594</v>
      </c>
      <c r="L80" s="42" t="s">
        <v>384</v>
      </c>
      <c r="M80" s="42" t="s">
        <v>358</v>
      </c>
      <c r="N80" s="42" t="s">
        <v>359</v>
      </c>
      <c r="O80" s="43" t="s">
        <v>393</v>
      </c>
      <c r="P80" s="42" t="s">
        <v>317</v>
      </c>
    </row>
    <row r="81" spans="1:16">
      <c r="A81" s="42" t="s">
        <v>595</v>
      </c>
      <c r="B81" s="42" t="s">
        <v>387</v>
      </c>
      <c r="C81" s="42" t="s">
        <v>596</v>
      </c>
      <c r="D81" s="42" t="s">
        <v>597</v>
      </c>
      <c r="E81" s="52" t="s">
        <v>311</v>
      </c>
      <c r="F81" s="52" t="s">
        <v>36</v>
      </c>
      <c r="G81" s="52" t="s">
        <v>333</v>
      </c>
      <c r="H81" s="52" t="s">
        <v>353</v>
      </c>
      <c r="I81" s="42" t="s">
        <v>354</v>
      </c>
      <c r="J81" s="42" t="s">
        <v>593</v>
      </c>
      <c r="K81" s="42" t="s">
        <v>594</v>
      </c>
      <c r="L81" s="42" t="s">
        <v>384</v>
      </c>
      <c r="M81" s="42" t="s">
        <v>358</v>
      </c>
      <c r="N81" s="42" t="s">
        <v>359</v>
      </c>
      <c r="O81" s="43" t="s">
        <v>393</v>
      </c>
      <c r="P81" s="42" t="s">
        <v>317</v>
      </c>
    </row>
    <row r="82" spans="1:16">
      <c r="A82" s="42" t="s">
        <v>598</v>
      </c>
      <c r="B82" s="42" t="s">
        <v>387</v>
      </c>
      <c r="C82" s="42" t="s">
        <v>599</v>
      </c>
      <c r="D82" s="42" t="s">
        <v>600</v>
      </c>
      <c r="E82" s="52" t="s">
        <v>311</v>
      </c>
      <c r="F82" s="52" t="s">
        <v>16</v>
      </c>
      <c r="G82" s="52" t="s">
        <v>333</v>
      </c>
      <c r="H82" s="52" t="s">
        <v>353</v>
      </c>
      <c r="I82" s="42" t="s">
        <v>354</v>
      </c>
      <c r="J82" s="42" t="s">
        <v>601</v>
      </c>
      <c r="K82" s="42" t="s">
        <v>602</v>
      </c>
      <c r="L82" s="42" t="s">
        <v>603</v>
      </c>
      <c r="M82" s="42" t="s">
        <v>604</v>
      </c>
      <c r="N82" s="42" t="s">
        <v>359</v>
      </c>
      <c r="O82" s="43" t="s">
        <v>370</v>
      </c>
      <c r="P82" s="42" t="s">
        <v>317</v>
      </c>
    </row>
    <row r="83" spans="1:16">
      <c r="A83" s="42" t="s">
        <v>605</v>
      </c>
      <c r="B83" s="42" t="s">
        <v>387</v>
      </c>
      <c r="C83" s="42" t="s">
        <v>606</v>
      </c>
      <c r="D83" s="42" t="s">
        <v>607</v>
      </c>
      <c r="E83" s="52" t="s">
        <v>15</v>
      </c>
      <c r="F83" s="52" t="s">
        <v>16</v>
      </c>
      <c r="G83" s="52" t="s">
        <v>333</v>
      </c>
      <c r="H83" s="52" t="s">
        <v>363</v>
      </c>
      <c r="I83" s="42" t="s">
        <v>364</v>
      </c>
      <c r="J83" s="42" t="s">
        <v>601</v>
      </c>
      <c r="K83" s="42" t="s">
        <v>602</v>
      </c>
      <c r="L83" s="42" t="s">
        <v>603</v>
      </c>
      <c r="M83" s="42" t="s">
        <v>604</v>
      </c>
      <c r="N83" s="42" t="s">
        <v>345</v>
      </c>
      <c r="O83" s="43" t="s">
        <v>370</v>
      </c>
      <c r="P83" s="42" t="s">
        <v>317</v>
      </c>
    </row>
    <row r="84" spans="1:16">
      <c r="A84" s="42" t="s">
        <v>608</v>
      </c>
      <c r="B84" s="42" t="s">
        <v>387</v>
      </c>
      <c r="C84" s="42" t="s">
        <v>609</v>
      </c>
      <c r="D84" s="42" t="s">
        <v>610</v>
      </c>
      <c r="E84" s="52" t="s">
        <v>311</v>
      </c>
      <c r="F84" s="52" t="s">
        <v>41</v>
      </c>
      <c r="G84" s="52" t="s">
        <v>333</v>
      </c>
      <c r="H84" s="52" t="s">
        <v>353</v>
      </c>
      <c r="I84" s="42" t="s">
        <v>354</v>
      </c>
      <c r="J84" s="42" t="s">
        <v>611</v>
      </c>
      <c r="K84" s="42" t="s">
        <v>612</v>
      </c>
      <c r="L84" s="42" t="s">
        <v>613</v>
      </c>
      <c r="M84" s="42" t="s">
        <v>614</v>
      </c>
      <c r="N84" s="42" t="s">
        <v>359</v>
      </c>
      <c r="O84" s="43" t="s">
        <v>370</v>
      </c>
      <c r="P84" s="42" t="s">
        <v>317</v>
      </c>
    </row>
    <row r="85" spans="1:16">
      <c r="A85" s="42" t="s">
        <v>615</v>
      </c>
      <c r="B85" s="42" t="s">
        <v>387</v>
      </c>
      <c r="C85" s="42" t="s">
        <v>616</v>
      </c>
      <c r="D85" s="42" t="s">
        <v>617</v>
      </c>
      <c r="E85" s="52" t="s">
        <v>15</v>
      </c>
      <c r="F85" s="52" t="s">
        <v>41</v>
      </c>
      <c r="G85" s="52" t="s">
        <v>310</v>
      </c>
      <c r="H85" s="52" t="s">
        <v>363</v>
      </c>
      <c r="I85" s="42" t="s">
        <v>364</v>
      </c>
      <c r="J85" s="42" t="s">
        <v>611</v>
      </c>
      <c r="K85" s="42" t="s">
        <v>612</v>
      </c>
      <c r="L85" s="42" t="s">
        <v>613</v>
      </c>
      <c r="M85" s="42" t="s">
        <v>614</v>
      </c>
      <c r="N85" s="42" t="s">
        <v>345</v>
      </c>
      <c r="O85" s="43" t="s">
        <v>370</v>
      </c>
      <c r="P85" s="42" t="s">
        <v>317</v>
      </c>
    </row>
    <row r="86" spans="1:16">
      <c r="A86" s="42" t="s">
        <v>618</v>
      </c>
      <c r="B86" s="42" t="s">
        <v>387</v>
      </c>
      <c r="C86" s="42" t="s">
        <v>619</v>
      </c>
      <c r="D86" s="42" t="s">
        <v>620</v>
      </c>
      <c r="E86" s="52" t="s">
        <v>311</v>
      </c>
      <c r="F86" s="52" t="s">
        <v>36</v>
      </c>
      <c r="G86" s="52" t="s">
        <v>333</v>
      </c>
      <c r="H86" s="52" t="s">
        <v>353</v>
      </c>
      <c r="I86" s="42" t="s">
        <v>354</v>
      </c>
      <c r="J86" s="42" t="s">
        <v>621</v>
      </c>
      <c r="K86" s="42" t="s">
        <v>622</v>
      </c>
      <c r="L86" s="42" t="s">
        <v>384</v>
      </c>
      <c r="M86" s="42" t="s">
        <v>358</v>
      </c>
      <c r="N86" s="42" t="s">
        <v>359</v>
      </c>
      <c r="O86" s="43" t="s">
        <v>393</v>
      </c>
      <c r="P86" s="42" t="s">
        <v>317</v>
      </c>
    </row>
    <row r="87" spans="1:16" ht="39.6">
      <c r="A87" s="42" t="s">
        <v>623</v>
      </c>
      <c r="B87" s="42" t="s">
        <v>387</v>
      </c>
      <c r="C87" s="42" t="s">
        <v>624</v>
      </c>
      <c r="D87" s="42" t="s">
        <v>625</v>
      </c>
      <c r="E87" s="52" t="s">
        <v>311</v>
      </c>
      <c r="F87" s="52" t="s">
        <v>43</v>
      </c>
      <c r="G87" s="52" t="s">
        <v>333</v>
      </c>
      <c r="H87" s="52" t="s">
        <v>311</v>
      </c>
      <c r="I87" s="42" t="s">
        <v>305</v>
      </c>
      <c r="J87" s="42" t="s">
        <v>626</v>
      </c>
      <c r="K87" s="42" t="s">
        <v>403</v>
      </c>
      <c r="L87" s="42" t="s">
        <v>357</v>
      </c>
      <c r="M87" s="42" t="s">
        <v>348</v>
      </c>
      <c r="N87" s="42" t="s">
        <v>316</v>
      </c>
      <c r="O87" s="43" t="s">
        <v>627</v>
      </c>
      <c r="P87" s="42" t="s">
        <v>386</v>
      </c>
    </row>
    <row r="88" spans="1:16" ht="39.6">
      <c r="A88" s="42" t="s">
        <v>628</v>
      </c>
      <c r="B88" s="42" t="s">
        <v>387</v>
      </c>
      <c r="C88" s="42" t="s">
        <v>629</v>
      </c>
      <c r="D88" s="42" t="s">
        <v>630</v>
      </c>
      <c r="E88" s="52" t="s">
        <v>311</v>
      </c>
      <c r="F88" s="52" t="s">
        <v>43</v>
      </c>
      <c r="G88" s="52" t="s">
        <v>333</v>
      </c>
      <c r="H88" s="52" t="s">
        <v>311</v>
      </c>
      <c r="I88" s="42" t="s">
        <v>305</v>
      </c>
      <c r="J88" s="42" t="s">
        <v>631</v>
      </c>
      <c r="K88" s="42" t="s">
        <v>632</v>
      </c>
      <c r="L88" s="42" t="s">
        <v>357</v>
      </c>
      <c r="M88" s="42" t="s">
        <v>348</v>
      </c>
      <c r="N88" s="42" t="s">
        <v>316</v>
      </c>
      <c r="O88" s="43" t="s">
        <v>627</v>
      </c>
      <c r="P88" s="42" t="s">
        <v>386</v>
      </c>
    </row>
    <row r="89" spans="1:16" ht="39.6">
      <c r="A89" s="42" t="s">
        <v>633</v>
      </c>
      <c r="B89" s="42" t="s">
        <v>387</v>
      </c>
      <c r="C89" s="42" t="s">
        <v>634</v>
      </c>
      <c r="D89" s="42" t="s">
        <v>635</v>
      </c>
      <c r="E89" s="52" t="s">
        <v>311</v>
      </c>
      <c r="F89" s="52" t="s">
        <v>43</v>
      </c>
      <c r="G89" s="52" t="s">
        <v>333</v>
      </c>
      <c r="H89" s="52" t="s">
        <v>311</v>
      </c>
      <c r="I89" s="42" t="s">
        <v>305</v>
      </c>
      <c r="J89" s="42" t="s">
        <v>636</v>
      </c>
      <c r="K89" s="42" t="s">
        <v>632</v>
      </c>
      <c r="L89" s="42" t="s">
        <v>357</v>
      </c>
      <c r="M89" s="42" t="s">
        <v>348</v>
      </c>
      <c r="N89" s="42" t="s">
        <v>316</v>
      </c>
      <c r="O89" s="43" t="s">
        <v>627</v>
      </c>
      <c r="P89" s="42" t="s">
        <v>386</v>
      </c>
    </row>
    <row r="90" spans="1:16" ht="39.6">
      <c r="A90" s="42" t="s">
        <v>637</v>
      </c>
      <c r="B90" s="42" t="s">
        <v>387</v>
      </c>
      <c r="C90" s="42" t="s">
        <v>638</v>
      </c>
      <c r="D90" s="42" t="s">
        <v>639</v>
      </c>
      <c r="E90" s="52" t="s">
        <v>311</v>
      </c>
      <c r="F90" s="52" t="s">
        <v>43</v>
      </c>
      <c r="G90" s="52" t="s">
        <v>333</v>
      </c>
      <c r="H90" s="52" t="s">
        <v>311</v>
      </c>
      <c r="I90" s="42" t="s">
        <v>305</v>
      </c>
      <c r="J90" s="42" t="s">
        <v>640</v>
      </c>
      <c r="K90" s="42" t="s">
        <v>632</v>
      </c>
      <c r="L90" s="42" t="s">
        <v>357</v>
      </c>
      <c r="M90" s="42" t="s">
        <v>348</v>
      </c>
      <c r="N90" s="42" t="s">
        <v>316</v>
      </c>
      <c r="O90" s="43" t="s">
        <v>627</v>
      </c>
      <c r="P90" s="42" t="s">
        <v>386</v>
      </c>
    </row>
    <row r="91" spans="1:16" ht="39.6">
      <c r="A91" s="42" t="s">
        <v>641</v>
      </c>
      <c r="B91" s="42" t="s">
        <v>387</v>
      </c>
      <c r="C91" s="42" t="s">
        <v>642</v>
      </c>
      <c r="D91" s="42" t="s">
        <v>643</v>
      </c>
      <c r="E91" s="52" t="s">
        <v>311</v>
      </c>
      <c r="F91" s="52" t="s">
        <v>43</v>
      </c>
      <c r="G91" s="52" t="s">
        <v>333</v>
      </c>
      <c r="H91" s="52" t="s">
        <v>311</v>
      </c>
      <c r="I91" s="42" t="s">
        <v>305</v>
      </c>
      <c r="J91" s="42" t="s">
        <v>644</v>
      </c>
      <c r="K91" s="42" t="s">
        <v>403</v>
      </c>
      <c r="L91" s="42" t="s">
        <v>357</v>
      </c>
      <c r="M91" s="42" t="s">
        <v>348</v>
      </c>
      <c r="N91" s="42" t="s">
        <v>316</v>
      </c>
      <c r="O91" s="43" t="s">
        <v>627</v>
      </c>
      <c r="P91" s="42" t="s">
        <v>386</v>
      </c>
    </row>
    <row r="92" spans="1:16" ht="39.6">
      <c r="A92" s="42" t="s">
        <v>645</v>
      </c>
      <c r="B92" s="42" t="s">
        <v>387</v>
      </c>
      <c r="C92" s="42" t="s">
        <v>646</v>
      </c>
      <c r="D92" s="42" t="s">
        <v>647</v>
      </c>
      <c r="E92" s="52" t="s">
        <v>311</v>
      </c>
      <c r="F92" s="52" t="s">
        <v>43</v>
      </c>
      <c r="G92" s="52" t="s">
        <v>333</v>
      </c>
      <c r="H92" s="52" t="s">
        <v>311</v>
      </c>
      <c r="I92" s="42" t="s">
        <v>305</v>
      </c>
      <c r="J92" s="42" t="s">
        <v>648</v>
      </c>
      <c r="K92" s="42" t="s">
        <v>403</v>
      </c>
      <c r="L92" s="42" t="s">
        <v>357</v>
      </c>
      <c r="M92" s="42" t="s">
        <v>348</v>
      </c>
      <c r="N92" s="42" t="s">
        <v>316</v>
      </c>
      <c r="O92" s="43" t="s">
        <v>627</v>
      </c>
      <c r="P92" s="42" t="s">
        <v>386</v>
      </c>
    </row>
    <row r="93" spans="1:16" ht="39.6">
      <c r="A93" s="42" t="s">
        <v>649</v>
      </c>
      <c r="B93" s="42" t="s">
        <v>387</v>
      </c>
      <c r="C93" s="42" t="s">
        <v>650</v>
      </c>
      <c r="D93" s="42" t="s">
        <v>651</v>
      </c>
      <c r="E93" s="52" t="s">
        <v>311</v>
      </c>
      <c r="F93" s="52" t="s">
        <v>43</v>
      </c>
      <c r="G93" s="52" t="s">
        <v>333</v>
      </c>
      <c r="H93" s="52" t="s">
        <v>311</v>
      </c>
      <c r="I93" s="42" t="s">
        <v>305</v>
      </c>
      <c r="J93" s="42" t="s">
        <v>632</v>
      </c>
      <c r="K93" s="42" t="s">
        <v>632</v>
      </c>
      <c r="L93" s="42" t="s">
        <v>357</v>
      </c>
      <c r="M93" s="42" t="s">
        <v>348</v>
      </c>
      <c r="N93" s="42" t="s">
        <v>316</v>
      </c>
      <c r="O93" s="43" t="s">
        <v>627</v>
      </c>
      <c r="P93" s="42" t="s">
        <v>386</v>
      </c>
    </row>
    <row r="94" spans="1:16" ht="39.6">
      <c r="A94" s="42" t="s">
        <v>652</v>
      </c>
      <c r="B94" s="42" t="s">
        <v>387</v>
      </c>
      <c r="C94" s="42" t="s">
        <v>653</v>
      </c>
      <c r="D94" s="42" t="s">
        <v>654</v>
      </c>
      <c r="E94" s="52" t="s">
        <v>311</v>
      </c>
      <c r="F94" s="52" t="s">
        <v>43</v>
      </c>
      <c r="G94" s="52" t="s">
        <v>333</v>
      </c>
      <c r="H94" s="52" t="s">
        <v>311</v>
      </c>
      <c r="I94" s="42" t="s">
        <v>305</v>
      </c>
      <c r="J94" s="42" t="s">
        <v>655</v>
      </c>
      <c r="K94" s="42" t="s">
        <v>403</v>
      </c>
      <c r="L94" s="42" t="s">
        <v>357</v>
      </c>
      <c r="M94" s="42" t="s">
        <v>348</v>
      </c>
      <c r="N94" s="42" t="s">
        <v>316</v>
      </c>
      <c r="O94" s="43" t="s">
        <v>627</v>
      </c>
      <c r="P94" s="42" t="s">
        <v>386</v>
      </c>
    </row>
    <row r="95" spans="1:16" ht="39.6">
      <c r="A95" s="42" t="s">
        <v>656</v>
      </c>
      <c r="B95" s="42" t="s">
        <v>387</v>
      </c>
      <c r="C95" s="42" t="s">
        <v>657</v>
      </c>
      <c r="D95" s="42" t="s">
        <v>658</v>
      </c>
      <c r="E95" s="52" t="s">
        <v>311</v>
      </c>
      <c r="F95" s="52" t="s">
        <v>43</v>
      </c>
      <c r="G95" s="52" t="s">
        <v>333</v>
      </c>
      <c r="H95" s="52" t="s">
        <v>311</v>
      </c>
      <c r="I95" s="42" t="s">
        <v>305</v>
      </c>
      <c r="J95" s="42" t="s">
        <v>659</v>
      </c>
      <c r="K95" s="42" t="s">
        <v>632</v>
      </c>
      <c r="L95" s="42" t="s">
        <v>357</v>
      </c>
      <c r="M95" s="42" t="s">
        <v>348</v>
      </c>
      <c r="N95" s="42" t="s">
        <v>316</v>
      </c>
      <c r="O95" s="43" t="s">
        <v>627</v>
      </c>
      <c r="P95" s="42" t="s">
        <v>386</v>
      </c>
    </row>
    <row r="96" spans="1:16" ht="39.6">
      <c r="A96" s="42" t="s">
        <v>660</v>
      </c>
      <c r="B96" s="42" t="s">
        <v>387</v>
      </c>
      <c r="C96" s="42" t="s">
        <v>661</v>
      </c>
      <c r="D96" s="42" t="s">
        <v>662</v>
      </c>
      <c r="E96" s="52" t="s">
        <v>311</v>
      </c>
      <c r="F96" s="52" t="s">
        <v>43</v>
      </c>
      <c r="G96" s="52" t="s">
        <v>333</v>
      </c>
      <c r="H96" s="52" t="s">
        <v>311</v>
      </c>
      <c r="I96" s="42" t="s">
        <v>305</v>
      </c>
      <c r="J96" s="42" t="s">
        <v>663</v>
      </c>
      <c r="K96" s="42" t="s">
        <v>632</v>
      </c>
      <c r="L96" s="42" t="s">
        <v>357</v>
      </c>
      <c r="M96" s="42" t="s">
        <v>348</v>
      </c>
      <c r="N96" s="42" t="s">
        <v>316</v>
      </c>
      <c r="O96" s="43" t="s">
        <v>627</v>
      </c>
      <c r="P96" s="42" t="s">
        <v>386</v>
      </c>
    </row>
    <row r="97" spans="1:16" ht="39.6">
      <c r="A97" s="42" t="s">
        <v>412</v>
      </c>
      <c r="B97" s="42" t="s">
        <v>387</v>
      </c>
      <c r="C97" s="42" t="s">
        <v>664</v>
      </c>
      <c r="D97" s="42" t="s">
        <v>665</v>
      </c>
      <c r="E97" s="52" t="s">
        <v>311</v>
      </c>
      <c r="F97" s="52" t="s">
        <v>43</v>
      </c>
      <c r="G97" s="52" t="s">
        <v>333</v>
      </c>
      <c r="H97" s="52" t="s">
        <v>311</v>
      </c>
      <c r="I97" s="42" t="s">
        <v>305</v>
      </c>
      <c r="J97" s="42" t="s">
        <v>666</v>
      </c>
      <c r="K97" s="42" t="s">
        <v>667</v>
      </c>
      <c r="L97" s="42" t="s">
        <v>357</v>
      </c>
      <c r="M97" s="42" t="s">
        <v>348</v>
      </c>
      <c r="N97" s="42" t="s">
        <v>316</v>
      </c>
      <c r="O97" s="43" t="s">
        <v>627</v>
      </c>
      <c r="P97" s="42" t="s">
        <v>386</v>
      </c>
    </row>
    <row r="98" spans="1:16" ht="39.6">
      <c r="A98" s="42" t="s">
        <v>668</v>
      </c>
      <c r="B98" s="42" t="s">
        <v>387</v>
      </c>
      <c r="C98" s="42" t="s">
        <v>669</v>
      </c>
      <c r="D98" s="42" t="s">
        <v>665</v>
      </c>
      <c r="E98" s="52" t="s">
        <v>311</v>
      </c>
      <c r="F98" s="52" t="s">
        <v>43</v>
      </c>
      <c r="G98" s="52" t="s">
        <v>333</v>
      </c>
      <c r="H98" s="52" t="s">
        <v>311</v>
      </c>
      <c r="I98" s="42" t="s">
        <v>305</v>
      </c>
      <c r="J98" s="42" t="s">
        <v>666</v>
      </c>
      <c r="K98" s="42" t="s">
        <v>667</v>
      </c>
      <c r="L98" s="42" t="s">
        <v>357</v>
      </c>
      <c r="M98" s="42" t="s">
        <v>348</v>
      </c>
      <c r="N98" s="42" t="s">
        <v>316</v>
      </c>
      <c r="O98" s="43" t="s">
        <v>627</v>
      </c>
      <c r="P98" s="42" t="s">
        <v>386</v>
      </c>
    </row>
    <row r="99" spans="1:16" ht="39.6">
      <c r="A99" s="42" t="s">
        <v>670</v>
      </c>
      <c r="B99" s="42" t="s">
        <v>387</v>
      </c>
      <c r="C99" s="42" t="s">
        <v>671</v>
      </c>
      <c r="D99" s="42" t="s">
        <v>665</v>
      </c>
      <c r="E99" s="52" t="s">
        <v>311</v>
      </c>
      <c r="F99" s="52" t="s">
        <v>43</v>
      </c>
      <c r="G99" s="52" t="s">
        <v>333</v>
      </c>
      <c r="H99" s="52" t="s">
        <v>311</v>
      </c>
      <c r="I99" s="42" t="s">
        <v>305</v>
      </c>
      <c r="J99" s="42" t="s">
        <v>666</v>
      </c>
      <c r="K99" s="42" t="s">
        <v>667</v>
      </c>
      <c r="L99" s="42" t="s">
        <v>357</v>
      </c>
      <c r="M99" s="42" t="s">
        <v>348</v>
      </c>
      <c r="N99" s="42" t="s">
        <v>316</v>
      </c>
      <c r="O99" s="43" t="s">
        <v>627</v>
      </c>
      <c r="P99" s="42" t="s">
        <v>386</v>
      </c>
    </row>
    <row r="100" spans="1:16" ht="39.6">
      <c r="A100" s="42" t="s">
        <v>672</v>
      </c>
      <c r="B100" s="42" t="s">
        <v>387</v>
      </c>
      <c r="C100" s="42" t="s">
        <v>673</v>
      </c>
      <c r="D100" s="42" t="s">
        <v>674</v>
      </c>
      <c r="E100" s="52" t="s">
        <v>311</v>
      </c>
      <c r="F100" s="52" t="s">
        <v>20</v>
      </c>
      <c r="G100" s="52" t="s">
        <v>333</v>
      </c>
      <c r="H100" s="52" t="s">
        <v>311</v>
      </c>
      <c r="I100" s="42" t="s">
        <v>305</v>
      </c>
      <c r="J100" s="42" t="s">
        <v>675</v>
      </c>
      <c r="K100" s="42" t="s">
        <v>667</v>
      </c>
      <c r="L100" s="42" t="s">
        <v>357</v>
      </c>
      <c r="M100" s="42" t="s">
        <v>348</v>
      </c>
      <c r="N100" s="42" t="s">
        <v>316</v>
      </c>
      <c r="O100" s="43" t="s">
        <v>627</v>
      </c>
      <c r="P100" s="42" t="s">
        <v>386</v>
      </c>
    </row>
    <row r="101" spans="1:16" ht="39.6">
      <c r="A101" s="42" t="s">
        <v>676</v>
      </c>
      <c r="B101" s="42" t="s">
        <v>387</v>
      </c>
      <c r="C101" s="42" t="s">
        <v>677</v>
      </c>
      <c r="D101" s="42" t="s">
        <v>678</v>
      </c>
      <c r="E101" s="52" t="s">
        <v>311</v>
      </c>
      <c r="F101" s="52" t="s">
        <v>20</v>
      </c>
      <c r="G101" s="52" t="s">
        <v>333</v>
      </c>
      <c r="H101" s="52" t="s">
        <v>311</v>
      </c>
      <c r="I101" s="42" t="s">
        <v>305</v>
      </c>
      <c r="J101" s="42" t="s">
        <v>675</v>
      </c>
      <c r="K101" s="42" t="s">
        <v>667</v>
      </c>
      <c r="L101" s="42" t="s">
        <v>357</v>
      </c>
      <c r="M101" s="42" t="s">
        <v>348</v>
      </c>
      <c r="N101" s="42" t="s">
        <v>316</v>
      </c>
      <c r="O101" s="43" t="s">
        <v>627</v>
      </c>
      <c r="P101" s="42" t="s">
        <v>386</v>
      </c>
    </row>
    <row r="102" spans="1:16" ht="39.6">
      <c r="A102" s="42" t="s">
        <v>679</v>
      </c>
      <c r="B102" s="42" t="s">
        <v>387</v>
      </c>
      <c r="C102" s="42" t="s">
        <v>680</v>
      </c>
      <c r="D102" s="42" t="s">
        <v>651</v>
      </c>
      <c r="E102" s="52" t="s">
        <v>311</v>
      </c>
      <c r="F102" s="52" t="s">
        <v>20</v>
      </c>
      <c r="G102" s="52" t="s">
        <v>333</v>
      </c>
      <c r="H102" s="52" t="s">
        <v>311</v>
      </c>
      <c r="I102" s="42" t="s">
        <v>305</v>
      </c>
      <c r="J102" s="42" t="s">
        <v>681</v>
      </c>
      <c r="K102" s="42" t="s">
        <v>667</v>
      </c>
      <c r="L102" s="42" t="s">
        <v>357</v>
      </c>
      <c r="M102" s="42" t="s">
        <v>348</v>
      </c>
      <c r="N102" s="42" t="s">
        <v>316</v>
      </c>
      <c r="O102" s="43" t="s">
        <v>627</v>
      </c>
      <c r="P102" s="42" t="s">
        <v>386</v>
      </c>
    </row>
    <row r="103" spans="1:16" ht="39.6">
      <c r="A103" s="42" t="s">
        <v>682</v>
      </c>
      <c r="B103" s="42" t="s">
        <v>387</v>
      </c>
      <c r="C103" s="42" t="s">
        <v>683</v>
      </c>
      <c r="D103" s="42" t="s">
        <v>658</v>
      </c>
      <c r="E103" s="52" t="s">
        <v>311</v>
      </c>
      <c r="F103" s="52" t="s">
        <v>20</v>
      </c>
      <c r="G103" s="52" t="s">
        <v>333</v>
      </c>
      <c r="H103" s="52" t="s">
        <v>311</v>
      </c>
      <c r="I103" s="42" t="s">
        <v>305</v>
      </c>
      <c r="J103" s="42" t="s">
        <v>684</v>
      </c>
      <c r="K103" s="42" t="s">
        <v>667</v>
      </c>
      <c r="L103" s="42" t="s">
        <v>357</v>
      </c>
      <c r="M103" s="42" t="s">
        <v>348</v>
      </c>
      <c r="N103" s="42" t="s">
        <v>316</v>
      </c>
      <c r="O103" s="43" t="s">
        <v>627</v>
      </c>
      <c r="P103" s="42" t="s">
        <v>386</v>
      </c>
    </row>
    <row r="104" spans="1:16" ht="39.6">
      <c r="A104" s="42" t="s">
        <v>685</v>
      </c>
      <c r="B104" s="42" t="s">
        <v>387</v>
      </c>
      <c r="C104" s="42" t="s">
        <v>686</v>
      </c>
      <c r="D104" s="42" t="s">
        <v>662</v>
      </c>
      <c r="E104" s="52" t="s">
        <v>311</v>
      </c>
      <c r="F104" s="52" t="s">
        <v>20</v>
      </c>
      <c r="G104" s="52" t="s">
        <v>333</v>
      </c>
      <c r="H104" s="52" t="s">
        <v>311</v>
      </c>
      <c r="I104" s="42" t="s">
        <v>305</v>
      </c>
      <c r="J104" s="42" t="s">
        <v>687</v>
      </c>
      <c r="K104" s="42" t="s">
        <v>667</v>
      </c>
      <c r="L104" s="42" t="s">
        <v>357</v>
      </c>
      <c r="M104" s="42" t="s">
        <v>348</v>
      </c>
      <c r="N104" s="42" t="s">
        <v>316</v>
      </c>
      <c r="O104" s="43" t="s">
        <v>627</v>
      </c>
      <c r="P104" s="42" t="s">
        <v>386</v>
      </c>
    </row>
    <row r="105" spans="1:16" ht="39.6">
      <c r="A105" s="42" t="s">
        <v>688</v>
      </c>
      <c r="B105" s="42" t="s">
        <v>387</v>
      </c>
      <c r="C105" s="42" t="s">
        <v>689</v>
      </c>
      <c r="D105" s="42" t="s">
        <v>690</v>
      </c>
      <c r="E105" s="52" t="s">
        <v>311</v>
      </c>
      <c r="F105" s="53" t="s">
        <v>20</v>
      </c>
      <c r="G105" s="52" t="s">
        <v>333</v>
      </c>
      <c r="H105" s="52" t="s">
        <v>311</v>
      </c>
      <c r="I105" s="42" t="s">
        <v>305</v>
      </c>
      <c r="J105" s="42" t="s">
        <v>425</v>
      </c>
      <c r="K105" s="42" t="s">
        <v>691</v>
      </c>
      <c r="L105" s="42" t="s">
        <v>384</v>
      </c>
      <c r="M105" s="42" t="s">
        <v>348</v>
      </c>
      <c r="N105" s="42" t="s">
        <v>316</v>
      </c>
      <c r="O105" s="43" t="s">
        <v>692</v>
      </c>
      <c r="P105" s="42" t="s">
        <v>386</v>
      </c>
    </row>
    <row r="106" spans="1:16" ht="39.6">
      <c r="A106" s="42" t="s">
        <v>693</v>
      </c>
      <c r="B106" s="42" t="s">
        <v>387</v>
      </c>
      <c r="C106" s="42" t="s">
        <v>694</v>
      </c>
      <c r="D106" s="42" t="s">
        <v>695</v>
      </c>
      <c r="E106" s="52" t="s">
        <v>311</v>
      </c>
      <c r="F106" s="53" t="s">
        <v>20</v>
      </c>
      <c r="G106" s="52" t="s">
        <v>333</v>
      </c>
      <c r="H106" s="52" t="s">
        <v>311</v>
      </c>
      <c r="I106" s="42" t="s">
        <v>305</v>
      </c>
      <c r="J106" s="42" t="s">
        <v>425</v>
      </c>
      <c r="K106" s="42" t="s">
        <v>691</v>
      </c>
      <c r="L106" s="42" t="s">
        <v>384</v>
      </c>
      <c r="M106" s="42" t="s">
        <v>348</v>
      </c>
      <c r="N106" s="42" t="s">
        <v>316</v>
      </c>
      <c r="O106" s="43" t="s">
        <v>692</v>
      </c>
      <c r="P106" s="42" t="s">
        <v>386</v>
      </c>
    </row>
    <row r="107" spans="1:16" ht="39.6">
      <c r="A107" s="42" t="s">
        <v>696</v>
      </c>
      <c r="B107" s="42" t="s">
        <v>387</v>
      </c>
      <c r="C107" s="42" t="s">
        <v>697</v>
      </c>
      <c r="D107" s="42" t="s">
        <v>698</v>
      </c>
      <c r="E107" s="52" t="s">
        <v>311</v>
      </c>
      <c r="F107" s="53" t="s">
        <v>20</v>
      </c>
      <c r="G107" s="52" t="s">
        <v>333</v>
      </c>
      <c r="H107" s="52" t="s">
        <v>311</v>
      </c>
      <c r="I107" s="42" t="s">
        <v>305</v>
      </c>
      <c r="J107" s="42" t="s">
        <v>425</v>
      </c>
      <c r="K107" s="42" t="s">
        <v>691</v>
      </c>
      <c r="L107" s="42" t="s">
        <v>384</v>
      </c>
      <c r="M107" s="42" t="s">
        <v>348</v>
      </c>
      <c r="N107" s="42" t="s">
        <v>316</v>
      </c>
      <c r="O107" s="43" t="s">
        <v>692</v>
      </c>
      <c r="P107" s="42" t="s">
        <v>386</v>
      </c>
    </row>
    <row r="108" spans="1:16" ht="39.6">
      <c r="A108" s="42" t="s">
        <v>699</v>
      </c>
      <c r="B108" s="42" t="s">
        <v>387</v>
      </c>
      <c r="C108" s="42" t="s">
        <v>700</v>
      </c>
      <c r="D108" s="42" t="s">
        <v>701</v>
      </c>
      <c r="E108" s="52" t="s">
        <v>311</v>
      </c>
      <c r="F108" s="53" t="s">
        <v>20</v>
      </c>
      <c r="G108" s="52" t="s">
        <v>333</v>
      </c>
      <c r="H108" s="52" t="s">
        <v>311</v>
      </c>
      <c r="I108" s="42" t="s">
        <v>305</v>
      </c>
      <c r="J108" s="42" t="s">
        <v>425</v>
      </c>
      <c r="K108" s="42" t="s">
        <v>691</v>
      </c>
      <c r="L108" s="42" t="s">
        <v>384</v>
      </c>
      <c r="M108" s="42" t="s">
        <v>348</v>
      </c>
      <c r="N108" s="42" t="s">
        <v>316</v>
      </c>
      <c r="O108" s="43" t="s">
        <v>692</v>
      </c>
      <c r="P108" s="42" t="s">
        <v>386</v>
      </c>
    </row>
    <row r="109" spans="1:16">
      <c r="A109" s="42" t="s">
        <v>702</v>
      </c>
      <c r="B109" s="42" t="s">
        <v>387</v>
      </c>
      <c r="C109" s="42" t="s">
        <v>703</v>
      </c>
      <c r="D109" s="42" t="s">
        <v>704</v>
      </c>
      <c r="E109" s="52" t="s">
        <v>15</v>
      </c>
      <c r="F109" s="52" t="s">
        <v>36</v>
      </c>
      <c r="G109" s="52" t="s">
        <v>310</v>
      </c>
      <c r="H109" s="52" t="s">
        <v>353</v>
      </c>
      <c r="I109" s="42" t="s">
        <v>354</v>
      </c>
      <c r="J109" s="42" t="s">
        <v>593</v>
      </c>
      <c r="K109" s="42" t="s">
        <v>594</v>
      </c>
      <c r="L109" s="42" t="s">
        <v>384</v>
      </c>
      <c r="M109" s="42" t="s">
        <v>358</v>
      </c>
      <c r="N109" s="42" t="s">
        <v>359</v>
      </c>
      <c r="O109" s="43"/>
      <c r="P109" s="42" t="s">
        <v>317</v>
      </c>
    </row>
    <row r="110" spans="1:16">
      <c r="A110" s="42" t="s">
        <v>705</v>
      </c>
      <c r="B110" s="42" t="s">
        <v>387</v>
      </c>
      <c r="C110" s="42" t="s">
        <v>706</v>
      </c>
      <c r="D110" s="42" t="s">
        <v>707</v>
      </c>
      <c r="E110" s="52" t="s">
        <v>311</v>
      </c>
      <c r="F110" s="52" t="s">
        <v>36</v>
      </c>
      <c r="G110" s="52" t="s">
        <v>333</v>
      </c>
      <c r="H110" s="52" t="s">
        <v>353</v>
      </c>
      <c r="I110" s="42" t="s">
        <v>354</v>
      </c>
      <c r="J110" s="42" t="s">
        <v>593</v>
      </c>
      <c r="K110" s="42" t="s">
        <v>594</v>
      </c>
      <c r="L110" s="42" t="s">
        <v>384</v>
      </c>
      <c r="M110" s="42" t="s">
        <v>358</v>
      </c>
      <c r="N110" s="42" t="s">
        <v>359</v>
      </c>
      <c r="O110" s="43"/>
      <c r="P110" s="42" t="s">
        <v>317</v>
      </c>
    </row>
    <row r="111" spans="1:16">
      <c r="A111" s="42" t="s">
        <v>322</v>
      </c>
      <c r="B111" s="42" t="s">
        <v>708</v>
      </c>
      <c r="C111" s="42" t="s">
        <v>709</v>
      </c>
      <c r="D111" s="42" t="s">
        <v>710</v>
      </c>
      <c r="E111" s="52" t="s">
        <v>15</v>
      </c>
      <c r="F111" s="52" t="s">
        <v>711</v>
      </c>
      <c r="G111" s="52" t="s">
        <v>310</v>
      </c>
      <c r="H111" s="52" t="s">
        <v>311</v>
      </c>
      <c r="I111" s="42" t="s">
        <v>305</v>
      </c>
      <c r="J111" s="42" t="s">
        <v>712</v>
      </c>
      <c r="K111" s="42" t="s">
        <v>713</v>
      </c>
      <c r="L111" s="42" t="s">
        <v>357</v>
      </c>
      <c r="M111" s="42" t="s">
        <v>358</v>
      </c>
      <c r="N111" s="42" t="s">
        <v>348</v>
      </c>
      <c r="O111" s="43" t="s">
        <v>379</v>
      </c>
      <c r="P111" s="42" t="s">
        <v>317</v>
      </c>
    </row>
    <row r="112" spans="1:16">
      <c r="A112" s="42" t="s">
        <v>330</v>
      </c>
      <c r="B112" s="42" t="s">
        <v>708</v>
      </c>
      <c r="C112" s="42" t="s">
        <v>714</v>
      </c>
      <c r="D112" s="42" t="s">
        <v>715</v>
      </c>
      <c r="E112" s="52" t="s">
        <v>15</v>
      </c>
      <c r="F112" s="52" t="s">
        <v>29</v>
      </c>
      <c r="G112" s="52" t="s">
        <v>310</v>
      </c>
      <c r="H112" s="52" t="s">
        <v>311</v>
      </c>
      <c r="I112" s="42" t="s">
        <v>305</v>
      </c>
      <c r="J112" s="42" t="s">
        <v>716</v>
      </c>
      <c r="K112" s="42" t="s">
        <v>523</v>
      </c>
      <c r="L112" s="42" t="s">
        <v>357</v>
      </c>
      <c r="M112" s="42" t="s">
        <v>717</v>
      </c>
      <c r="N112" s="42" t="s">
        <v>348</v>
      </c>
      <c r="O112" s="43" t="s">
        <v>393</v>
      </c>
      <c r="P112" s="42" t="s">
        <v>317</v>
      </c>
    </row>
    <row r="113" spans="1:16">
      <c r="A113" s="42" t="s">
        <v>336</v>
      </c>
      <c r="B113" s="42" t="s">
        <v>708</v>
      </c>
      <c r="C113" s="42" t="s">
        <v>718</v>
      </c>
      <c r="D113" s="42" t="s">
        <v>719</v>
      </c>
      <c r="E113" s="52" t="s">
        <v>15</v>
      </c>
      <c r="F113" s="52" t="s">
        <v>36</v>
      </c>
      <c r="G113" s="52" t="s">
        <v>310</v>
      </c>
      <c r="H113" s="52" t="s">
        <v>311</v>
      </c>
      <c r="I113" s="42" t="s">
        <v>305</v>
      </c>
      <c r="J113" s="42" t="s">
        <v>489</v>
      </c>
      <c r="K113" s="42" t="s">
        <v>720</v>
      </c>
      <c r="L113" s="42" t="s">
        <v>384</v>
      </c>
      <c r="M113" s="42" t="s">
        <v>358</v>
      </c>
      <c r="N113" s="42" t="s">
        <v>348</v>
      </c>
      <c r="O113" s="43" t="s">
        <v>393</v>
      </c>
      <c r="P113" s="42" t="s">
        <v>317</v>
      </c>
    </row>
    <row r="114" spans="1:16">
      <c r="A114" s="42" t="s">
        <v>342</v>
      </c>
      <c r="B114" s="42" t="s">
        <v>708</v>
      </c>
      <c r="C114" s="42" t="s">
        <v>721</v>
      </c>
      <c r="D114" s="42" t="s">
        <v>722</v>
      </c>
      <c r="E114" s="52" t="s">
        <v>15</v>
      </c>
      <c r="F114" s="52" t="s">
        <v>29</v>
      </c>
      <c r="G114" s="52" t="s">
        <v>310</v>
      </c>
      <c r="H114" s="52" t="s">
        <v>311</v>
      </c>
      <c r="I114" s="42" t="s">
        <v>305</v>
      </c>
      <c r="J114" s="42" t="s">
        <v>508</v>
      </c>
      <c r="K114" s="42" t="s">
        <v>509</v>
      </c>
      <c r="L114" s="42" t="s">
        <v>357</v>
      </c>
      <c r="M114" s="42" t="s">
        <v>358</v>
      </c>
      <c r="N114" s="42" t="s">
        <v>348</v>
      </c>
      <c r="O114" s="43" t="s">
        <v>393</v>
      </c>
      <c r="P114" s="42" t="s">
        <v>386</v>
      </c>
    </row>
    <row r="115" spans="1:16">
      <c r="A115" s="42" t="s">
        <v>336</v>
      </c>
      <c r="B115" s="42" t="s">
        <v>708</v>
      </c>
      <c r="C115" s="42" t="s">
        <v>723</v>
      </c>
      <c r="D115" s="42" t="s">
        <v>724</v>
      </c>
      <c r="E115" s="52" t="s">
        <v>15</v>
      </c>
      <c r="F115" s="52" t="s">
        <v>725</v>
      </c>
      <c r="G115" s="52" t="s">
        <v>310</v>
      </c>
      <c r="H115" s="52" t="s">
        <v>311</v>
      </c>
      <c r="I115" s="42" t="s">
        <v>305</v>
      </c>
      <c r="J115" s="42" t="s">
        <v>726</v>
      </c>
      <c r="K115" s="42" t="s">
        <v>523</v>
      </c>
      <c r="L115" s="42" t="s">
        <v>357</v>
      </c>
      <c r="M115" s="42" t="s">
        <v>727</v>
      </c>
      <c r="N115" s="42" t="s">
        <v>348</v>
      </c>
      <c r="O115" s="43" t="s">
        <v>393</v>
      </c>
      <c r="P115" s="42" t="s">
        <v>317</v>
      </c>
    </row>
    <row r="116" spans="1:16">
      <c r="A116" s="42" t="s">
        <v>342</v>
      </c>
      <c r="B116" s="42" t="s">
        <v>708</v>
      </c>
      <c r="C116" s="42" t="s">
        <v>728</v>
      </c>
      <c r="D116" s="42" t="s">
        <v>729</v>
      </c>
      <c r="E116" s="52" t="s">
        <v>15</v>
      </c>
      <c r="F116" s="52" t="s">
        <v>36</v>
      </c>
      <c r="G116" s="52" t="s">
        <v>310</v>
      </c>
      <c r="H116" s="52" t="s">
        <v>353</v>
      </c>
      <c r="I116" s="42" t="s">
        <v>354</v>
      </c>
      <c r="J116" s="42" t="s">
        <v>730</v>
      </c>
      <c r="K116" s="42" t="s">
        <v>632</v>
      </c>
      <c r="L116" s="42" t="s">
        <v>384</v>
      </c>
      <c r="M116" s="42" t="s">
        <v>358</v>
      </c>
      <c r="N116" s="42" t="s">
        <v>731</v>
      </c>
      <c r="O116" s="43" t="s">
        <v>393</v>
      </c>
      <c r="P116" s="42" t="s">
        <v>317</v>
      </c>
    </row>
    <row r="117" spans="1:16">
      <c r="A117" s="42" t="s">
        <v>345</v>
      </c>
      <c r="B117" s="42" t="s">
        <v>708</v>
      </c>
      <c r="C117" s="42" t="s">
        <v>732</v>
      </c>
      <c r="D117" s="42" t="s">
        <v>733</v>
      </c>
      <c r="E117" s="52" t="s">
        <v>15</v>
      </c>
      <c r="F117" s="52" t="s">
        <v>36</v>
      </c>
      <c r="G117" s="52" t="s">
        <v>310</v>
      </c>
      <c r="H117" s="52" t="s">
        <v>311</v>
      </c>
      <c r="I117" s="42" t="s">
        <v>354</v>
      </c>
      <c r="J117" s="42" t="s">
        <v>734</v>
      </c>
      <c r="K117" s="42" t="s">
        <v>735</v>
      </c>
      <c r="L117" s="42" t="s">
        <v>384</v>
      </c>
      <c r="M117" s="42" t="s">
        <v>358</v>
      </c>
      <c r="N117" s="42" t="s">
        <v>731</v>
      </c>
      <c r="O117" s="43" t="s">
        <v>393</v>
      </c>
      <c r="P117" s="42" t="s">
        <v>317</v>
      </c>
    </row>
    <row r="118" spans="1:16">
      <c r="A118" s="42" t="s">
        <v>349</v>
      </c>
      <c r="B118" s="42" t="s">
        <v>708</v>
      </c>
      <c r="C118" s="42" t="s">
        <v>736</v>
      </c>
      <c r="D118" s="42" t="s">
        <v>729</v>
      </c>
      <c r="E118" s="52" t="s">
        <v>15</v>
      </c>
      <c r="F118" s="52" t="s">
        <v>36</v>
      </c>
      <c r="G118" s="52" t="s">
        <v>310</v>
      </c>
      <c r="H118" s="52" t="s">
        <v>353</v>
      </c>
      <c r="I118" s="42" t="s">
        <v>354</v>
      </c>
      <c r="J118" s="42" t="s">
        <v>730</v>
      </c>
      <c r="K118" s="42" t="s">
        <v>632</v>
      </c>
      <c r="L118" s="42" t="s">
        <v>384</v>
      </c>
      <c r="M118" s="42" t="s">
        <v>358</v>
      </c>
      <c r="N118" s="42" t="s">
        <v>731</v>
      </c>
      <c r="O118" s="43" t="s">
        <v>393</v>
      </c>
      <c r="P118" s="42" t="s">
        <v>317</v>
      </c>
    </row>
    <row r="119" spans="1:16">
      <c r="A119" s="42" t="s">
        <v>360</v>
      </c>
      <c r="B119" s="42" t="s">
        <v>708</v>
      </c>
      <c r="C119" s="42" t="s">
        <v>737</v>
      </c>
      <c r="D119" s="42" t="s">
        <v>733</v>
      </c>
      <c r="E119" s="52" t="s">
        <v>15</v>
      </c>
      <c r="F119" s="52" t="s">
        <v>36</v>
      </c>
      <c r="G119" s="52" t="s">
        <v>310</v>
      </c>
      <c r="H119" s="52" t="s">
        <v>311</v>
      </c>
      <c r="I119" s="42" t="s">
        <v>354</v>
      </c>
      <c r="J119" s="42" t="s">
        <v>734</v>
      </c>
      <c r="K119" s="42" t="s">
        <v>735</v>
      </c>
      <c r="L119" s="42" t="s">
        <v>384</v>
      </c>
      <c r="M119" s="42" t="s">
        <v>358</v>
      </c>
      <c r="N119" s="42" t="s">
        <v>731</v>
      </c>
      <c r="O119" s="43" t="s">
        <v>393</v>
      </c>
      <c r="P119" s="42" t="s">
        <v>317</v>
      </c>
    </row>
    <row r="120" spans="1:16">
      <c r="A120" s="42" t="s">
        <v>360</v>
      </c>
      <c r="B120" s="42" t="s">
        <v>708</v>
      </c>
      <c r="C120" s="42" t="s">
        <v>738</v>
      </c>
      <c r="D120" s="42" t="s">
        <v>739</v>
      </c>
      <c r="E120" s="52" t="s">
        <v>15</v>
      </c>
      <c r="F120" s="52" t="s">
        <v>711</v>
      </c>
      <c r="G120" s="52" t="s">
        <v>310</v>
      </c>
      <c r="H120" s="52" t="s">
        <v>363</v>
      </c>
      <c r="I120" s="42" t="s">
        <v>364</v>
      </c>
      <c r="J120" s="42" t="s">
        <v>712</v>
      </c>
      <c r="K120" s="42" t="s">
        <v>713</v>
      </c>
      <c r="L120" s="42" t="s">
        <v>357</v>
      </c>
      <c r="M120" s="42" t="s">
        <v>358</v>
      </c>
      <c r="N120" s="42" t="s">
        <v>409</v>
      </c>
      <c r="O120" s="43" t="s">
        <v>379</v>
      </c>
      <c r="P120" s="42" t="s">
        <v>317</v>
      </c>
    </row>
    <row r="121" spans="1:16">
      <c r="A121" s="42" t="s">
        <v>305</v>
      </c>
      <c r="B121" s="42" t="s">
        <v>708</v>
      </c>
      <c r="C121" s="42" t="s">
        <v>740</v>
      </c>
      <c r="D121" s="42" t="s">
        <v>741</v>
      </c>
      <c r="E121" s="52" t="s">
        <v>15</v>
      </c>
      <c r="F121" s="52" t="s">
        <v>20</v>
      </c>
      <c r="G121" s="52" t="s">
        <v>310</v>
      </c>
      <c r="H121" s="52" t="s">
        <v>363</v>
      </c>
      <c r="I121" s="42" t="s">
        <v>364</v>
      </c>
      <c r="J121" s="42" t="s">
        <v>632</v>
      </c>
      <c r="K121" s="42" t="s">
        <v>632</v>
      </c>
      <c r="L121" s="42" t="s">
        <v>357</v>
      </c>
      <c r="M121" s="42" t="s">
        <v>358</v>
      </c>
      <c r="N121" s="42" t="s">
        <v>409</v>
      </c>
      <c r="O121" s="43" t="s">
        <v>393</v>
      </c>
      <c r="P121" s="42" t="s">
        <v>326</v>
      </c>
    </row>
    <row r="122" spans="1:16">
      <c r="A122" s="42" t="s">
        <v>330</v>
      </c>
      <c r="B122" s="42" t="s">
        <v>708</v>
      </c>
      <c r="C122" s="42" t="s">
        <v>742</v>
      </c>
      <c r="D122" s="42" t="s">
        <v>743</v>
      </c>
      <c r="E122" s="52" t="s">
        <v>15</v>
      </c>
      <c r="F122" s="52" t="s">
        <v>16</v>
      </c>
      <c r="G122" s="52" t="s">
        <v>310</v>
      </c>
      <c r="H122" s="52" t="s">
        <v>311</v>
      </c>
      <c r="I122" s="42" t="s">
        <v>305</v>
      </c>
      <c r="J122" s="42" t="s">
        <v>744</v>
      </c>
      <c r="K122" s="42" t="s">
        <v>745</v>
      </c>
      <c r="L122" s="42" t="s">
        <v>357</v>
      </c>
      <c r="M122" s="42" t="s">
        <v>746</v>
      </c>
      <c r="N122" s="42" t="s">
        <v>348</v>
      </c>
      <c r="O122" s="43" t="s">
        <v>393</v>
      </c>
      <c r="P122" s="42" t="s">
        <v>317</v>
      </c>
    </row>
    <row r="123" spans="1:16">
      <c r="A123" s="42" t="s">
        <v>342</v>
      </c>
      <c r="B123" s="42" t="s">
        <v>708</v>
      </c>
      <c r="C123" s="42" t="s">
        <v>747</v>
      </c>
      <c r="D123" s="42" t="s">
        <v>748</v>
      </c>
      <c r="E123" s="52" t="s">
        <v>15</v>
      </c>
      <c r="F123" s="52" t="s">
        <v>41</v>
      </c>
      <c r="G123" s="52" t="s">
        <v>310</v>
      </c>
      <c r="H123" s="52" t="s">
        <v>353</v>
      </c>
      <c r="I123" s="42" t="s">
        <v>354</v>
      </c>
      <c r="J123" s="42" t="s">
        <v>749</v>
      </c>
      <c r="K123" s="42" t="s">
        <v>731</v>
      </c>
      <c r="L123" s="42" t="s">
        <v>357</v>
      </c>
      <c r="M123" s="42" t="s">
        <v>750</v>
      </c>
      <c r="N123" s="42" t="s">
        <v>731</v>
      </c>
      <c r="O123" s="43" t="s">
        <v>393</v>
      </c>
      <c r="P123" s="42" t="s">
        <v>386</v>
      </c>
    </row>
    <row r="124" spans="1:16">
      <c r="A124" s="42" t="s">
        <v>345</v>
      </c>
      <c r="B124" s="42" t="s">
        <v>708</v>
      </c>
      <c r="C124" s="42" t="s">
        <v>751</v>
      </c>
      <c r="D124" s="42" t="s">
        <v>752</v>
      </c>
      <c r="E124" s="52" t="s">
        <v>15</v>
      </c>
      <c r="F124" s="52" t="s">
        <v>41</v>
      </c>
      <c r="G124" s="52" t="s">
        <v>310</v>
      </c>
      <c r="H124" s="52" t="s">
        <v>353</v>
      </c>
      <c r="I124" s="42" t="s">
        <v>354</v>
      </c>
      <c r="J124" s="42" t="s">
        <v>753</v>
      </c>
      <c r="K124" s="42" t="s">
        <v>754</v>
      </c>
      <c r="L124" s="42" t="s">
        <v>603</v>
      </c>
      <c r="M124" s="42" t="s">
        <v>755</v>
      </c>
      <c r="N124" s="42" t="s">
        <v>731</v>
      </c>
      <c r="O124" s="43" t="s">
        <v>393</v>
      </c>
      <c r="P124" s="42" t="s">
        <v>317</v>
      </c>
    </row>
    <row r="125" spans="1:16">
      <c r="A125" s="42" t="s">
        <v>371</v>
      </c>
      <c r="B125" s="42" t="s">
        <v>708</v>
      </c>
      <c r="C125" s="42" t="s">
        <v>756</v>
      </c>
      <c r="D125" s="42" t="s">
        <v>757</v>
      </c>
      <c r="E125" s="52" t="s">
        <v>15</v>
      </c>
      <c r="F125" s="52" t="s">
        <v>41</v>
      </c>
      <c r="G125" s="52" t="s">
        <v>310</v>
      </c>
      <c r="H125" s="52" t="s">
        <v>353</v>
      </c>
      <c r="I125" s="42" t="s">
        <v>354</v>
      </c>
      <c r="J125" s="42" t="s">
        <v>758</v>
      </c>
      <c r="K125" s="42" t="s">
        <v>754</v>
      </c>
      <c r="L125" s="42" t="s">
        <v>613</v>
      </c>
      <c r="M125" s="42" t="s">
        <v>614</v>
      </c>
      <c r="N125" s="42" t="s">
        <v>731</v>
      </c>
      <c r="O125" s="43" t="s">
        <v>393</v>
      </c>
      <c r="P125" s="42" t="s">
        <v>386</v>
      </c>
    </row>
    <row r="126" spans="1:16">
      <c r="A126" s="42" t="s">
        <v>380</v>
      </c>
      <c r="B126" s="42" t="s">
        <v>708</v>
      </c>
      <c r="C126" s="42" t="s">
        <v>759</v>
      </c>
      <c r="D126" s="42" t="s">
        <v>760</v>
      </c>
      <c r="E126" s="52" t="s">
        <v>15</v>
      </c>
      <c r="F126" s="52" t="s">
        <v>41</v>
      </c>
      <c r="G126" s="52" t="s">
        <v>310</v>
      </c>
      <c r="H126" s="52" t="s">
        <v>353</v>
      </c>
      <c r="I126" s="42" t="s">
        <v>354</v>
      </c>
      <c r="J126" s="42" t="s">
        <v>761</v>
      </c>
      <c r="K126" s="42" t="s">
        <v>762</v>
      </c>
      <c r="L126" s="42" t="s">
        <v>613</v>
      </c>
      <c r="M126" s="42" t="s">
        <v>763</v>
      </c>
      <c r="N126" s="42" t="s">
        <v>731</v>
      </c>
      <c r="O126" s="43" t="s">
        <v>393</v>
      </c>
      <c r="P126" s="42" t="s">
        <v>317</v>
      </c>
    </row>
    <row r="127" spans="1:16">
      <c r="A127" s="42" t="s">
        <v>445</v>
      </c>
      <c r="B127" s="42" t="s">
        <v>708</v>
      </c>
      <c r="C127" s="42" t="s">
        <v>307</v>
      </c>
      <c r="D127" s="42" t="s">
        <v>764</v>
      </c>
      <c r="E127" s="52" t="s">
        <v>15</v>
      </c>
      <c r="F127" s="52" t="s">
        <v>41</v>
      </c>
      <c r="G127" s="52" t="s">
        <v>310</v>
      </c>
      <c r="H127" s="52" t="s">
        <v>353</v>
      </c>
      <c r="I127" s="42" t="s">
        <v>354</v>
      </c>
      <c r="J127" s="42" t="s">
        <v>765</v>
      </c>
      <c r="K127" s="42" t="s">
        <v>766</v>
      </c>
      <c r="L127" s="42" t="s">
        <v>613</v>
      </c>
      <c r="M127" s="42" t="s">
        <v>767</v>
      </c>
      <c r="N127" s="42" t="s">
        <v>731</v>
      </c>
      <c r="O127" s="43" t="s">
        <v>370</v>
      </c>
      <c r="P127" s="42" t="s">
        <v>317</v>
      </c>
    </row>
    <row r="128" spans="1:16">
      <c r="A128" s="42" t="s">
        <v>452</v>
      </c>
      <c r="B128" s="42" t="s">
        <v>708</v>
      </c>
      <c r="C128" s="42" t="s">
        <v>768</v>
      </c>
      <c r="D128" s="42" t="s">
        <v>769</v>
      </c>
      <c r="E128" s="52" t="s">
        <v>15</v>
      </c>
      <c r="F128" s="52" t="s">
        <v>16</v>
      </c>
      <c r="G128" s="52" t="s">
        <v>310</v>
      </c>
      <c r="H128" s="52" t="s">
        <v>311</v>
      </c>
      <c r="I128" s="42" t="s">
        <v>305</v>
      </c>
      <c r="J128" s="42" t="s">
        <v>770</v>
      </c>
      <c r="K128" s="42" t="s">
        <v>771</v>
      </c>
      <c r="L128" s="42" t="s">
        <v>603</v>
      </c>
      <c r="M128" s="42" t="s">
        <v>604</v>
      </c>
      <c r="N128" s="42" t="s">
        <v>348</v>
      </c>
      <c r="O128" s="43" t="s">
        <v>393</v>
      </c>
      <c r="P128" s="42" t="s">
        <v>317</v>
      </c>
    </row>
    <row r="129" spans="1:16">
      <c r="A129" s="42" t="s">
        <v>455</v>
      </c>
      <c r="B129" s="42" t="s">
        <v>708</v>
      </c>
      <c r="C129" s="42" t="s">
        <v>772</v>
      </c>
      <c r="D129" s="42" t="s">
        <v>773</v>
      </c>
      <c r="E129" s="52" t="s">
        <v>15</v>
      </c>
      <c r="F129" s="52" t="s">
        <v>16</v>
      </c>
      <c r="G129" s="52" t="s">
        <v>310</v>
      </c>
      <c r="H129" s="52" t="s">
        <v>311</v>
      </c>
      <c r="I129" s="42" t="s">
        <v>305</v>
      </c>
      <c r="J129" s="42" t="s">
        <v>770</v>
      </c>
      <c r="K129" s="42" t="s">
        <v>771</v>
      </c>
      <c r="L129" s="42" t="s">
        <v>603</v>
      </c>
      <c r="M129" s="42" t="s">
        <v>604</v>
      </c>
      <c r="N129" s="42" t="s">
        <v>348</v>
      </c>
      <c r="O129" s="43" t="s">
        <v>393</v>
      </c>
      <c r="P129" s="42" t="s">
        <v>317</v>
      </c>
    </row>
    <row r="130" spans="1:16">
      <c r="A130" s="42" t="s">
        <v>458</v>
      </c>
      <c r="B130" s="42" t="s">
        <v>708</v>
      </c>
      <c r="C130" s="42" t="s">
        <v>774</v>
      </c>
      <c r="D130" s="42" t="s">
        <v>775</v>
      </c>
      <c r="E130" s="52" t="s">
        <v>15</v>
      </c>
      <c r="F130" s="52" t="s">
        <v>16</v>
      </c>
      <c r="G130" s="52" t="s">
        <v>310</v>
      </c>
      <c r="H130" s="52" t="s">
        <v>311</v>
      </c>
      <c r="I130" s="42" t="s">
        <v>305</v>
      </c>
      <c r="J130" s="42" t="s">
        <v>770</v>
      </c>
      <c r="K130" s="42" t="s">
        <v>771</v>
      </c>
      <c r="L130" s="42" t="s">
        <v>603</v>
      </c>
      <c r="M130" s="42" t="s">
        <v>604</v>
      </c>
      <c r="N130" s="42" t="s">
        <v>348</v>
      </c>
      <c r="O130" s="43" t="s">
        <v>393</v>
      </c>
      <c r="P130" s="42" t="s">
        <v>317</v>
      </c>
    </row>
    <row r="131" spans="1:16">
      <c r="A131" s="42" t="s">
        <v>462</v>
      </c>
      <c r="B131" s="42" t="s">
        <v>708</v>
      </c>
      <c r="C131" s="42" t="s">
        <v>776</v>
      </c>
      <c r="D131" s="42" t="s">
        <v>777</v>
      </c>
      <c r="E131" s="52" t="s">
        <v>15</v>
      </c>
      <c r="F131" s="52" t="s">
        <v>16</v>
      </c>
      <c r="G131" s="52" t="s">
        <v>310</v>
      </c>
      <c r="H131" s="52" t="s">
        <v>363</v>
      </c>
      <c r="I131" s="42" t="s">
        <v>364</v>
      </c>
      <c r="J131" s="42" t="s">
        <v>770</v>
      </c>
      <c r="K131" s="42" t="s">
        <v>771</v>
      </c>
      <c r="L131" s="42" t="s">
        <v>603</v>
      </c>
      <c r="M131" s="42" t="s">
        <v>604</v>
      </c>
      <c r="N131" s="42" t="s">
        <v>409</v>
      </c>
      <c r="O131" s="43" t="s">
        <v>393</v>
      </c>
      <c r="P131" s="42" t="s">
        <v>317</v>
      </c>
    </row>
    <row r="132" spans="1:16">
      <c r="A132" s="42" t="s">
        <v>465</v>
      </c>
      <c r="B132" s="42" t="s">
        <v>708</v>
      </c>
      <c r="C132" s="42" t="s">
        <v>778</v>
      </c>
      <c r="D132" s="42" t="s">
        <v>779</v>
      </c>
      <c r="E132" s="52" t="s">
        <v>15</v>
      </c>
      <c r="F132" s="52" t="s">
        <v>16</v>
      </c>
      <c r="G132" s="52" t="s">
        <v>310</v>
      </c>
      <c r="H132" s="52" t="s">
        <v>311</v>
      </c>
      <c r="I132" s="42" t="s">
        <v>305</v>
      </c>
      <c r="J132" s="42" t="s">
        <v>770</v>
      </c>
      <c r="K132" s="42" t="s">
        <v>771</v>
      </c>
      <c r="L132" s="42" t="s">
        <v>603</v>
      </c>
      <c r="M132" s="42" t="s">
        <v>604</v>
      </c>
      <c r="N132" s="42" t="s">
        <v>348</v>
      </c>
      <c r="O132" s="43" t="s">
        <v>393</v>
      </c>
      <c r="P132" s="42" t="s">
        <v>317</v>
      </c>
    </row>
    <row r="133" spans="1:16">
      <c r="A133" s="42" t="s">
        <v>468</v>
      </c>
      <c r="B133" s="42" t="s">
        <v>708</v>
      </c>
      <c r="C133" s="42" t="s">
        <v>780</v>
      </c>
      <c r="D133" s="42" t="s">
        <v>779</v>
      </c>
      <c r="E133" s="52" t="s">
        <v>15</v>
      </c>
      <c r="F133" s="52" t="s">
        <v>16</v>
      </c>
      <c r="G133" s="52" t="s">
        <v>310</v>
      </c>
      <c r="H133" s="52" t="s">
        <v>311</v>
      </c>
      <c r="I133" s="42" t="s">
        <v>305</v>
      </c>
      <c r="J133" s="42" t="s">
        <v>770</v>
      </c>
      <c r="K133" s="42" t="s">
        <v>771</v>
      </c>
      <c r="L133" s="42" t="s">
        <v>603</v>
      </c>
      <c r="M133" s="42" t="s">
        <v>604</v>
      </c>
      <c r="N133" s="42" t="s">
        <v>348</v>
      </c>
      <c r="O133" s="43" t="s">
        <v>393</v>
      </c>
      <c r="P133" s="42" t="s">
        <v>317</v>
      </c>
    </row>
    <row r="134" spans="1:16">
      <c r="A134" s="42" t="s">
        <v>502</v>
      </c>
      <c r="B134" s="42" t="s">
        <v>708</v>
      </c>
      <c r="C134" s="42" t="s">
        <v>781</v>
      </c>
      <c r="D134" s="42" t="s">
        <v>782</v>
      </c>
      <c r="E134" s="52" t="s">
        <v>15</v>
      </c>
      <c r="F134" s="52" t="s">
        <v>41</v>
      </c>
      <c r="G134" s="52" t="s">
        <v>310</v>
      </c>
      <c r="H134" s="52" t="s">
        <v>353</v>
      </c>
      <c r="I134" s="42" t="s">
        <v>354</v>
      </c>
      <c r="J134" s="42" t="s">
        <v>783</v>
      </c>
      <c r="K134" s="42" t="s">
        <v>754</v>
      </c>
      <c r="L134" s="42" t="s">
        <v>613</v>
      </c>
      <c r="M134" s="42" t="s">
        <v>784</v>
      </c>
      <c r="N134" s="42" t="s">
        <v>731</v>
      </c>
      <c r="O134" s="43" t="s">
        <v>393</v>
      </c>
      <c r="P134" s="42" t="s">
        <v>317</v>
      </c>
    </row>
    <row r="135" spans="1:16">
      <c r="A135" s="42" t="s">
        <v>505</v>
      </c>
      <c r="B135" s="42" t="s">
        <v>708</v>
      </c>
      <c r="C135" s="42" t="s">
        <v>785</v>
      </c>
      <c r="D135" s="42" t="s">
        <v>786</v>
      </c>
      <c r="E135" s="52" t="s">
        <v>15</v>
      </c>
      <c r="F135" s="52" t="s">
        <v>41</v>
      </c>
      <c r="G135" s="52" t="s">
        <v>310</v>
      </c>
      <c r="H135" s="52" t="s">
        <v>353</v>
      </c>
      <c r="I135" s="42" t="s">
        <v>354</v>
      </c>
      <c r="J135" s="42" t="s">
        <v>783</v>
      </c>
      <c r="K135" s="42" t="s">
        <v>754</v>
      </c>
      <c r="L135" s="42" t="s">
        <v>613</v>
      </c>
      <c r="M135" s="42" t="s">
        <v>784</v>
      </c>
      <c r="N135" s="42" t="s">
        <v>731</v>
      </c>
      <c r="O135" s="43" t="s">
        <v>393</v>
      </c>
      <c r="P135" s="42" t="s">
        <v>317</v>
      </c>
    </row>
    <row r="136" spans="1:16">
      <c r="A136" s="42" t="s">
        <v>519</v>
      </c>
      <c r="B136" s="42" t="s">
        <v>708</v>
      </c>
      <c r="C136" s="42" t="s">
        <v>787</v>
      </c>
      <c r="D136" s="42" t="s">
        <v>788</v>
      </c>
      <c r="E136" s="52" t="s">
        <v>15</v>
      </c>
      <c r="F136" s="52" t="s">
        <v>41</v>
      </c>
      <c r="G136" s="52" t="s">
        <v>310</v>
      </c>
      <c r="H136" s="52" t="s">
        <v>311</v>
      </c>
      <c r="I136" s="42" t="s">
        <v>305</v>
      </c>
      <c r="J136" s="42" t="s">
        <v>783</v>
      </c>
      <c r="K136" s="42" t="s">
        <v>754</v>
      </c>
      <c r="L136" s="42" t="s">
        <v>613</v>
      </c>
      <c r="M136" s="42" t="s">
        <v>763</v>
      </c>
      <c r="N136" s="42" t="s">
        <v>348</v>
      </c>
      <c r="O136" s="43" t="s">
        <v>393</v>
      </c>
      <c r="P136" s="42" t="s">
        <v>317</v>
      </c>
    </row>
    <row r="137" spans="1:16">
      <c r="A137" s="42" t="s">
        <v>524</v>
      </c>
      <c r="B137" s="42" t="s">
        <v>708</v>
      </c>
      <c r="C137" s="42" t="s">
        <v>789</v>
      </c>
      <c r="D137" s="42" t="s">
        <v>790</v>
      </c>
      <c r="E137" s="52" t="s">
        <v>15</v>
      </c>
      <c r="F137" s="52" t="s">
        <v>41</v>
      </c>
      <c r="G137" s="52" t="s">
        <v>310</v>
      </c>
      <c r="H137" s="52" t="s">
        <v>311</v>
      </c>
      <c r="I137" s="42" t="s">
        <v>305</v>
      </c>
      <c r="J137" s="42" t="s">
        <v>783</v>
      </c>
      <c r="K137" s="42" t="s">
        <v>754</v>
      </c>
      <c r="L137" s="42" t="s">
        <v>613</v>
      </c>
      <c r="M137" s="42" t="s">
        <v>763</v>
      </c>
      <c r="N137" s="42" t="s">
        <v>348</v>
      </c>
      <c r="O137" s="43" t="s">
        <v>393</v>
      </c>
      <c r="P137" s="42" t="s">
        <v>317</v>
      </c>
    </row>
    <row r="138" spans="1:16">
      <c r="A138" s="42" t="s">
        <v>540</v>
      </c>
      <c r="B138" s="42" t="s">
        <v>708</v>
      </c>
      <c r="C138" s="42" t="s">
        <v>791</v>
      </c>
      <c r="D138" s="42" t="s">
        <v>792</v>
      </c>
      <c r="E138" s="52" t="s">
        <v>15</v>
      </c>
      <c r="F138" s="52" t="s">
        <v>41</v>
      </c>
      <c r="G138" s="52" t="s">
        <v>310</v>
      </c>
      <c r="H138" s="52" t="s">
        <v>311</v>
      </c>
      <c r="I138" s="42" t="s">
        <v>305</v>
      </c>
      <c r="J138" s="42" t="s">
        <v>793</v>
      </c>
      <c r="K138" s="42" t="s">
        <v>794</v>
      </c>
      <c r="L138" s="42" t="s">
        <v>603</v>
      </c>
      <c r="M138" s="42" t="s">
        <v>795</v>
      </c>
      <c r="N138" s="42" t="s">
        <v>348</v>
      </c>
      <c r="O138" s="43" t="s">
        <v>393</v>
      </c>
      <c r="P138" s="42" t="s">
        <v>386</v>
      </c>
    </row>
    <row r="139" spans="1:16">
      <c r="A139" s="42" t="s">
        <v>532</v>
      </c>
      <c r="B139" s="42" t="s">
        <v>708</v>
      </c>
      <c r="C139" s="42" t="s">
        <v>381</v>
      </c>
      <c r="D139" s="42" t="s">
        <v>796</v>
      </c>
      <c r="E139" s="52" t="s">
        <v>15</v>
      </c>
      <c r="F139" s="52" t="s">
        <v>41</v>
      </c>
      <c r="G139" s="52" t="s">
        <v>310</v>
      </c>
      <c r="H139" s="52" t="s">
        <v>311</v>
      </c>
      <c r="I139" s="42" t="s">
        <v>305</v>
      </c>
      <c r="J139" s="42" t="s">
        <v>762</v>
      </c>
      <c r="K139" s="42" t="s">
        <v>762</v>
      </c>
      <c r="L139" s="42" t="s">
        <v>613</v>
      </c>
      <c r="M139" s="42" t="s">
        <v>797</v>
      </c>
      <c r="N139" s="42" t="s">
        <v>348</v>
      </c>
      <c r="O139" s="43" t="s">
        <v>385</v>
      </c>
      <c r="P139" s="42" t="s">
        <v>386</v>
      </c>
    </row>
    <row r="140" spans="1:16">
      <c r="A140" s="42" t="s">
        <v>553</v>
      </c>
      <c r="B140" s="42" t="s">
        <v>708</v>
      </c>
      <c r="C140" s="42" t="s">
        <v>381</v>
      </c>
      <c r="D140" s="42" t="s">
        <v>798</v>
      </c>
      <c r="E140" s="52" t="s">
        <v>15</v>
      </c>
      <c r="F140" s="52" t="s">
        <v>41</v>
      </c>
      <c r="G140" s="52" t="s">
        <v>310</v>
      </c>
      <c r="H140" s="52" t="s">
        <v>311</v>
      </c>
      <c r="I140" s="42" t="s">
        <v>305</v>
      </c>
      <c r="J140" s="42" t="s">
        <v>632</v>
      </c>
      <c r="K140" s="42" t="s">
        <v>632</v>
      </c>
      <c r="L140" s="42" t="s">
        <v>603</v>
      </c>
      <c r="M140" s="42" t="s">
        <v>799</v>
      </c>
      <c r="N140" s="42" t="s">
        <v>348</v>
      </c>
      <c r="O140" s="43" t="s">
        <v>385</v>
      </c>
      <c r="P140" s="42" t="s">
        <v>386</v>
      </c>
    </row>
    <row r="141" spans="1:16">
      <c r="A141" s="42" t="s">
        <v>559</v>
      </c>
      <c r="B141" s="42" t="s">
        <v>708</v>
      </c>
      <c r="C141" s="42" t="s">
        <v>381</v>
      </c>
      <c r="D141" s="42" t="s">
        <v>800</v>
      </c>
      <c r="E141" s="52" t="s">
        <v>15</v>
      </c>
      <c r="F141" s="52" t="s">
        <v>16</v>
      </c>
      <c r="G141" s="52" t="s">
        <v>310</v>
      </c>
      <c r="H141" s="52" t="s">
        <v>311</v>
      </c>
      <c r="I141" s="42" t="s">
        <v>305</v>
      </c>
      <c r="J141" s="42" t="s">
        <v>398</v>
      </c>
      <c r="K141" s="42" t="s">
        <v>398</v>
      </c>
      <c r="L141" s="42" t="s">
        <v>357</v>
      </c>
      <c r="M141" s="42" t="s">
        <v>746</v>
      </c>
      <c r="N141" s="42" t="s">
        <v>348</v>
      </c>
      <c r="O141" s="43" t="s">
        <v>385</v>
      </c>
      <c r="P141" s="42" t="s">
        <v>386</v>
      </c>
    </row>
    <row r="142" spans="1:16">
      <c r="A142" s="42" t="s">
        <v>562</v>
      </c>
      <c r="B142" s="42" t="s">
        <v>708</v>
      </c>
      <c r="C142" s="42" t="s">
        <v>381</v>
      </c>
      <c r="D142" s="42" t="s">
        <v>801</v>
      </c>
      <c r="E142" s="52" t="s">
        <v>15</v>
      </c>
      <c r="F142" s="52" t="s">
        <v>41</v>
      </c>
      <c r="G142" s="52" t="s">
        <v>310</v>
      </c>
      <c r="H142" s="52" t="s">
        <v>353</v>
      </c>
      <c r="I142" s="42" t="s">
        <v>354</v>
      </c>
      <c r="J142" s="42" t="s">
        <v>754</v>
      </c>
      <c r="K142" s="42" t="s">
        <v>754</v>
      </c>
      <c r="L142" s="42" t="s">
        <v>613</v>
      </c>
      <c r="M142" s="42" t="s">
        <v>614</v>
      </c>
      <c r="N142" s="42" t="s">
        <v>731</v>
      </c>
      <c r="O142" s="43" t="s">
        <v>385</v>
      </c>
      <c r="P142" s="42" t="s">
        <v>386</v>
      </c>
    </row>
    <row r="143" spans="1:16">
      <c r="A143" s="42" t="s">
        <v>569</v>
      </c>
      <c r="B143" s="42" t="s">
        <v>708</v>
      </c>
      <c r="C143" s="42" t="s">
        <v>802</v>
      </c>
      <c r="D143" s="42" t="s">
        <v>803</v>
      </c>
      <c r="E143" s="52" t="s">
        <v>15</v>
      </c>
      <c r="F143" s="52" t="s">
        <v>41</v>
      </c>
      <c r="G143" s="52" t="s">
        <v>310</v>
      </c>
      <c r="H143" s="52" t="s">
        <v>311</v>
      </c>
      <c r="I143" s="42" t="s">
        <v>305</v>
      </c>
      <c r="J143" s="42" t="s">
        <v>804</v>
      </c>
      <c r="K143" s="42" t="s">
        <v>612</v>
      </c>
      <c r="L143" s="42" t="s">
        <v>613</v>
      </c>
      <c r="M143" s="42" t="s">
        <v>784</v>
      </c>
      <c r="N143" s="42" t="s">
        <v>348</v>
      </c>
      <c r="O143" s="43" t="s">
        <v>393</v>
      </c>
      <c r="P143" s="42" t="s">
        <v>386</v>
      </c>
    </row>
    <row r="144" spans="1:16" ht="39.6">
      <c r="A144" s="42" t="s">
        <v>580</v>
      </c>
      <c r="B144" s="42" t="s">
        <v>708</v>
      </c>
      <c r="C144" s="42" t="s">
        <v>805</v>
      </c>
      <c r="D144" s="42" t="s">
        <v>806</v>
      </c>
      <c r="E144" s="52" t="s">
        <v>15</v>
      </c>
      <c r="F144" s="52" t="s">
        <v>43</v>
      </c>
      <c r="G144" s="52" t="s">
        <v>310</v>
      </c>
      <c r="H144" s="52" t="s">
        <v>311</v>
      </c>
      <c r="I144" s="42" t="s">
        <v>305</v>
      </c>
      <c r="J144" s="42" t="s">
        <v>807</v>
      </c>
      <c r="K144" s="42" t="s">
        <v>403</v>
      </c>
      <c r="L144" s="42" t="s">
        <v>357</v>
      </c>
      <c r="M144" s="42" t="s">
        <v>358</v>
      </c>
      <c r="N144" s="42" t="s">
        <v>348</v>
      </c>
      <c r="O144" s="43" t="s">
        <v>808</v>
      </c>
      <c r="P144" s="42" t="s">
        <v>386</v>
      </c>
    </row>
    <row r="145" spans="1:16" ht="39.6">
      <c r="A145" s="42" t="s">
        <v>583</v>
      </c>
      <c r="B145" s="42" t="s">
        <v>708</v>
      </c>
      <c r="C145" s="42" t="s">
        <v>809</v>
      </c>
      <c r="D145" s="42" t="s">
        <v>810</v>
      </c>
      <c r="E145" s="52" t="s">
        <v>15</v>
      </c>
      <c r="F145" s="52" t="s">
        <v>43</v>
      </c>
      <c r="G145" s="52" t="s">
        <v>310</v>
      </c>
      <c r="H145" s="52" t="s">
        <v>311</v>
      </c>
      <c r="I145" s="42" t="s">
        <v>305</v>
      </c>
      <c r="J145" s="42" t="s">
        <v>811</v>
      </c>
      <c r="K145" s="42" t="s">
        <v>731</v>
      </c>
      <c r="L145" s="42" t="s">
        <v>357</v>
      </c>
      <c r="M145" s="42" t="s">
        <v>358</v>
      </c>
      <c r="N145" s="42" t="s">
        <v>348</v>
      </c>
      <c r="O145" s="43" t="s">
        <v>808</v>
      </c>
      <c r="P145" s="42" t="s">
        <v>386</v>
      </c>
    </row>
    <row r="146" spans="1:16" ht="39.6">
      <c r="A146" s="42" t="s">
        <v>590</v>
      </c>
      <c r="B146" s="42" t="s">
        <v>708</v>
      </c>
      <c r="C146" s="42" t="s">
        <v>812</v>
      </c>
      <c r="D146" s="42" t="s">
        <v>813</v>
      </c>
      <c r="E146" s="52" t="s">
        <v>15</v>
      </c>
      <c r="F146" s="52" t="s">
        <v>43</v>
      </c>
      <c r="G146" s="52" t="s">
        <v>310</v>
      </c>
      <c r="H146" s="52" t="s">
        <v>311</v>
      </c>
      <c r="I146" s="42" t="s">
        <v>305</v>
      </c>
      <c r="J146" s="42" t="s">
        <v>814</v>
      </c>
      <c r="K146" s="42" t="s">
        <v>731</v>
      </c>
      <c r="L146" s="42" t="s">
        <v>357</v>
      </c>
      <c r="M146" s="42" t="s">
        <v>358</v>
      </c>
      <c r="N146" s="42" t="s">
        <v>348</v>
      </c>
      <c r="O146" s="43" t="s">
        <v>808</v>
      </c>
      <c r="P146" s="42" t="s">
        <v>386</v>
      </c>
    </row>
    <row r="147" spans="1:16" ht="39.6">
      <c r="A147" s="42" t="s">
        <v>598</v>
      </c>
      <c r="B147" s="42" t="s">
        <v>708</v>
      </c>
      <c r="C147" s="42" t="s">
        <v>815</v>
      </c>
      <c r="D147" s="42" t="s">
        <v>816</v>
      </c>
      <c r="E147" s="52" t="s">
        <v>15</v>
      </c>
      <c r="F147" s="52" t="s">
        <v>43</v>
      </c>
      <c r="G147" s="52" t="s">
        <v>310</v>
      </c>
      <c r="H147" s="52" t="s">
        <v>311</v>
      </c>
      <c r="I147" s="42" t="s">
        <v>305</v>
      </c>
      <c r="J147" s="42" t="s">
        <v>817</v>
      </c>
      <c r="K147" s="42" t="s">
        <v>731</v>
      </c>
      <c r="L147" s="42" t="s">
        <v>357</v>
      </c>
      <c r="M147" s="42" t="s">
        <v>358</v>
      </c>
      <c r="N147" s="42" t="s">
        <v>348</v>
      </c>
      <c r="O147" s="43" t="s">
        <v>808</v>
      </c>
      <c r="P147" s="42" t="s">
        <v>386</v>
      </c>
    </row>
    <row r="148" spans="1:16" ht="39.6">
      <c r="A148" s="42" t="s">
        <v>615</v>
      </c>
      <c r="B148" s="42" t="s">
        <v>708</v>
      </c>
      <c r="C148" s="42" t="s">
        <v>818</v>
      </c>
      <c r="D148" s="42" t="s">
        <v>819</v>
      </c>
      <c r="E148" s="52" t="s">
        <v>15</v>
      </c>
      <c r="F148" s="52" t="s">
        <v>43</v>
      </c>
      <c r="G148" s="52" t="s">
        <v>310</v>
      </c>
      <c r="H148" s="52" t="s">
        <v>311</v>
      </c>
      <c r="I148" s="42" t="s">
        <v>305</v>
      </c>
      <c r="J148" s="42" t="s">
        <v>820</v>
      </c>
      <c r="K148" s="42" t="s">
        <v>403</v>
      </c>
      <c r="L148" s="42" t="s">
        <v>357</v>
      </c>
      <c r="M148" s="42" t="s">
        <v>358</v>
      </c>
      <c r="N148" s="42" t="s">
        <v>348</v>
      </c>
      <c r="O148" s="43" t="s">
        <v>808</v>
      </c>
      <c r="P148" s="42" t="s">
        <v>386</v>
      </c>
    </row>
    <row r="149" spans="1:16" ht="39.6">
      <c r="A149" s="42" t="s">
        <v>618</v>
      </c>
      <c r="B149" s="42" t="s">
        <v>708</v>
      </c>
      <c r="C149" s="42" t="s">
        <v>821</v>
      </c>
      <c r="D149" s="42" t="s">
        <v>822</v>
      </c>
      <c r="E149" s="52" t="s">
        <v>15</v>
      </c>
      <c r="F149" s="52" t="s">
        <v>43</v>
      </c>
      <c r="G149" s="52" t="s">
        <v>310</v>
      </c>
      <c r="H149" s="52" t="s">
        <v>311</v>
      </c>
      <c r="I149" s="42" t="s">
        <v>305</v>
      </c>
      <c r="J149" s="42" t="s">
        <v>823</v>
      </c>
      <c r="K149" s="42" t="s">
        <v>731</v>
      </c>
      <c r="L149" s="42" t="s">
        <v>357</v>
      </c>
      <c r="M149" s="42" t="s">
        <v>358</v>
      </c>
      <c r="N149" s="42" t="s">
        <v>348</v>
      </c>
      <c r="O149" s="43" t="s">
        <v>808</v>
      </c>
      <c r="P149" s="42" t="s">
        <v>386</v>
      </c>
    </row>
    <row r="150" spans="1:16" ht="39.6">
      <c r="A150" s="42" t="s">
        <v>633</v>
      </c>
      <c r="B150" s="42" t="s">
        <v>708</v>
      </c>
      <c r="C150" s="42" t="s">
        <v>824</v>
      </c>
      <c r="D150" s="42" t="s">
        <v>825</v>
      </c>
      <c r="E150" s="52" t="s">
        <v>15</v>
      </c>
      <c r="F150" s="52" t="s">
        <v>43</v>
      </c>
      <c r="G150" s="52" t="s">
        <v>310</v>
      </c>
      <c r="H150" s="52" t="s">
        <v>311</v>
      </c>
      <c r="I150" s="42" t="s">
        <v>305</v>
      </c>
      <c r="J150" s="42" t="s">
        <v>814</v>
      </c>
      <c r="K150" s="42" t="s">
        <v>731</v>
      </c>
      <c r="L150" s="42" t="s">
        <v>357</v>
      </c>
      <c r="M150" s="42" t="s">
        <v>358</v>
      </c>
      <c r="N150" s="42" t="s">
        <v>348</v>
      </c>
      <c r="O150" s="43" t="s">
        <v>808</v>
      </c>
      <c r="P150" s="42" t="s">
        <v>386</v>
      </c>
    </row>
    <row r="151" spans="1:16" ht="39.6">
      <c r="A151" s="42" t="s">
        <v>641</v>
      </c>
      <c r="B151" s="42" t="s">
        <v>708</v>
      </c>
      <c r="C151" s="42" t="s">
        <v>826</v>
      </c>
      <c r="D151" s="42" t="s">
        <v>827</v>
      </c>
      <c r="E151" s="52" t="s">
        <v>15</v>
      </c>
      <c r="F151" s="52" t="s">
        <v>43</v>
      </c>
      <c r="G151" s="52" t="s">
        <v>310</v>
      </c>
      <c r="H151" s="52" t="s">
        <v>311</v>
      </c>
      <c r="I151" s="42" t="s">
        <v>305</v>
      </c>
      <c r="J151" s="42" t="s">
        <v>828</v>
      </c>
      <c r="K151" s="42" t="s">
        <v>731</v>
      </c>
      <c r="L151" s="42" t="s">
        <v>357</v>
      </c>
      <c r="M151" s="42" t="s">
        <v>358</v>
      </c>
      <c r="N151" s="42" t="s">
        <v>348</v>
      </c>
      <c r="O151" s="43" t="s">
        <v>808</v>
      </c>
      <c r="P151" s="42" t="s">
        <v>386</v>
      </c>
    </row>
    <row r="152" spans="1:16">
      <c r="A152" s="42" t="s">
        <v>656</v>
      </c>
      <c r="B152" s="42" t="s">
        <v>708</v>
      </c>
      <c r="C152" s="42" t="s">
        <v>829</v>
      </c>
      <c r="D152" s="42" t="s">
        <v>830</v>
      </c>
      <c r="E152" s="52" t="s">
        <v>15</v>
      </c>
      <c r="F152" s="52" t="s">
        <v>41</v>
      </c>
      <c r="G152" s="52" t="s">
        <v>310</v>
      </c>
      <c r="H152" s="52" t="s">
        <v>353</v>
      </c>
      <c r="I152" s="42" t="s">
        <v>354</v>
      </c>
      <c r="J152" s="42" t="s">
        <v>831</v>
      </c>
      <c r="K152" s="42" t="s">
        <v>831</v>
      </c>
      <c r="L152" s="42" t="s">
        <v>613</v>
      </c>
      <c r="M152" s="42" t="s">
        <v>832</v>
      </c>
      <c r="N152" s="42" t="s">
        <v>731</v>
      </c>
      <c r="O152" s="43" t="s">
        <v>393</v>
      </c>
      <c r="P152" s="42" t="s">
        <v>326</v>
      </c>
    </row>
    <row r="153" spans="1:16">
      <c r="A153" s="42" t="s">
        <v>670</v>
      </c>
      <c r="B153" s="42" t="s">
        <v>708</v>
      </c>
      <c r="C153" s="42" t="s">
        <v>833</v>
      </c>
      <c r="D153" s="42" t="s">
        <v>834</v>
      </c>
      <c r="E153" s="52" t="s">
        <v>15</v>
      </c>
      <c r="F153" s="52" t="s">
        <v>16</v>
      </c>
      <c r="G153" s="52" t="s">
        <v>310</v>
      </c>
      <c r="H153" s="52" t="s">
        <v>311</v>
      </c>
      <c r="I153" s="42" t="s">
        <v>305</v>
      </c>
      <c r="J153" s="42" t="s">
        <v>835</v>
      </c>
      <c r="K153" s="42" t="s">
        <v>391</v>
      </c>
      <c r="L153" s="42" t="s">
        <v>357</v>
      </c>
      <c r="M153" s="42" t="s">
        <v>746</v>
      </c>
      <c r="N153" s="42" t="s">
        <v>348</v>
      </c>
      <c r="O153" s="43" t="s">
        <v>393</v>
      </c>
      <c r="P153" s="42" t="s">
        <v>386</v>
      </c>
    </row>
    <row r="154" spans="1:16">
      <c r="A154" s="42" t="s">
        <v>676</v>
      </c>
      <c r="B154" s="42" t="s">
        <v>708</v>
      </c>
      <c r="C154" s="42" t="s">
        <v>836</v>
      </c>
      <c r="D154" s="42" t="s">
        <v>837</v>
      </c>
      <c r="E154" s="52" t="s">
        <v>15</v>
      </c>
      <c r="F154" s="52" t="s">
        <v>20</v>
      </c>
      <c r="G154" s="52" t="s">
        <v>310</v>
      </c>
      <c r="H154" s="52" t="s">
        <v>311</v>
      </c>
      <c r="I154" s="42" t="s">
        <v>305</v>
      </c>
      <c r="J154" s="42" t="s">
        <v>838</v>
      </c>
      <c r="K154" s="42" t="s">
        <v>409</v>
      </c>
      <c r="L154" s="42" t="s">
        <v>357</v>
      </c>
      <c r="M154" s="42" t="s">
        <v>358</v>
      </c>
      <c r="N154" s="42" t="s">
        <v>348</v>
      </c>
      <c r="O154" s="43" t="s">
        <v>393</v>
      </c>
      <c r="P154" s="42" t="s">
        <v>386</v>
      </c>
    </row>
    <row r="155" spans="1:16">
      <c r="A155" s="42" t="s">
        <v>685</v>
      </c>
      <c r="B155" s="42" t="s">
        <v>708</v>
      </c>
      <c r="C155" s="42" t="s">
        <v>839</v>
      </c>
      <c r="D155" s="42" t="s">
        <v>840</v>
      </c>
      <c r="E155" s="52" t="s">
        <v>15</v>
      </c>
      <c r="F155" s="52" t="s">
        <v>20</v>
      </c>
      <c r="G155" s="52" t="s">
        <v>310</v>
      </c>
      <c r="H155" s="52" t="s">
        <v>353</v>
      </c>
      <c r="I155" s="42" t="s">
        <v>354</v>
      </c>
      <c r="J155" s="42" t="s">
        <v>841</v>
      </c>
      <c r="K155" s="42" t="s">
        <v>766</v>
      </c>
      <c r="L155" s="42" t="s">
        <v>357</v>
      </c>
      <c r="M155" s="42" t="s">
        <v>358</v>
      </c>
      <c r="N155" s="42" t="s">
        <v>731</v>
      </c>
      <c r="O155" s="43" t="s">
        <v>393</v>
      </c>
      <c r="P155" s="42" t="s">
        <v>386</v>
      </c>
    </row>
    <row r="156" spans="1:16">
      <c r="A156" s="42" t="s">
        <v>693</v>
      </c>
      <c r="B156" s="42" t="s">
        <v>708</v>
      </c>
      <c r="C156" s="42" t="s">
        <v>842</v>
      </c>
      <c r="D156" s="42" t="s">
        <v>843</v>
      </c>
      <c r="E156" s="52" t="s">
        <v>15</v>
      </c>
      <c r="F156" s="52" t="s">
        <v>20</v>
      </c>
      <c r="G156" s="52" t="s">
        <v>310</v>
      </c>
      <c r="H156" s="52" t="s">
        <v>353</v>
      </c>
      <c r="I156" s="42" t="s">
        <v>354</v>
      </c>
      <c r="J156" s="42" t="s">
        <v>844</v>
      </c>
      <c r="K156" s="42" t="s">
        <v>766</v>
      </c>
      <c r="L156" s="42" t="s">
        <v>357</v>
      </c>
      <c r="M156" s="42" t="s">
        <v>358</v>
      </c>
      <c r="N156" s="42" t="s">
        <v>731</v>
      </c>
      <c r="O156" s="43" t="s">
        <v>393</v>
      </c>
      <c r="P156" s="42" t="s">
        <v>386</v>
      </c>
    </row>
    <row r="157" spans="1:16">
      <c r="A157" s="42" t="s">
        <v>305</v>
      </c>
      <c r="B157" s="42" t="s">
        <v>845</v>
      </c>
      <c r="C157" s="42" t="s">
        <v>846</v>
      </c>
      <c r="D157" s="42" t="s">
        <v>847</v>
      </c>
      <c r="E157" s="52" t="s">
        <v>321</v>
      </c>
      <c r="F157" s="52" t="s">
        <v>36</v>
      </c>
      <c r="G157" s="52" t="s">
        <v>310</v>
      </c>
      <c r="H157" s="52" t="s">
        <v>353</v>
      </c>
      <c r="I157" s="42" t="s">
        <v>354</v>
      </c>
      <c r="J157" s="42" t="s">
        <v>848</v>
      </c>
      <c r="K157" s="42" t="s">
        <v>849</v>
      </c>
      <c r="L157" s="42" t="s">
        <v>384</v>
      </c>
      <c r="M157" s="42" t="s">
        <v>358</v>
      </c>
      <c r="N157" s="42" t="s">
        <v>731</v>
      </c>
      <c r="O157" s="43" t="s">
        <v>393</v>
      </c>
      <c r="P157" s="42" t="s">
        <v>386</v>
      </c>
    </row>
    <row r="158" spans="1:16">
      <c r="A158" s="42" t="s">
        <v>318</v>
      </c>
      <c r="B158" s="42" t="s">
        <v>845</v>
      </c>
      <c r="C158" s="42" t="s">
        <v>850</v>
      </c>
      <c r="D158" s="42" t="s">
        <v>851</v>
      </c>
      <c r="E158" s="52" t="s">
        <v>321</v>
      </c>
      <c r="F158" s="52" t="s">
        <v>36</v>
      </c>
      <c r="G158" s="52" t="s">
        <v>310</v>
      </c>
      <c r="H158" s="52" t="s">
        <v>353</v>
      </c>
      <c r="I158" s="42" t="s">
        <v>354</v>
      </c>
      <c r="J158" s="42" t="s">
        <v>852</v>
      </c>
      <c r="K158" s="42" t="s">
        <v>853</v>
      </c>
      <c r="L158" s="42" t="s">
        <v>384</v>
      </c>
      <c r="M158" s="42" t="s">
        <v>358</v>
      </c>
      <c r="N158" s="42" t="s">
        <v>731</v>
      </c>
      <c r="O158" s="43" t="s">
        <v>393</v>
      </c>
      <c r="P158" s="42" t="s">
        <v>386</v>
      </c>
    </row>
    <row r="159" spans="1:16">
      <c r="A159" s="42" t="s">
        <v>327</v>
      </c>
      <c r="B159" s="42" t="s">
        <v>845</v>
      </c>
      <c r="C159" s="42" t="s">
        <v>854</v>
      </c>
      <c r="D159" s="42" t="s">
        <v>855</v>
      </c>
      <c r="E159" s="52" t="s">
        <v>321</v>
      </c>
      <c r="F159" s="52" t="s">
        <v>711</v>
      </c>
      <c r="G159" s="52" t="s">
        <v>310</v>
      </c>
      <c r="H159" s="52" t="s">
        <v>311</v>
      </c>
      <c r="I159" s="42" t="s">
        <v>305</v>
      </c>
      <c r="J159" s="42" t="s">
        <v>712</v>
      </c>
      <c r="K159" s="42" t="s">
        <v>713</v>
      </c>
      <c r="L159" s="42" t="s">
        <v>357</v>
      </c>
      <c r="M159" s="42" t="s">
        <v>358</v>
      </c>
      <c r="N159" s="42" t="s">
        <v>348</v>
      </c>
      <c r="O159" s="43" t="s">
        <v>379</v>
      </c>
      <c r="P159" s="42" t="s">
        <v>317</v>
      </c>
    </row>
    <row r="160" spans="1:16">
      <c r="A160" s="42" t="s">
        <v>334</v>
      </c>
      <c r="B160" s="42" t="s">
        <v>845</v>
      </c>
      <c r="C160" s="42" t="s">
        <v>856</v>
      </c>
      <c r="D160" s="42" t="s">
        <v>857</v>
      </c>
      <c r="E160" s="52" t="s">
        <v>321</v>
      </c>
      <c r="F160" s="52" t="s">
        <v>29</v>
      </c>
      <c r="G160" s="52" t="s">
        <v>310</v>
      </c>
      <c r="H160" s="52" t="s">
        <v>363</v>
      </c>
      <c r="I160" s="42" t="s">
        <v>364</v>
      </c>
      <c r="J160" s="42" t="s">
        <v>716</v>
      </c>
      <c r="K160" s="42" t="s">
        <v>523</v>
      </c>
      <c r="L160" s="42" t="s">
        <v>357</v>
      </c>
      <c r="M160" s="42" t="s">
        <v>717</v>
      </c>
      <c r="N160" s="42" t="s">
        <v>409</v>
      </c>
      <c r="O160" s="43" t="s">
        <v>393</v>
      </c>
      <c r="P160" s="42" t="s">
        <v>317</v>
      </c>
    </row>
    <row r="161" spans="1:16">
      <c r="A161" s="42" t="s">
        <v>339</v>
      </c>
      <c r="B161" s="42" t="s">
        <v>845</v>
      </c>
      <c r="C161" s="42" t="s">
        <v>858</v>
      </c>
      <c r="D161" s="42" t="s">
        <v>859</v>
      </c>
      <c r="E161" s="52" t="s">
        <v>321</v>
      </c>
      <c r="F161" s="52" t="s">
        <v>36</v>
      </c>
      <c r="G161" s="52" t="s">
        <v>310</v>
      </c>
      <c r="H161" s="52" t="s">
        <v>363</v>
      </c>
      <c r="I161" s="42" t="s">
        <v>364</v>
      </c>
      <c r="J161" s="42" t="s">
        <v>489</v>
      </c>
      <c r="K161" s="42" t="s">
        <v>720</v>
      </c>
      <c r="L161" s="42" t="s">
        <v>384</v>
      </c>
      <c r="M161" s="42" t="s">
        <v>358</v>
      </c>
      <c r="N161" s="42" t="s">
        <v>409</v>
      </c>
      <c r="O161" s="43" t="s">
        <v>393</v>
      </c>
      <c r="P161" s="42" t="s">
        <v>317</v>
      </c>
    </row>
    <row r="162" spans="1:16">
      <c r="A162" s="42" t="s">
        <v>345</v>
      </c>
      <c r="B162" s="42" t="s">
        <v>845</v>
      </c>
      <c r="C162" s="42" t="s">
        <v>860</v>
      </c>
      <c r="D162" s="42" t="s">
        <v>861</v>
      </c>
      <c r="E162" s="52" t="s">
        <v>321</v>
      </c>
      <c r="F162" s="52" t="s">
        <v>29</v>
      </c>
      <c r="G162" s="52" t="s">
        <v>310</v>
      </c>
      <c r="H162" s="52" t="s">
        <v>363</v>
      </c>
      <c r="I162" s="42" t="s">
        <v>364</v>
      </c>
      <c r="J162" s="42" t="s">
        <v>508</v>
      </c>
      <c r="K162" s="42" t="s">
        <v>509</v>
      </c>
      <c r="L162" s="42" t="s">
        <v>357</v>
      </c>
      <c r="M162" s="42" t="s">
        <v>358</v>
      </c>
      <c r="N162" s="42" t="s">
        <v>409</v>
      </c>
      <c r="O162" s="43" t="s">
        <v>393</v>
      </c>
      <c r="P162" s="42" t="s">
        <v>386</v>
      </c>
    </row>
    <row r="163" spans="1:16">
      <c r="A163" s="42" t="s">
        <v>339</v>
      </c>
      <c r="B163" s="42" t="s">
        <v>845</v>
      </c>
      <c r="C163" s="42" t="s">
        <v>862</v>
      </c>
      <c r="D163" s="42" t="s">
        <v>863</v>
      </c>
      <c r="E163" s="52" t="s">
        <v>321</v>
      </c>
      <c r="F163" s="52" t="s">
        <v>725</v>
      </c>
      <c r="G163" s="52" t="s">
        <v>310</v>
      </c>
      <c r="H163" s="52" t="s">
        <v>363</v>
      </c>
      <c r="I163" s="42" t="s">
        <v>364</v>
      </c>
      <c r="J163" s="42" t="s">
        <v>726</v>
      </c>
      <c r="K163" s="42" t="s">
        <v>523</v>
      </c>
      <c r="L163" s="42" t="s">
        <v>357</v>
      </c>
      <c r="M163" s="42" t="s">
        <v>727</v>
      </c>
      <c r="N163" s="42" t="s">
        <v>409</v>
      </c>
      <c r="O163" s="43" t="s">
        <v>393</v>
      </c>
      <c r="P163" s="42" t="s">
        <v>317</v>
      </c>
    </row>
    <row r="164" spans="1:16">
      <c r="A164" s="42" t="s">
        <v>349</v>
      </c>
      <c r="B164" s="42" t="s">
        <v>845</v>
      </c>
      <c r="C164" s="42" t="s">
        <v>864</v>
      </c>
      <c r="D164" s="42" t="s">
        <v>865</v>
      </c>
      <c r="E164" s="52" t="s">
        <v>321</v>
      </c>
      <c r="F164" s="52" t="s">
        <v>711</v>
      </c>
      <c r="G164" s="52" t="s">
        <v>310</v>
      </c>
      <c r="H164" s="52" t="s">
        <v>363</v>
      </c>
      <c r="I164" s="42" t="s">
        <v>364</v>
      </c>
      <c r="J164" s="42" t="s">
        <v>712</v>
      </c>
      <c r="K164" s="42" t="s">
        <v>713</v>
      </c>
      <c r="L164" s="42" t="s">
        <v>357</v>
      </c>
      <c r="M164" s="42" t="s">
        <v>358</v>
      </c>
      <c r="N164" s="42" t="s">
        <v>409</v>
      </c>
      <c r="O164" s="43" t="s">
        <v>379</v>
      </c>
      <c r="P164" s="42" t="s">
        <v>317</v>
      </c>
    </row>
    <row r="165" spans="1:16">
      <c r="A165" s="42" t="s">
        <v>318</v>
      </c>
      <c r="B165" s="42" t="s">
        <v>845</v>
      </c>
      <c r="C165" s="42" t="s">
        <v>866</v>
      </c>
      <c r="D165" s="42" t="s">
        <v>867</v>
      </c>
      <c r="E165" s="52" t="s">
        <v>321</v>
      </c>
      <c r="F165" s="52" t="s">
        <v>20</v>
      </c>
      <c r="G165" s="52" t="s">
        <v>310</v>
      </c>
      <c r="H165" s="52" t="s">
        <v>353</v>
      </c>
      <c r="I165" s="42" t="s">
        <v>354</v>
      </c>
      <c r="J165" s="42" t="s">
        <v>632</v>
      </c>
      <c r="K165" s="42" t="s">
        <v>632</v>
      </c>
      <c r="L165" s="42" t="s">
        <v>357</v>
      </c>
      <c r="M165" s="42" t="s">
        <v>358</v>
      </c>
      <c r="N165" s="42" t="s">
        <v>731</v>
      </c>
      <c r="O165" s="43" t="s">
        <v>393</v>
      </c>
      <c r="P165" s="42" t="s">
        <v>326</v>
      </c>
    </row>
    <row r="166" spans="1:16">
      <c r="A166" s="42" t="s">
        <v>322</v>
      </c>
      <c r="B166" s="42" t="s">
        <v>845</v>
      </c>
      <c r="C166" s="42" t="s">
        <v>868</v>
      </c>
      <c r="D166" s="42" t="s">
        <v>869</v>
      </c>
      <c r="E166" s="52" t="s">
        <v>321</v>
      </c>
      <c r="F166" s="52" t="s">
        <v>20</v>
      </c>
      <c r="G166" s="52" t="s">
        <v>310</v>
      </c>
      <c r="H166" s="52" t="s">
        <v>353</v>
      </c>
      <c r="I166" s="42" t="s">
        <v>354</v>
      </c>
      <c r="J166" s="42" t="s">
        <v>632</v>
      </c>
      <c r="K166" s="42" t="s">
        <v>632</v>
      </c>
      <c r="L166" s="42" t="s">
        <v>357</v>
      </c>
      <c r="M166" s="42" t="s">
        <v>358</v>
      </c>
      <c r="N166" s="42" t="s">
        <v>731</v>
      </c>
      <c r="O166" s="43" t="s">
        <v>393</v>
      </c>
      <c r="P166" s="42" t="s">
        <v>386</v>
      </c>
    </row>
    <row r="167" spans="1:16">
      <c r="A167" s="42" t="s">
        <v>327</v>
      </c>
      <c r="B167" s="42" t="s">
        <v>845</v>
      </c>
      <c r="C167" s="42" t="s">
        <v>870</v>
      </c>
      <c r="D167" s="42" t="s">
        <v>871</v>
      </c>
      <c r="E167" s="52" t="s">
        <v>321</v>
      </c>
      <c r="F167" s="52" t="s">
        <v>20</v>
      </c>
      <c r="G167" s="52" t="s">
        <v>310</v>
      </c>
      <c r="H167" s="52" t="s">
        <v>311</v>
      </c>
      <c r="I167" s="42" t="s">
        <v>305</v>
      </c>
      <c r="J167" s="42" t="s">
        <v>872</v>
      </c>
      <c r="K167" s="42" t="s">
        <v>403</v>
      </c>
      <c r="L167" s="42" t="s">
        <v>357</v>
      </c>
      <c r="M167" s="42" t="s">
        <v>358</v>
      </c>
      <c r="N167" s="42" t="s">
        <v>348</v>
      </c>
      <c r="O167" s="43" t="s">
        <v>393</v>
      </c>
      <c r="P167" s="42" t="s">
        <v>386</v>
      </c>
    </row>
    <row r="168" spans="1:16">
      <c r="A168" s="42" t="s">
        <v>334</v>
      </c>
      <c r="B168" s="42" t="s">
        <v>845</v>
      </c>
      <c r="C168" s="42" t="s">
        <v>873</v>
      </c>
      <c r="D168" s="42" t="s">
        <v>874</v>
      </c>
      <c r="E168" s="52" t="s">
        <v>321</v>
      </c>
      <c r="F168" s="52" t="s">
        <v>16</v>
      </c>
      <c r="G168" s="52" t="s">
        <v>310</v>
      </c>
      <c r="H168" s="52" t="s">
        <v>363</v>
      </c>
      <c r="I168" s="42" t="s">
        <v>364</v>
      </c>
      <c r="J168" s="42" t="s">
        <v>744</v>
      </c>
      <c r="K168" s="42" t="s">
        <v>745</v>
      </c>
      <c r="L168" s="42" t="s">
        <v>357</v>
      </c>
      <c r="M168" s="42" t="s">
        <v>746</v>
      </c>
      <c r="N168" s="42" t="s">
        <v>409</v>
      </c>
      <c r="O168" s="43" t="s">
        <v>393</v>
      </c>
      <c r="P168" s="42" t="s">
        <v>317</v>
      </c>
    </row>
    <row r="169" spans="1:16">
      <c r="A169" s="42" t="s">
        <v>349</v>
      </c>
      <c r="B169" s="42" t="s">
        <v>845</v>
      </c>
      <c r="C169" s="42" t="s">
        <v>875</v>
      </c>
      <c r="D169" s="42" t="s">
        <v>876</v>
      </c>
      <c r="E169" s="52" t="s">
        <v>321</v>
      </c>
      <c r="F169" s="52" t="s">
        <v>41</v>
      </c>
      <c r="G169" s="52" t="s">
        <v>310</v>
      </c>
      <c r="H169" s="52" t="s">
        <v>363</v>
      </c>
      <c r="I169" s="42" t="s">
        <v>364</v>
      </c>
      <c r="J169" s="42" t="s">
        <v>753</v>
      </c>
      <c r="K169" s="42" t="s">
        <v>754</v>
      </c>
      <c r="L169" s="42" t="s">
        <v>603</v>
      </c>
      <c r="M169" s="42" t="s">
        <v>755</v>
      </c>
      <c r="N169" s="42" t="s">
        <v>409</v>
      </c>
      <c r="O169" s="43" t="s">
        <v>393</v>
      </c>
      <c r="P169" s="42" t="s">
        <v>317</v>
      </c>
    </row>
    <row r="170" spans="1:16">
      <c r="A170" s="42" t="s">
        <v>374</v>
      </c>
      <c r="B170" s="42" t="s">
        <v>845</v>
      </c>
      <c r="C170" s="42" t="s">
        <v>877</v>
      </c>
      <c r="D170" s="42" t="s">
        <v>878</v>
      </c>
      <c r="E170" s="52" t="s">
        <v>321</v>
      </c>
      <c r="F170" s="52" t="s">
        <v>41</v>
      </c>
      <c r="G170" s="52" t="s">
        <v>310</v>
      </c>
      <c r="H170" s="52" t="s">
        <v>363</v>
      </c>
      <c r="I170" s="42" t="s">
        <v>879</v>
      </c>
      <c r="J170" s="42" t="s">
        <v>758</v>
      </c>
      <c r="K170" s="42" t="s">
        <v>754</v>
      </c>
      <c r="L170" s="42" t="s">
        <v>613</v>
      </c>
      <c r="M170" s="42" t="s">
        <v>614</v>
      </c>
      <c r="N170" s="42" t="s">
        <v>880</v>
      </c>
      <c r="O170" s="43" t="s">
        <v>393</v>
      </c>
      <c r="P170" s="42" t="s">
        <v>386</v>
      </c>
    </row>
    <row r="171" spans="1:16">
      <c r="A171" s="42" t="s">
        <v>432</v>
      </c>
      <c r="B171" s="42" t="s">
        <v>845</v>
      </c>
      <c r="C171" s="42" t="s">
        <v>881</v>
      </c>
      <c r="D171" s="42" t="s">
        <v>882</v>
      </c>
      <c r="E171" s="52" t="s">
        <v>321</v>
      </c>
      <c r="F171" s="52" t="s">
        <v>41</v>
      </c>
      <c r="G171" s="52" t="s">
        <v>310</v>
      </c>
      <c r="H171" s="52" t="s">
        <v>363</v>
      </c>
      <c r="I171" s="42" t="s">
        <v>364</v>
      </c>
      <c r="J171" s="42" t="s">
        <v>761</v>
      </c>
      <c r="K171" s="42" t="s">
        <v>762</v>
      </c>
      <c r="L171" s="42" t="s">
        <v>613</v>
      </c>
      <c r="M171" s="42" t="s">
        <v>763</v>
      </c>
      <c r="N171" s="42" t="s">
        <v>409</v>
      </c>
      <c r="O171" s="43" t="s">
        <v>393</v>
      </c>
      <c r="P171" s="42" t="s">
        <v>317</v>
      </c>
    </row>
    <row r="172" spans="1:16">
      <c r="A172" s="42" t="s">
        <v>448</v>
      </c>
      <c r="B172" s="42" t="s">
        <v>845</v>
      </c>
      <c r="C172" s="42" t="s">
        <v>319</v>
      </c>
      <c r="D172" s="42" t="s">
        <v>883</v>
      </c>
      <c r="E172" s="52" t="s">
        <v>321</v>
      </c>
      <c r="F172" s="52" t="s">
        <v>41</v>
      </c>
      <c r="G172" s="52" t="s">
        <v>310</v>
      </c>
      <c r="H172" s="52" t="s">
        <v>363</v>
      </c>
      <c r="I172" s="42" t="s">
        <v>364</v>
      </c>
      <c r="J172" s="42" t="s">
        <v>765</v>
      </c>
      <c r="K172" s="42" t="s">
        <v>766</v>
      </c>
      <c r="L172" s="42" t="s">
        <v>613</v>
      </c>
      <c r="M172" s="42" t="s">
        <v>767</v>
      </c>
      <c r="N172" s="42" t="s">
        <v>409</v>
      </c>
      <c r="O172" s="43" t="s">
        <v>370</v>
      </c>
      <c r="P172" s="42" t="s">
        <v>317</v>
      </c>
    </row>
    <row r="173" spans="1:16">
      <c r="A173" s="42" t="s">
        <v>476</v>
      </c>
      <c r="B173" s="42" t="s">
        <v>845</v>
      </c>
      <c r="C173" s="42" t="s">
        <v>884</v>
      </c>
      <c r="D173" s="42" t="s">
        <v>885</v>
      </c>
      <c r="E173" s="52" t="s">
        <v>321</v>
      </c>
      <c r="F173" s="52" t="s">
        <v>16</v>
      </c>
      <c r="G173" s="52" t="s">
        <v>310</v>
      </c>
      <c r="H173" s="52" t="s">
        <v>311</v>
      </c>
      <c r="I173" s="42" t="s">
        <v>305</v>
      </c>
      <c r="J173" s="42" t="s">
        <v>770</v>
      </c>
      <c r="K173" s="42" t="s">
        <v>771</v>
      </c>
      <c r="L173" s="42" t="s">
        <v>603</v>
      </c>
      <c r="M173" s="42" t="s">
        <v>604</v>
      </c>
      <c r="N173" s="42" t="s">
        <v>348</v>
      </c>
      <c r="O173" s="43" t="s">
        <v>393</v>
      </c>
      <c r="P173" s="42" t="s">
        <v>317</v>
      </c>
    </row>
    <row r="174" spans="1:16">
      <c r="A174" s="42" t="s">
        <v>479</v>
      </c>
      <c r="B174" s="42" t="s">
        <v>845</v>
      </c>
      <c r="C174" s="42" t="s">
        <v>886</v>
      </c>
      <c r="D174" s="42" t="s">
        <v>887</v>
      </c>
      <c r="E174" s="52" t="s">
        <v>321</v>
      </c>
      <c r="F174" s="52" t="s">
        <v>16</v>
      </c>
      <c r="G174" s="52" t="s">
        <v>310</v>
      </c>
      <c r="H174" s="52" t="s">
        <v>311</v>
      </c>
      <c r="I174" s="42" t="s">
        <v>305</v>
      </c>
      <c r="J174" s="42" t="s">
        <v>770</v>
      </c>
      <c r="K174" s="42" t="s">
        <v>771</v>
      </c>
      <c r="L174" s="42" t="s">
        <v>603</v>
      </c>
      <c r="M174" s="42" t="s">
        <v>604</v>
      </c>
      <c r="N174" s="42" t="s">
        <v>348</v>
      </c>
      <c r="O174" s="43" t="s">
        <v>393</v>
      </c>
      <c r="P174" s="42" t="s">
        <v>317</v>
      </c>
    </row>
    <row r="175" spans="1:16">
      <c r="A175" s="42" t="s">
        <v>482</v>
      </c>
      <c r="B175" s="42" t="s">
        <v>845</v>
      </c>
      <c r="C175" s="42" t="s">
        <v>888</v>
      </c>
      <c r="D175" s="42" t="s">
        <v>889</v>
      </c>
      <c r="E175" s="52" t="s">
        <v>321</v>
      </c>
      <c r="F175" s="52" t="s">
        <v>16</v>
      </c>
      <c r="G175" s="52" t="s">
        <v>310</v>
      </c>
      <c r="H175" s="52" t="s">
        <v>311</v>
      </c>
      <c r="I175" s="42" t="s">
        <v>305</v>
      </c>
      <c r="J175" s="42" t="s">
        <v>770</v>
      </c>
      <c r="K175" s="42" t="s">
        <v>771</v>
      </c>
      <c r="L175" s="42" t="s">
        <v>603</v>
      </c>
      <c r="M175" s="42" t="s">
        <v>604</v>
      </c>
      <c r="N175" s="42" t="s">
        <v>348</v>
      </c>
      <c r="O175" s="43" t="s">
        <v>393</v>
      </c>
      <c r="P175" s="42" t="s">
        <v>317</v>
      </c>
    </row>
    <row r="176" spans="1:16">
      <c r="A176" s="42" t="s">
        <v>485</v>
      </c>
      <c r="B176" s="42" t="s">
        <v>845</v>
      </c>
      <c r="C176" s="42" t="s">
        <v>890</v>
      </c>
      <c r="D176" s="42" t="s">
        <v>891</v>
      </c>
      <c r="E176" s="52" t="s">
        <v>321</v>
      </c>
      <c r="F176" s="52" t="s">
        <v>16</v>
      </c>
      <c r="G176" s="52" t="s">
        <v>310</v>
      </c>
      <c r="H176" s="52" t="s">
        <v>363</v>
      </c>
      <c r="I176" s="42" t="s">
        <v>364</v>
      </c>
      <c r="J176" s="42" t="s">
        <v>770</v>
      </c>
      <c r="K176" s="42" t="s">
        <v>771</v>
      </c>
      <c r="L176" s="42" t="s">
        <v>603</v>
      </c>
      <c r="M176" s="42" t="s">
        <v>604</v>
      </c>
      <c r="N176" s="42" t="s">
        <v>409</v>
      </c>
      <c r="O176" s="43" t="s">
        <v>393</v>
      </c>
      <c r="P176" s="42" t="s">
        <v>317</v>
      </c>
    </row>
    <row r="177" spans="1:16">
      <c r="A177" s="42" t="s">
        <v>490</v>
      </c>
      <c r="B177" s="42" t="s">
        <v>845</v>
      </c>
      <c r="C177" s="42" t="s">
        <v>892</v>
      </c>
      <c r="D177" s="42" t="s">
        <v>893</v>
      </c>
      <c r="E177" s="52" t="s">
        <v>321</v>
      </c>
      <c r="F177" s="52" t="s">
        <v>16</v>
      </c>
      <c r="G177" s="52" t="s">
        <v>310</v>
      </c>
      <c r="H177" s="52" t="s">
        <v>311</v>
      </c>
      <c r="I177" s="42" t="s">
        <v>305</v>
      </c>
      <c r="J177" s="42" t="s">
        <v>770</v>
      </c>
      <c r="K177" s="42" t="s">
        <v>771</v>
      </c>
      <c r="L177" s="42" t="s">
        <v>603</v>
      </c>
      <c r="M177" s="42" t="s">
        <v>604</v>
      </c>
      <c r="N177" s="42" t="s">
        <v>348</v>
      </c>
      <c r="O177" s="43" t="s">
        <v>393</v>
      </c>
      <c r="P177" s="42" t="s">
        <v>317</v>
      </c>
    </row>
    <row r="178" spans="1:16">
      <c r="A178" s="42" t="s">
        <v>493</v>
      </c>
      <c r="B178" s="42" t="s">
        <v>845</v>
      </c>
      <c r="C178" s="42" t="s">
        <v>894</v>
      </c>
      <c r="D178" s="42" t="s">
        <v>893</v>
      </c>
      <c r="E178" s="52" t="s">
        <v>321</v>
      </c>
      <c r="F178" s="52" t="s">
        <v>16</v>
      </c>
      <c r="G178" s="52" t="s">
        <v>310</v>
      </c>
      <c r="H178" s="52" t="s">
        <v>311</v>
      </c>
      <c r="I178" s="42" t="s">
        <v>305</v>
      </c>
      <c r="J178" s="42" t="s">
        <v>770</v>
      </c>
      <c r="K178" s="42" t="s">
        <v>771</v>
      </c>
      <c r="L178" s="42" t="s">
        <v>603</v>
      </c>
      <c r="M178" s="42" t="s">
        <v>604</v>
      </c>
      <c r="N178" s="42" t="s">
        <v>348</v>
      </c>
      <c r="O178" s="43" t="s">
        <v>393</v>
      </c>
      <c r="P178" s="42" t="s">
        <v>317</v>
      </c>
    </row>
    <row r="179" spans="1:16">
      <c r="A179" s="42" t="s">
        <v>510</v>
      </c>
      <c r="B179" s="42" t="s">
        <v>845</v>
      </c>
      <c r="C179" s="42" t="s">
        <v>895</v>
      </c>
      <c r="D179" s="42" t="s">
        <v>896</v>
      </c>
      <c r="E179" s="52" t="s">
        <v>321</v>
      </c>
      <c r="F179" s="52" t="s">
        <v>41</v>
      </c>
      <c r="G179" s="52" t="s">
        <v>310</v>
      </c>
      <c r="H179" s="52" t="s">
        <v>353</v>
      </c>
      <c r="I179" s="42" t="s">
        <v>354</v>
      </c>
      <c r="J179" s="42" t="s">
        <v>783</v>
      </c>
      <c r="K179" s="42" t="s">
        <v>754</v>
      </c>
      <c r="L179" s="42" t="s">
        <v>613</v>
      </c>
      <c r="M179" s="42" t="s">
        <v>784</v>
      </c>
      <c r="N179" s="42" t="s">
        <v>731</v>
      </c>
      <c r="O179" s="43" t="s">
        <v>393</v>
      </c>
      <c r="P179" s="42" t="s">
        <v>317</v>
      </c>
    </row>
    <row r="180" spans="1:16">
      <c r="A180" s="42" t="s">
        <v>527</v>
      </c>
      <c r="B180" s="42" t="s">
        <v>845</v>
      </c>
      <c r="C180" s="42" t="s">
        <v>897</v>
      </c>
      <c r="D180" s="42" t="s">
        <v>898</v>
      </c>
      <c r="E180" s="52" t="s">
        <v>321</v>
      </c>
      <c r="F180" s="52" t="s">
        <v>41</v>
      </c>
      <c r="G180" s="52" t="s">
        <v>310</v>
      </c>
      <c r="H180" s="52" t="s">
        <v>363</v>
      </c>
      <c r="I180" s="42" t="s">
        <v>364</v>
      </c>
      <c r="J180" s="42" t="s">
        <v>783</v>
      </c>
      <c r="K180" s="42" t="s">
        <v>754</v>
      </c>
      <c r="L180" s="42" t="s">
        <v>613</v>
      </c>
      <c r="M180" s="42" t="s">
        <v>763</v>
      </c>
      <c r="N180" s="42" t="s">
        <v>409</v>
      </c>
      <c r="O180" s="43" t="s">
        <v>393</v>
      </c>
      <c r="P180" s="42" t="s">
        <v>317</v>
      </c>
    </row>
    <row r="181" spans="1:16">
      <c r="A181" s="42" t="s">
        <v>536</v>
      </c>
      <c r="B181" s="42" t="s">
        <v>845</v>
      </c>
      <c r="C181" s="42" t="s">
        <v>899</v>
      </c>
      <c r="D181" s="42" t="s">
        <v>900</v>
      </c>
      <c r="E181" s="52" t="s">
        <v>321</v>
      </c>
      <c r="F181" s="52" t="s">
        <v>20</v>
      </c>
      <c r="G181" s="52" t="s">
        <v>310</v>
      </c>
      <c r="H181" s="52" t="s">
        <v>311</v>
      </c>
      <c r="I181" s="42" t="s">
        <v>305</v>
      </c>
      <c r="J181" s="42" t="s">
        <v>901</v>
      </c>
      <c r="K181" s="42" t="s">
        <v>902</v>
      </c>
      <c r="L181" s="42" t="s">
        <v>357</v>
      </c>
      <c r="M181" s="42" t="s">
        <v>358</v>
      </c>
      <c r="N181" s="42" t="s">
        <v>348</v>
      </c>
      <c r="O181" s="43" t="s">
        <v>393</v>
      </c>
      <c r="P181" s="42" t="s">
        <v>317</v>
      </c>
    </row>
    <row r="182" spans="1:16">
      <c r="A182" s="42" t="s">
        <v>543</v>
      </c>
      <c r="B182" s="42" t="s">
        <v>845</v>
      </c>
      <c r="C182" s="42" t="s">
        <v>903</v>
      </c>
      <c r="D182" s="42" t="s">
        <v>904</v>
      </c>
      <c r="E182" s="52" t="s">
        <v>321</v>
      </c>
      <c r="F182" s="52" t="s">
        <v>41</v>
      </c>
      <c r="G182" s="52" t="s">
        <v>310</v>
      </c>
      <c r="H182" s="52" t="s">
        <v>363</v>
      </c>
      <c r="I182" s="42" t="s">
        <v>364</v>
      </c>
      <c r="J182" s="42" t="s">
        <v>793</v>
      </c>
      <c r="K182" s="42" t="s">
        <v>794</v>
      </c>
      <c r="L182" s="42" t="s">
        <v>603</v>
      </c>
      <c r="M182" s="42" t="s">
        <v>795</v>
      </c>
      <c r="N182" s="42" t="s">
        <v>409</v>
      </c>
      <c r="O182" s="43" t="s">
        <v>393</v>
      </c>
      <c r="P182" s="42" t="s">
        <v>386</v>
      </c>
    </row>
    <row r="183" spans="1:16">
      <c r="A183" s="42" t="s">
        <v>549</v>
      </c>
      <c r="B183" s="42" t="s">
        <v>845</v>
      </c>
      <c r="C183" s="42" t="s">
        <v>381</v>
      </c>
      <c r="D183" s="42" t="s">
        <v>905</v>
      </c>
      <c r="E183" s="52" t="s">
        <v>321</v>
      </c>
      <c r="F183" s="52" t="s">
        <v>41</v>
      </c>
      <c r="G183" s="52" t="s">
        <v>310</v>
      </c>
      <c r="H183" s="52" t="s">
        <v>363</v>
      </c>
      <c r="I183" s="42" t="s">
        <v>364</v>
      </c>
      <c r="J183" s="42" t="s">
        <v>762</v>
      </c>
      <c r="K183" s="42" t="s">
        <v>762</v>
      </c>
      <c r="L183" s="42" t="s">
        <v>613</v>
      </c>
      <c r="M183" s="42" t="s">
        <v>797</v>
      </c>
      <c r="N183" s="42" t="s">
        <v>409</v>
      </c>
      <c r="O183" s="43" t="s">
        <v>385</v>
      </c>
      <c r="P183" s="42" t="s">
        <v>386</v>
      </c>
    </row>
    <row r="184" spans="1:16">
      <c r="A184" s="42" t="s">
        <v>556</v>
      </c>
      <c r="B184" s="42" t="s">
        <v>845</v>
      </c>
      <c r="C184" s="42" t="s">
        <v>381</v>
      </c>
      <c r="D184" s="42" t="s">
        <v>906</v>
      </c>
      <c r="E184" s="52" t="s">
        <v>321</v>
      </c>
      <c r="F184" s="52" t="s">
        <v>41</v>
      </c>
      <c r="G184" s="52" t="s">
        <v>310</v>
      </c>
      <c r="H184" s="52" t="s">
        <v>363</v>
      </c>
      <c r="I184" s="42" t="s">
        <v>364</v>
      </c>
      <c r="J184" s="42" t="s">
        <v>632</v>
      </c>
      <c r="K184" s="42" t="s">
        <v>632</v>
      </c>
      <c r="L184" s="42" t="s">
        <v>603</v>
      </c>
      <c r="M184" s="42" t="s">
        <v>799</v>
      </c>
      <c r="N184" s="42" t="s">
        <v>409</v>
      </c>
      <c r="O184" s="43" t="s">
        <v>385</v>
      </c>
      <c r="P184" s="42" t="s">
        <v>386</v>
      </c>
    </row>
    <row r="185" spans="1:16">
      <c r="A185" s="42" t="s">
        <v>566</v>
      </c>
      <c r="B185" s="42" t="s">
        <v>845</v>
      </c>
      <c r="C185" s="42" t="s">
        <v>381</v>
      </c>
      <c r="D185" s="42" t="s">
        <v>907</v>
      </c>
      <c r="E185" s="52" t="s">
        <v>321</v>
      </c>
      <c r="F185" s="52" t="s">
        <v>41</v>
      </c>
      <c r="G185" s="52" t="s">
        <v>310</v>
      </c>
      <c r="H185" s="52" t="s">
        <v>353</v>
      </c>
      <c r="I185" s="42" t="s">
        <v>354</v>
      </c>
      <c r="J185" s="42" t="s">
        <v>754</v>
      </c>
      <c r="K185" s="42" t="s">
        <v>754</v>
      </c>
      <c r="L185" s="42" t="s">
        <v>613</v>
      </c>
      <c r="M185" s="42" t="s">
        <v>614</v>
      </c>
      <c r="N185" s="42" t="s">
        <v>731</v>
      </c>
      <c r="O185" s="43" t="s">
        <v>393</v>
      </c>
      <c r="P185" s="42" t="s">
        <v>386</v>
      </c>
    </row>
    <row r="186" spans="1:16">
      <c r="A186" s="42" t="s">
        <v>573</v>
      </c>
      <c r="B186" s="42" t="s">
        <v>845</v>
      </c>
      <c r="C186" s="42" t="s">
        <v>908</v>
      </c>
      <c r="D186" s="42" t="s">
        <v>909</v>
      </c>
      <c r="E186" s="52" t="s">
        <v>321</v>
      </c>
      <c r="F186" s="52" t="s">
        <v>41</v>
      </c>
      <c r="G186" s="52" t="s">
        <v>310</v>
      </c>
      <c r="H186" s="52" t="s">
        <v>363</v>
      </c>
      <c r="I186" s="42" t="s">
        <v>364</v>
      </c>
      <c r="J186" s="42" t="s">
        <v>804</v>
      </c>
      <c r="K186" s="42" t="s">
        <v>612</v>
      </c>
      <c r="L186" s="42" t="s">
        <v>613</v>
      </c>
      <c r="M186" s="42" t="s">
        <v>784</v>
      </c>
      <c r="N186" s="42" t="s">
        <v>409</v>
      </c>
      <c r="O186" s="43" t="s">
        <v>393</v>
      </c>
      <c r="P186" s="42" t="s">
        <v>386</v>
      </c>
    </row>
    <row r="187" spans="1:16">
      <c r="A187" s="42" t="s">
        <v>576</v>
      </c>
      <c r="B187" s="42" t="s">
        <v>845</v>
      </c>
      <c r="C187" s="42" t="s">
        <v>910</v>
      </c>
      <c r="D187" s="42" t="s">
        <v>911</v>
      </c>
      <c r="E187" s="52" t="s">
        <v>321</v>
      </c>
      <c r="F187" s="52" t="s">
        <v>41</v>
      </c>
      <c r="G187" s="52" t="s">
        <v>310</v>
      </c>
      <c r="H187" s="52" t="s">
        <v>353</v>
      </c>
      <c r="I187" s="42" t="s">
        <v>354</v>
      </c>
      <c r="J187" s="42" t="s">
        <v>912</v>
      </c>
      <c r="K187" s="42" t="s">
        <v>612</v>
      </c>
      <c r="L187" s="42" t="s">
        <v>613</v>
      </c>
      <c r="M187" s="42" t="s">
        <v>784</v>
      </c>
      <c r="N187" s="42" t="s">
        <v>731</v>
      </c>
      <c r="O187" s="43" t="s">
        <v>393</v>
      </c>
      <c r="P187" s="42" t="s">
        <v>317</v>
      </c>
    </row>
    <row r="188" spans="1:16" ht="39.6">
      <c r="A188" s="42" t="s">
        <v>587</v>
      </c>
      <c r="B188" s="42" t="s">
        <v>845</v>
      </c>
      <c r="C188" s="42" t="s">
        <v>913</v>
      </c>
      <c r="D188" s="42" t="s">
        <v>914</v>
      </c>
      <c r="E188" s="52" t="s">
        <v>321</v>
      </c>
      <c r="F188" s="52" t="s">
        <v>43</v>
      </c>
      <c r="G188" s="52" t="s">
        <v>310</v>
      </c>
      <c r="H188" s="52" t="s">
        <v>311</v>
      </c>
      <c r="I188" s="42" t="s">
        <v>305</v>
      </c>
      <c r="J188" s="42" t="s">
        <v>915</v>
      </c>
      <c r="K188" s="42" t="s">
        <v>731</v>
      </c>
      <c r="L188" s="42" t="s">
        <v>357</v>
      </c>
      <c r="M188" s="42" t="s">
        <v>358</v>
      </c>
      <c r="N188" s="42" t="s">
        <v>348</v>
      </c>
      <c r="O188" s="43" t="s">
        <v>808</v>
      </c>
      <c r="P188" s="42" t="s">
        <v>386</v>
      </c>
    </row>
    <row r="189" spans="1:16" ht="39.6">
      <c r="A189" s="42" t="s">
        <v>595</v>
      </c>
      <c r="B189" s="42" t="s">
        <v>845</v>
      </c>
      <c r="C189" s="42" t="s">
        <v>916</v>
      </c>
      <c r="D189" s="42" t="s">
        <v>917</v>
      </c>
      <c r="E189" s="52" t="s">
        <v>321</v>
      </c>
      <c r="F189" s="52" t="s">
        <v>43</v>
      </c>
      <c r="G189" s="52" t="s">
        <v>310</v>
      </c>
      <c r="H189" s="52" t="s">
        <v>311</v>
      </c>
      <c r="I189" s="42" t="s">
        <v>305</v>
      </c>
      <c r="J189" s="42" t="s">
        <v>666</v>
      </c>
      <c r="K189" s="42" t="s">
        <v>731</v>
      </c>
      <c r="L189" s="42" t="s">
        <v>357</v>
      </c>
      <c r="M189" s="42" t="s">
        <v>358</v>
      </c>
      <c r="N189" s="42" t="s">
        <v>348</v>
      </c>
      <c r="O189" s="43" t="s">
        <v>808</v>
      </c>
      <c r="P189" s="42" t="s">
        <v>386</v>
      </c>
    </row>
    <row r="190" spans="1:16" ht="39.6">
      <c r="A190" s="42" t="s">
        <v>605</v>
      </c>
      <c r="B190" s="42" t="s">
        <v>845</v>
      </c>
      <c r="C190" s="42" t="s">
        <v>918</v>
      </c>
      <c r="D190" s="42" t="s">
        <v>919</v>
      </c>
      <c r="E190" s="52" t="s">
        <v>321</v>
      </c>
      <c r="F190" s="52" t="s">
        <v>43</v>
      </c>
      <c r="G190" s="52" t="s">
        <v>310</v>
      </c>
      <c r="H190" s="52" t="s">
        <v>311</v>
      </c>
      <c r="I190" s="42" t="s">
        <v>305</v>
      </c>
      <c r="J190" s="42" t="s">
        <v>920</v>
      </c>
      <c r="K190" s="42" t="s">
        <v>731</v>
      </c>
      <c r="L190" s="42" t="s">
        <v>357</v>
      </c>
      <c r="M190" s="42" t="s">
        <v>358</v>
      </c>
      <c r="N190" s="42" t="s">
        <v>348</v>
      </c>
      <c r="O190" s="43" t="s">
        <v>808</v>
      </c>
      <c r="P190" s="42" t="s">
        <v>386</v>
      </c>
    </row>
    <row r="191" spans="1:16" ht="39.6">
      <c r="A191" s="42" t="s">
        <v>608</v>
      </c>
      <c r="B191" s="42" t="s">
        <v>845</v>
      </c>
      <c r="C191" s="42" t="s">
        <v>921</v>
      </c>
      <c r="D191" s="42" t="s">
        <v>922</v>
      </c>
      <c r="E191" s="52" t="s">
        <v>321</v>
      </c>
      <c r="F191" s="52" t="s">
        <v>43</v>
      </c>
      <c r="G191" s="52" t="s">
        <v>310</v>
      </c>
      <c r="H191" s="52" t="s">
        <v>311</v>
      </c>
      <c r="I191" s="42" t="s">
        <v>305</v>
      </c>
      <c r="J191" s="42" t="s">
        <v>923</v>
      </c>
      <c r="K191" s="42" t="s">
        <v>403</v>
      </c>
      <c r="L191" s="42" t="s">
        <v>357</v>
      </c>
      <c r="M191" s="42" t="s">
        <v>358</v>
      </c>
      <c r="N191" s="42" t="s">
        <v>348</v>
      </c>
      <c r="O191" s="43" t="s">
        <v>808</v>
      </c>
      <c r="P191" s="42" t="s">
        <v>386</v>
      </c>
    </row>
    <row r="192" spans="1:16" ht="39.6">
      <c r="A192" s="42" t="s">
        <v>623</v>
      </c>
      <c r="B192" s="42" t="s">
        <v>845</v>
      </c>
      <c r="C192" s="42" t="s">
        <v>924</v>
      </c>
      <c r="D192" s="42" t="s">
        <v>925</v>
      </c>
      <c r="E192" s="52" t="s">
        <v>321</v>
      </c>
      <c r="F192" s="52" t="s">
        <v>43</v>
      </c>
      <c r="G192" s="52" t="s">
        <v>310</v>
      </c>
      <c r="H192" s="52" t="s">
        <v>311</v>
      </c>
      <c r="I192" s="42" t="s">
        <v>305</v>
      </c>
      <c r="J192" s="42" t="s">
        <v>926</v>
      </c>
      <c r="K192" s="42" t="s">
        <v>731</v>
      </c>
      <c r="L192" s="42" t="s">
        <v>357</v>
      </c>
      <c r="M192" s="42" t="s">
        <v>358</v>
      </c>
      <c r="N192" s="42" t="s">
        <v>348</v>
      </c>
      <c r="O192" s="43" t="s">
        <v>808</v>
      </c>
      <c r="P192" s="42" t="s">
        <v>386</v>
      </c>
    </row>
    <row r="193" spans="1:16" ht="39.6">
      <c r="A193" s="42" t="s">
        <v>628</v>
      </c>
      <c r="B193" s="42" t="s">
        <v>845</v>
      </c>
      <c r="C193" s="42" t="s">
        <v>927</v>
      </c>
      <c r="D193" s="42" t="s">
        <v>928</v>
      </c>
      <c r="E193" s="52" t="s">
        <v>321</v>
      </c>
      <c r="F193" s="52" t="s">
        <v>43</v>
      </c>
      <c r="G193" s="52" t="s">
        <v>310</v>
      </c>
      <c r="H193" s="52" t="s">
        <v>311</v>
      </c>
      <c r="I193" s="42" t="s">
        <v>305</v>
      </c>
      <c r="J193" s="42" t="s">
        <v>754</v>
      </c>
      <c r="K193" s="42" t="s">
        <v>403</v>
      </c>
      <c r="L193" s="42" t="s">
        <v>357</v>
      </c>
      <c r="M193" s="42" t="s">
        <v>358</v>
      </c>
      <c r="N193" s="42" t="s">
        <v>348</v>
      </c>
      <c r="O193" s="43" t="s">
        <v>808</v>
      </c>
      <c r="P193" s="42" t="s">
        <v>386</v>
      </c>
    </row>
    <row r="194" spans="1:16" ht="39.6">
      <c r="A194" s="42" t="s">
        <v>637</v>
      </c>
      <c r="B194" s="42" t="s">
        <v>845</v>
      </c>
      <c r="C194" s="42" t="s">
        <v>929</v>
      </c>
      <c r="D194" s="42" t="s">
        <v>930</v>
      </c>
      <c r="E194" s="52" t="s">
        <v>321</v>
      </c>
      <c r="F194" s="52" t="s">
        <v>43</v>
      </c>
      <c r="G194" s="52" t="s">
        <v>310</v>
      </c>
      <c r="H194" s="52" t="s">
        <v>311</v>
      </c>
      <c r="I194" s="42" t="s">
        <v>305</v>
      </c>
      <c r="J194" s="42" t="s">
        <v>735</v>
      </c>
      <c r="K194" s="42" t="s">
        <v>731</v>
      </c>
      <c r="L194" s="42" t="s">
        <v>357</v>
      </c>
      <c r="M194" s="42" t="s">
        <v>358</v>
      </c>
      <c r="N194" s="42" t="s">
        <v>348</v>
      </c>
      <c r="O194" s="43" t="s">
        <v>808</v>
      </c>
      <c r="P194" s="42" t="s">
        <v>386</v>
      </c>
    </row>
    <row r="195" spans="1:16" ht="39.6">
      <c r="A195" s="42" t="s">
        <v>645</v>
      </c>
      <c r="B195" s="42" t="s">
        <v>845</v>
      </c>
      <c r="C195" s="42" t="s">
        <v>931</v>
      </c>
      <c r="D195" s="42" t="s">
        <v>932</v>
      </c>
      <c r="E195" s="52" t="s">
        <v>321</v>
      </c>
      <c r="F195" s="52" t="s">
        <v>43</v>
      </c>
      <c r="G195" s="52" t="s">
        <v>310</v>
      </c>
      <c r="H195" s="52" t="s">
        <v>311</v>
      </c>
      <c r="I195" s="42" t="s">
        <v>305</v>
      </c>
      <c r="J195" s="42" t="s">
        <v>920</v>
      </c>
      <c r="K195" s="42" t="s">
        <v>731</v>
      </c>
      <c r="L195" s="42" t="s">
        <v>357</v>
      </c>
      <c r="M195" s="42" t="s">
        <v>358</v>
      </c>
      <c r="N195" s="42" t="s">
        <v>348</v>
      </c>
      <c r="O195" s="43" t="s">
        <v>808</v>
      </c>
      <c r="P195" s="42" t="s">
        <v>386</v>
      </c>
    </row>
    <row r="196" spans="1:16" ht="39.6">
      <c r="A196" s="42" t="s">
        <v>649</v>
      </c>
      <c r="B196" s="42" t="s">
        <v>845</v>
      </c>
      <c r="C196" s="42" t="s">
        <v>933</v>
      </c>
      <c r="D196" s="42" t="s">
        <v>934</v>
      </c>
      <c r="E196" s="52" t="s">
        <v>321</v>
      </c>
      <c r="F196" s="53" t="s">
        <v>20</v>
      </c>
      <c r="G196" s="52" t="s">
        <v>310</v>
      </c>
      <c r="H196" s="52" t="s">
        <v>311</v>
      </c>
      <c r="I196" s="42" t="s">
        <v>305</v>
      </c>
      <c r="J196" s="42" t="s">
        <v>489</v>
      </c>
      <c r="K196" s="42" t="s">
        <v>691</v>
      </c>
      <c r="L196" s="42" t="s">
        <v>384</v>
      </c>
      <c r="M196" s="42" t="s">
        <v>358</v>
      </c>
      <c r="N196" s="42" t="s">
        <v>348</v>
      </c>
      <c r="O196" s="43" t="s">
        <v>935</v>
      </c>
      <c r="P196" s="42" t="s">
        <v>386</v>
      </c>
    </row>
    <row r="197" spans="1:16" ht="39.6">
      <c r="A197" s="42" t="s">
        <v>652</v>
      </c>
      <c r="B197" s="42" t="s">
        <v>845</v>
      </c>
      <c r="C197" s="42" t="s">
        <v>936</v>
      </c>
      <c r="D197" s="42" t="s">
        <v>937</v>
      </c>
      <c r="E197" s="52" t="s">
        <v>321</v>
      </c>
      <c r="F197" s="53" t="s">
        <v>20</v>
      </c>
      <c r="G197" s="52" t="s">
        <v>310</v>
      </c>
      <c r="H197" s="52" t="s">
        <v>311</v>
      </c>
      <c r="I197" s="42" t="s">
        <v>305</v>
      </c>
      <c r="J197" s="42" t="s">
        <v>489</v>
      </c>
      <c r="K197" s="42" t="s">
        <v>691</v>
      </c>
      <c r="L197" s="42" t="s">
        <v>384</v>
      </c>
      <c r="M197" s="42" t="s">
        <v>358</v>
      </c>
      <c r="N197" s="42" t="s">
        <v>348</v>
      </c>
      <c r="O197" s="43" t="s">
        <v>935</v>
      </c>
      <c r="P197" s="42" t="s">
        <v>386</v>
      </c>
    </row>
    <row r="198" spans="1:16">
      <c r="A198" s="42" t="s">
        <v>660</v>
      </c>
      <c r="B198" s="42" t="s">
        <v>845</v>
      </c>
      <c r="C198" s="42" t="s">
        <v>938</v>
      </c>
      <c r="D198" s="42" t="s">
        <v>939</v>
      </c>
      <c r="E198" s="52" t="s">
        <v>321</v>
      </c>
      <c r="F198" s="52" t="s">
        <v>41</v>
      </c>
      <c r="G198" s="52" t="s">
        <v>310</v>
      </c>
      <c r="H198" s="52" t="s">
        <v>363</v>
      </c>
      <c r="I198" s="42" t="s">
        <v>364</v>
      </c>
      <c r="J198" s="42" t="s">
        <v>831</v>
      </c>
      <c r="K198" s="42" t="s">
        <v>831</v>
      </c>
      <c r="L198" s="42" t="s">
        <v>613</v>
      </c>
      <c r="M198" s="42" t="s">
        <v>832</v>
      </c>
      <c r="N198" s="42" t="s">
        <v>409</v>
      </c>
      <c r="O198" s="43"/>
      <c r="P198" s="42" t="s">
        <v>326</v>
      </c>
    </row>
    <row r="199" spans="1:16">
      <c r="A199" s="42" t="s">
        <v>412</v>
      </c>
      <c r="B199" s="42" t="s">
        <v>845</v>
      </c>
      <c r="C199" s="42" t="s">
        <v>940</v>
      </c>
      <c r="D199" s="42" t="s">
        <v>941</v>
      </c>
      <c r="E199" s="52" t="s">
        <v>321</v>
      </c>
      <c r="F199" s="52" t="s">
        <v>16</v>
      </c>
      <c r="G199" s="52" t="s">
        <v>310</v>
      </c>
      <c r="H199" s="52" t="s">
        <v>353</v>
      </c>
      <c r="I199" s="42" t="s">
        <v>354</v>
      </c>
      <c r="J199" s="42" t="s">
        <v>942</v>
      </c>
      <c r="K199" s="42" t="s">
        <v>731</v>
      </c>
      <c r="L199" s="42" t="s">
        <v>603</v>
      </c>
      <c r="M199" s="42" t="s">
        <v>604</v>
      </c>
      <c r="N199" s="42" t="s">
        <v>731</v>
      </c>
      <c r="O199" s="43"/>
      <c r="P199" s="42" t="s">
        <v>317</v>
      </c>
    </row>
    <row r="200" spans="1:16">
      <c r="A200" s="42" t="s">
        <v>668</v>
      </c>
      <c r="B200" s="42" t="s">
        <v>845</v>
      </c>
      <c r="C200" s="42" t="s">
        <v>943</v>
      </c>
      <c r="D200" s="42" t="s">
        <v>944</v>
      </c>
      <c r="E200" s="52" t="s">
        <v>321</v>
      </c>
      <c r="F200" s="52" t="s">
        <v>16</v>
      </c>
      <c r="G200" s="52" t="s">
        <v>310</v>
      </c>
      <c r="H200" s="52" t="s">
        <v>363</v>
      </c>
      <c r="I200" s="42" t="s">
        <v>364</v>
      </c>
      <c r="J200" s="42" t="s">
        <v>942</v>
      </c>
      <c r="K200" s="42" t="s">
        <v>731</v>
      </c>
      <c r="L200" s="42" t="s">
        <v>603</v>
      </c>
      <c r="M200" s="42" t="s">
        <v>604</v>
      </c>
      <c r="N200" s="42" t="s">
        <v>409</v>
      </c>
      <c r="O200" s="43"/>
      <c r="P200" s="42" t="s">
        <v>317</v>
      </c>
    </row>
    <row r="201" spans="1:16">
      <c r="A201" s="42" t="s">
        <v>672</v>
      </c>
      <c r="B201" s="42" t="s">
        <v>845</v>
      </c>
      <c r="C201" s="42" t="s">
        <v>945</v>
      </c>
      <c r="D201" s="42" t="s">
        <v>946</v>
      </c>
      <c r="E201" s="52" t="s">
        <v>321</v>
      </c>
      <c r="F201" s="52" t="s">
        <v>16</v>
      </c>
      <c r="G201" s="52" t="s">
        <v>310</v>
      </c>
      <c r="H201" s="52" t="s">
        <v>363</v>
      </c>
      <c r="I201" s="42" t="s">
        <v>364</v>
      </c>
      <c r="J201" s="42" t="s">
        <v>835</v>
      </c>
      <c r="K201" s="42" t="s">
        <v>391</v>
      </c>
      <c r="L201" s="42" t="s">
        <v>357</v>
      </c>
      <c r="M201" s="42" t="s">
        <v>746</v>
      </c>
      <c r="N201" s="42" t="s">
        <v>409</v>
      </c>
      <c r="O201" s="43"/>
      <c r="P201" s="42" t="s">
        <v>386</v>
      </c>
    </row>
    <row r="202" spans="1:16">
      <c r="A202" s="42" t="s">
        <v>679</v>
      </c>
      <c r="B202" s="42" t="s">
        <v>845</v>
      </c>
      <c r="C202" s="42" t="s">
        <v>947</v>
      </c>
      <c r="D202" s="42" t="s">
        <v>948</v>
      </c>
      <c r="E202" s="52" t="s">
        <v>321</v>
      </c>
      <c r="F202" s="52" t="s">
        <v>20</v>
      </c>
      <c r="G202" s="52" t="s">
        <v>310</v>
      </c>
      <c r="H202" s="52" t="s">
        <v>363</v>
      </c>
      <c r="I202" s="42" t="s">
        <v>364</v>
      </c>
      <c r="J202" s="42" t="s">
        <v>838</v>
      </c>
      <c r="K202" s="42" t="s">
        <v>409</v>
      </c>
      <c r="L202" s="42" t="s">
        <v>357</v>
      </c>
      <c r="M202" s="42" t="s">
        <v>358</v>
      </c>
      <c r="N202" s="42" t="s">
        <v>409</v>
      </c>
      <c r="O202" s="43"/>
      <c r="P202" s="42" t="s">
        <v>386</v>
      </c>
    </row>
    <row r="203" spans="1:16">
      <c r="A203" s="42" t="s">
        <v>682</v>
      </c>
      <c r="B203" s="42" t="s">
        <v>845</v>
      </c>
      <c r="C203" s="42" t="s">
        <v>949</v>
      </c>
      <c r="D203" s="42" t="s">
        <v>950</v>
      </c>
      <c r="E203" s="52" t="s">
        <v>321</v>
      </c>
      <c r="F203" s="52" t="s">
        <v>20</v>
      </c>
      <c r="G203" s="52" t="s">
        <v>310</v>
      </c>
      <c r="H203" s="52" t="s">
        <v>311</v>
      </c>
      <c r="I203" s="42" t="s">
        <v>305</v>
      </c>
      <c r="J203" s="42" t="s">
        <v>314</v>
      </c>
      <c r="K203" s="42" t="s">
        <v>384</v>
      </c>
      <c r="L203" s="42" t="s">
        <v>357</v>
      </c>
      <c r="M203" s="42" t="s">
        <v>358</v>
      </c>
      <c r="N203" s="42" t="s">
        <v>348</v>
      </c>
      <c r="O203" s="43"/>
      <c r="P203" s="42" t="s">
        <v>386</v>
      </c>
    </row>
    <row r="204" spans="1:16">
      <c r="A204" s="42" t="s">
        <v>688</v>
      </c>
      <c r="B204" s="42" t="s">
        <v>845</v>
      </c>
      <c r="C204" s="42" t="s">
        <v>951</v>
      </c>
      <c r="D204" s="42" t="s">
        <v>952</v>
      </c>
      <c r="E204" s="52" t="s">
        <v>321</v>
      </c>
      <c r="F204" s="52" t="s">
        <v>20</v>
      </c>
      <c r="G204" s="52" t="s">
        <v>310</v>
      </c>
      <c r="H204" s="52" t="s">
        <v>311</v>
      </c>
      <c r="I204" s="42" t="s">
        <v>305</v>
      </c>
      <c r="J204" s="42" t="s">
        <v>844</v>
      </c>
      <c r="K204" s="42" t="s">
        <v>766</v>
      </c>
      <c r="L204" s="42" t="s">
        <v>357</v>
      </c>
      <c r="M204" s="42" t="s">
        <v>358</v>
      </c>
      <c r="N204" s="42" t="s">
        <v>348</v>
      </c>
      <c r="O204" s="43"/>
      <c r="P204" s="42" t="s">
        <v>386</v>
      </c>
    </row>
    <row r="205" spans="1:16">
      <c r="A205" s="42" t="s">
        <v>696</v>
      </c>
      <c r="B205" s="42" t="s">
        <v>845</v>
      </c>
      <c r="C205" s="42" t="s">
        <v>953</v>
      </c>
      <c r="D205" s="42" t="s">
        <v>954</v>
      </c>
      <c r="E205" s="52" t="s">
        <v>321</v>
      </c>
      <c r="F205" s="52" t="s">
        <v>20</v>
      </c>
      <c r="G205" s="52" t="s">
        <v>310</v>
      </c>
      <c r="H205" s="52" t="s">
        <v>353</v>
      </c>
      <c r="I205" s="42" t="s">
        <v>354</v>
      </c>
      <c r="J205" s="42" t="s">
        <v>844</v>
      </c>
      <c r="K205" s="42" t="s">
        <v>766</v>
      </c>
      <c r="L205" s="42" t="s">
        <v>357</v>
      </c>
      <c r="M205" s="42" t="s">
        <v>358</v>
      </c>
      <c r="N205" s="42" t="s">
        <v>731</v>
      </c>
      <c r="O205" s="43"/>
      <c r="P205" s="42" t="s">
        <v>386</v>
      </c>
    </row>
    <row r="206" spans="1:16">
      <c r="A206" s="42" t="s">
        <v>699</v>
      </c>
      <c r="B206" s="42" t="s">
        <v>845</v>
      </c>
      <c r="C206" s="42" t="s">
        <v>955</v>
      </c>
      <c r="D206" s="42" t="s">
        <v>956</v>
      </c>
      <c r="E206" s="52" t="s">
        <v>321</v>
      </c>
      <c r="F206" s="52" t="s">
        <v>20</v>
      </c>
      <c r="G206" s="52" t="s">
        <v>310</v>
      </c>
      <c r="H206" s="52" t="s">
        <v>311</v>
      </c>
      <c r="I206" s="42" t="s">
        <v>305</v>
      </c>
      <c r="J206" s="42" t="s">
        <v>403</v>
      </c>
      <c r="K206" s="42" t="s">
        <v>403</v>
      </c>
      <c r="L206" s="42" t="s">
        <v>357</v>
      </c>
      <c r="M206" s="42" t="s">
        <v>358</v>
      </c>
      <c r="N206" s="42" t="s">
        <v>348</v>
      </c>
      <c r="O206" s="43"/>
      <c r="P206" s="42" t="s">
        <v>386</v>
      </c>
    </row>
    <row r="207" spans="1:16">
      <c r="A207" s="42" t="s">
        <v>702</v>
      </c>
      <c r="B207" s="42" t="s">
        <v>845</v>
      </c>
      <c r="C207" s="42" t="s">
        <v>957</v>
      </c>
      <c r="D207" s="42" t="s">
        <v>958</v>
      </c>
      <c r="E207" s="52" t="s">
        <v>15</v>
      </c>
      <c r="F207" s="52" t="s">
        <v>41</v>
      </c>
      <c r="G207" s="52" t="s">
        <v>310</v>
      </c>
      <c r="H207" s="52" t="s">
        <v>363</v>
      </c>
      <c r="I207" s="42" t="s">
        <v>364</v>
      </c>
      <c r="J207" s="42" t="s">
        <v>959</v>
      </c>
      <c r="K207" s="42" t="s">
        <v>794</v>
      </c>
      <c r="L207" s="42" t="s">
        <v>603</v>
      </c>
      <c r="M207" s="42" t="s">
        <v>795</v>
      </c>
      <c r="N207" s="42" t="s">
        <v>409</v>
      </c>
      <c r="O207" s="43"/>
      <c r="P207" s="42" t="s">
        <v>386</v>
      </c>
    </row>
    <row r="208" spans="1:16">
      <c r="A208" s="42" t="s">
        <v>705</v>
      </c>
      <c r="B208" s="42" t="s">
        <v>845</v>
      </c>
      <c r="C208" s="42" t="s">
        <v>960</v>
      </c>
      <c r="D208" s="42" t="s">
        <v>961</v>
      </c>
      <c r="E208" s="52" t="s">
        <v>321</v>
      </c>
      <c r="F208" s="52" t="s">
        <v>41</v>
      </c>
      <c r="G208" s="52" t="s">
        <v>310</v>
      </c>
      <c r="H208" s="52" t="s">
        <v>311</v>
      </c>
      <c r="I208" s="42" t="s">
        <v>305</v>
      </c>
      <c r="J208" s="42" t="s">
        <v>959</v>
      </c>
      <c r="K208" s="42" t="s">
        <v>794</v>
      </c>
      <c r="L208" s="42" t="s">
        <v>603</v>
      </c>
      <c r="M208" s="42" t="s">
        <v>795</v>
      </c>
      <c r="N208" s="42" t="s">
        <v>348</v>
      </c>
      <c r="O208" s="43"/>
      <c r="P208" s="42" t="s">
        <v>386</v>
      </c>
    </row>
    <row r="209" spans="1:17">
      <c r="A209" s="42" t="s">
        <v>962</v>
      </c>
      <c r="B209" s="42" t="s">
        <v>845</v>
      </c>
      <c r="C209" s="42" t="s">
        <v>963</v>
      </c>
      <c r="D209" s="42" t="s">
        <v>964</v>
      </c>
      <c r="E209" s="52" t="s">
        <v>15</v>
      </c>
      <c r="F209" s="52" t="s">
        <v>16</v>
      </c>
      <c r="G209" s="52" t="s">
        <v>310</v>
      </c>
      <c r="H209" s="52" t="s">
        <v>353</v>
      </c>
      <c r="I209" s="42" t="s">
        <v>354</v>
      </c>
      <c r="J209" s="42" t="s">
        <v>942</v>
      </c>
      <c r="K209" s="42" t="s">
        <v>731</v>
      </c>
      <c r="L209" s="42" t="s">
        <v>603</v>
      </c>
      <c r="M209" s="42" t="s">
        <v>604</v>
      </c>
      <c r="N209" s="42" t="s">
        <v>731</v>
      </c>
      <c r="O209" s="43"/>
      <c r="P209" s="42" t="s">
        <v>317</v>
      </c>
    </row>
    <row r="210" spans="1:17">
      <c r="A210" s="42" t="s">
        <v>962</v>
      </c>
      <c r="B210" s="42" t="s">
        <v>845</v>
      </c>
      <c r="C210" s="42" t="s">
        <v>965</v>
      </c>
      <c r="D210" s="42" t="s">
        <v>966</v>
      </c>
      <c r="E210" s="52" t="s">
        <v>321</v>
      </c>
      <c r="F210" s="52" t="s">
        <v>41</v>
      </c>
      <c r="G210" s="52" t="s">
        <v>310</v>
      </c>
      <c r="H210" s="52" t="s">
        <v>353</v>
      </c>
      <c r="I210" s="42" t="s">
        <v>354</v>
      </c>
      <c r="J210" s="42" t="s">
        <v>967</v>
      </c>
      <c r="K210" s="42" t="s">
        <v>754</v>
      </c>
      <c r="L210" s="42" t="s">
        <v>613</v>
      </c>
      <c r="M210" s="42" t="s">
        <v>784</v>
      </c>
      <c r="N210" s="42" t="s">
        <v>731</v>
      </c>
      <c r="O210" s="43"/>
      <c r="P210" s="42" t="s">
        <v>317</v>
      </c>
    </row>
    <row r="211" spans="1:17">
      <c r="A211" s="42" t="s">
        <v>968</v>
      </c>
      <c r="B211" s="42" t="s">
        <v>845</v>
      </c>
      <c r="C211" s="42" t="s">
        <v>969</v>
      </c>
      <c r="D211" s="42" t="s">
        <v>970</v>
      </c>
      <c r="E211" s="52" t="s">
        <v>321</v>
      </c>
      <c r="F211" s="52" t="s">
        <v>41</v>
      </c>
      <c r="G211" s="52" t="s">
        <v>310</v>
      </c>
      <c r="H211" s="52" t="s">
        <v>353</v>
      </c>
      <c r="I211" s="42" t="s">
        <v>354</v>
      </c>
      <c r="J211" s="42" t="s">
        <v>967</v>
      </c>
      <c r="K211" s="42" t="s">
        <v>754</v>
      </c>
      <c r="L211" s="42" t="s">
        <v>613</v>
      </c>
      <c r="M211" s="42" t="s">
        <v>784</v>
      </c>
      <c r="N211" s="42" t="s">
        <v>731</v>
      </c>
      <c r="O211" s="43"/>
      <c r="P211" s="42" t="s">
        <v>317</v>
      </c>
    </row>
    <row r="212" spans="1:17">
      <c r="A212" s="42" t="s">
        <v>971</v>
      </c>
      <c r="B212" s="42" t="s">
        <v>845</v>
      </c>
      <c r="C212" s="42" t="s">
        <v>972</v>
      </c>
      <c r="D212" s="42" t="s">
        <v>973</v>
      </c>
      <c r="E212" s="52" t="s">
        <v>15</v>
      </c>
      <c r="F212" s="52" t="s">
        <v>41</v>
      </c>
      <c r="G212" s="52" t="s">
        <v>310</v>
      </c>
      <c r="H212" s="52" t="s">
        <v>363</v>
      </c>
      <c r="I212" s="42" t="s">
        <v>364</v>
      </c>
      <c r="J212" s="42" t="s">
        <v>967</v>
      </c>
      <c r="K212" s="42" t="s">
        <v>754</v>
      </c>
      <c r="L212" s="42" t="s">
        <v>613</v>
      </c>
      <c r="M212" s="42" t="s">
        <v>784</v>
      </c>
      <c r="N212" s="42" t="s">
        <v>409</v>
      </c>
      <c r="O212" s="43"/>
      <c r="P212" s="42" t="s">
        <v>317</v>
      </c>
    </row>
    <row r="213" spans="1:17">
      <c r="A213" s="42" t="s">
        <v>974</v>
      </c>
      <c r="B213" s="42" t="s">
        <v>845</v>
      </c>
      <c r="C213" s="42" t="s">
        <v>975</v>
      </c>
      <c r="D213" s="42" t="s">
        <v>788</v>
      </c>
      <c r="E213" s="52" t="s">
        <v>321</v>
      </c>
      <c r="F213" s="52" t="s">
        <v>41</v>
      </c>
      <c r="G213" s="52" t="s">
        <v>310</v>
      </c>
      <c r="H213" s="52" t="s">
        <v>311</v>
      </c>
      <c r="I213" s="42" t="s">
        <v>305</v>
      </c>
      <c r="J213" s="42" t="s">
        <v>820</v>
      </c>
      <c r="K213" s="42" t="s">
        <v>754</v>
      </c>
      <c r="L213" s="42" t="s">
        <v>613</v>
      </c>
      <c r="M213" s="42" t="s">
        <v>763</v>
      </c>
      <c r="N213" s="42" t="s">
        <v>348</v>
      </c>
      <c r="O213" s="43"/>
      <c r="P213" s="42" t="s">
        <v>317</v>
      </c>
    </row>
    <row r="214" spans="1:17">
      <c r="A214" s="42" t="s">
        <v>976</v>
      </c>
      <c r="B214" s="42" t="s">
        <v>845</v>
      </c>
      <c r="C214" s="42" t="s">
        <v>977</v>
      </c>
      <c r="D214" s="42" t="s">
        <v>790</v>
      </c>
      <c r="E214" s="52" t="s">
        <v>321</v>
      </c>
      <c r="F214" s="52" t="s">
        <v>41</v>
      </c>
      <c r="G214" s="52" t="s">
        <v>310</v>
      </c>
      <c r="H214" s="52" t="s">
        <v>311</v>
      </c>
      <c r="I214" s="42" t="s">
        <v>305</v>
      </c>
      <c r="J214" s="42" t="s">
        <v>820</v>
      </c>
      <c r="K214" s="42" t="s">
        <v>754</v>
      </c>
      <c r="L214" s="42" t="s">
        <v>613</v>
      </c>
      <c r="M214" s="42" t="s">
        <v>763</v>
      </c>
      <c r="N214" s="42" t="s">
        <v>348</v>
      </c>
      <c r="O214" s="43"/>
      <c r="P214" s="42" t="s">
        <v>317</v>
      </c>
    </row>
    <row r="215" spans="1:17">
      <c r="A215" s="42" t="s">
        <v>978</v>
      </c>
      <c r="B215" s="42" t="s">
        <v>845</v>
      </c>
      <c r="C215" s="42" t="s">
        <v>979</v>
      </c>
      <c r="D215" s="42" t="s">
        <v>898</v>
      </c>
      <c r="E215" s="52" t="s">
        <v>15</v>
      </c>
      <c r="F215" s="52" t="s">
        <v>41</v>
      </c>
      <c r="G215" s="52" t="s">
        <v>310</v>
      </c>
      <c r="H215" s="52" t="s">
        <v>363</v>
      </c>
      <c r="I215" s="42" t="s">
        <v>364</v>
      </c>
      <c r="J215" s="42" t="s">
        <v>820</v>
      </c>
      <c r="K215" s="42" t="s">
        <v>754</v>
      </c>
      <c r="L215" s="42" t="s">
        <v>613</v>
      </c>
      <c r="M215" s="42" t="s">
        <v>763</v>
      </c>
      <c r="N215" s="42" t="s">
        <v>409</v>
      </c>
      <c r="O215" s="43"/>
      <c r="P215" s="42" t="s">
        <v>317</v>
      </c>
    </row>
    <row r="216" spans="1:17">
      <c r="A216" s="42" t="s">
        <v>962</v>
      </c>
      <c r="B216" s="42" t="s">
        <v>845</v>
      </c>
      <c r="C216" s="42" t="s">
        <v>980</v>
      </c>
      <c r="D216" s="42" t="s">
        <v>981</v>
      </c>
      <c r="E216" s="52" t="s">
        <v>15</v>
      </c>
      <c r="F216" s="52" t="s">
        <v>41</v>
      </c>
      <c r="G216" s="52" t="s">
        <v>310</v>
      </c>
      <c r="H216" s="52" t="s">
        <v>353</v>
      </c>
      <c r="I216" s="42" t="s">
        <v>354</v>
      </c>
      <c r="J216" s="42" t="s">
        <v>982</v>
      </c>
      <c r="K216" s="42" t="s">
        <v>632</v>
      </c>
      <c r="L216" s="42" t="s">
        <v>603</v>
      </c>
      <c r="M216" s="42" t="s">
        <v>795</v>
      </c>
      <c r="N216" s="42" t="s">
        <v>731</v>
      </c>
      <c r="O216" s="43"/>
      <c r="P216" s="42" t="s">
        <v>317</v>
      </c>
    </row>
    <row r="217" spans="1:17">
      <c r="A217" s="42" t="s">
        <v>968</v>
      </c>
      <c r="B217" s="42" t="s">
        <v>845</v>
      </c>
      <c r="C217" s="42" t="s">
        <v>983</v>
      </c>
      <c r="D217" s="42" t="s">
        <v>984</v>
      </c>
      <c r="E217" s="52" t="s">
        <v>321</v>
      </c>
      <c r="F217" s="52" t="s">
        <v>41</v>
      </c>
      <c r="G217" s="52" t="s">
        <v>310</v>
      </c>
      <c r="H217" s="52" t="s">
        <v>363</v>
      </c>
      <c r="I217" s="42" t="s">
        <v>354</v>
      </c>
      <c r="J217" s="42" t="s">
        <v>982</v>
      </c>
      <c r="K217" s="42" t="s">
        <v>632</v>
      </c>
      <c r="L217" s="42" t="s">
        <v>603</v>
      </c>
      <c r="M217" s="42" t="s">
        <v>795</v>
      </c>
      <c r="N217" s="42" t="s">
        <v>731</v>
      </c>
      <c r="O217" s="43"/>
      <c r="P217" s="42" t="s">
        <v>317</v>
      </c>
    </row>
    <row r="220" spans="1:17">
      <c r="A220" s="43"/>
      <c r="B220" s="43"/>
      <c r="C220" s="43"/>
      <c r="D220" s="43"/>
      <c r="E220" s="43"/>
      <c r="F220" s="51"/>
      <c r="G220" s="51"/>
      <c r="H220" s="51"/>
      <c r="I220" s="43"/>
      <c r="J220" s="43"/>
      <c r="K220" s="43"/>
      <c r="L220" s="43"/>
      <c r="M220" s="43"/>
      <c r="N220" s="43"/>
      <c r="O220" s="43"/>
      <c r="P220" s="43"/>
      <c r="Q220" s="43"/>
    </row>
    <row r="222" spans="1:17">
      <c r="A222" s="90">
        <v>46062</v>
      </c>
    </row>
    <row r="223" spans="1:17">
      <c r="B223" s="91" t="s">
        <v>985</v>
      </c>
      <c r="C223" s="42" t="s">
        <v>986</v>
      </c>
      <c r="D223" s="52" t="s">
        <v>987</v>
      </c>
      <c r="E223" s="42" t="s">
        <v>988</v>
      </c>
      <c r="F223" s="52" t="s">
        <v>989</v>
      </c>
      <c r="G223" s="52" t="s">
        <v>990</v>
      </c>
      <c r="H223" s="42" t="s">
        <v>991</v>
      </c>
      <c r="I223" s="42" t="s">
        <v>992</v>
      </c>
    </row>
    <row r="224" spans="1:17">
      <c r="B224" s="91"/>
      <c r="D224" s="52"/>
      <c r="H224" s="42"/>
    </row>
    <row r="225" spans="2:9">
      <c r="B225" s="91"/>
      <c r="D225" s="52"/>
      <c r="H225" s="42"/>
    </row>
    <row r="226" spans="2:9">
      <c r="B226" s="91"/>
      <c r="D226" s="52"/>
      <c r="H226" s="42"/>
    </row>
    <row r="227" spans="2:9">
      <c r="B227" s="91"/>
      <c r="D227" s="52"/>
      <c r="H227" s="42"/>
    </row>
    <row r="228" spans="2:9">
      <c r="B228" s="91"/>
      <c r="D228" s="52"/>
      <c r="H228" s="42"/>
    </row>
    <row r="229" spans="2:9">
      <c r="B229" s="91" t="s">
        <v>306</v>
      </c>
      <c r="C229" s="42" t="s">
        <v>15</v>
      </c>
      <c r="D229" s="52" t="s">
        <v>993</v>
      </c>
      <c r="E229" s="42" t="s">
        <v>994</v>
      </c>
      <c r="F229" s="52" t="s">
        <v>995</v>
      </c>
      <c r="G229" s="52" t="s">
        <v>310</v>
      </c>
      <c r="H229" s="42" t="s">
        <v>309</v>
      </c>
      <c r="I229" s="42">
        <v>11</v>
      </c>
    </row>
    <row r="230" spans="2:9">
      <c r="B230" s="91" t="s">
        <v>306</v>
      </c>
      <c r="C230" s="42" t="s">
        <v>321</v>
      </c>
      <c r="D230" s="52" t="s">
        <v>996</v>
      </c>
      <c r="E230" s="42" t="s">
        <v>997</v>
      </c>
      <c r="F230" s="52" t="s">
        <v>995</v>
      </c>
      <c r="G230" s="52" t="s">
        <v>310</v>
      </c>
      <c r="H230" s="42" t="s">
        <v>309</v>
      </c>
      <c r="I230" s="42">
        <v>11</v>
      </c>
    </row>
    <row r="231" spans="2:9">
      <c r="B231" s="91" t="s">
        <v>306</v>
      </c>
      <c r="C231" s="42" t="s">
        <v>15</v>
      </c>
      <c r="D231" s="52" t="s">
        <v>993</v>
      </c>
      <c r="E231" s="42" t="s">
        <v>323</v>
      </c>
      <c r="F231" s="52" t="s">
        <v>324</v>
      </c>
      <c r="G231" s="52" t="s">
        <v>310</v>
      </c>
      <c r="H231" s="42" t="s">
        <v>20</v>
      </c>
      <c r="I231" s="42">
        <v>11</v>
      </c>
    </row>
    <row r="232" spans="2:9">
      <c r="B232" s="91" t="s">
        <v>306</v>
      </c>
      <c r="C232" s="42" t="s">
        <v>321</v>
      </c>
      <c r="D232" s="52" t="s">
        <v>996</v>
      </c>
      <c r="E232" s="42" t="s">
        <v>328</v>
      </c>
      <c r="F232" s="52" t="s">
        <v>329</v>
      </c>
      <c r="G232" s="52" t="s">
        <v>310</v>
      </c>
      <c r="H232" s="42" t="s">
        <v>20</v>
      </c>
      <c r="I232" s="42">
        <v>11</v>
      </c>
    </row>
    <row r="233" spans="2:9">
      <c r="B233" s="91" t="s">
        <v>306</v>
      </c>
      <c r="C233" s="42" t="s">
        <v>15</v>
      </c>
      <c r="D233" s="52" t="s">
        <v>993</v>
      </c>
      <c r="E233" s="42" t="s">
        <v>335</v>
      </c>
      <c r="F233" s="52" t="s">
        <v>324</v>
      </c>
      <c r="G233" s="52" t="s">
        <v>310</v>
      </c>
      <c r="H233" s="42" t="s">
        <v>20</v>
      </c>
      <c r="I233" s="42">
        <v>11</v>
      </c>
    </row>
    <row r="234" spans="2:9">
      <c r="B234" s="91" t="s">
        <v>306</v>
      </c>
      <c r="C234" s="42" t="s">
        <v>321</v>
      </c>
      <c r="D234" s="52" t="s">
        <v>996</v>
      </c>
      <c r="E234" s="42" t="s">
        <v>337</v>
      </c>
      <c r="F234" s="52" t="s">
        <v>338</v>
      </c>
      <c r="G234" s="52" t="s">
        <v>310</v>
      </c>
      <c r="H234" s="42" t="s">
        <v>20</v>
      </c>
      <c r="I234" s="42">
        <v>11</v>
      </c>
    </row>
    <row r="235" spans="2:9">
      <c r="B235" s="91" t="s">
        <v>306</v>
      </c>
      <c r="C235" s="42" t="s">
        <v>15</v>
      </c>
      <c r="D235" s="52" t="s">
        <v>993</v>
      </c>
      <c r="E235" s="42" t="s">
        <v>340</v>
      </c>
      <c r="F235" s="52" t="s">
        <v>341</v>
      </c>
      <c r="G235" s="52" t="s">
        <v>310</v>
      </c>
      <c r="H235" s="42" t="s">
        <v>20</v>
      </c>
      <c r="I235" s="42">
        <v>11</v>
      </c>
    </row>
    <row r="236" spans="2:9">
      <c r="B236" s="91" t="s">
        <v>306</v>
      </c>
      <c r="C236" s="42" t="s">
        <v>321</v>
      </c>
      <c r="D236" s="52" t="s">
        <v>996</v>
      </c>
      <c r="E236" s="42" t="s">
        <v>343</v>
      </c>
      <c r="F236" s="52" t="s">
        <v>344</v>
      </c>
      <c r="G236" s="52" t="s">
        <v>310</v>
      </c>
      <c r="H236" s="42" t="s">
        <v>20</v>
      </c>
      <c r="I236" s="42">
        <v>11</v>
      </c>
    </row>
    <row r="237" spans="2:9">
      <c r="B237" s="91" t="s">
        <v>306</v>
      </c>
      <c r="C237" s="42" t="s">
        <v>321</v>
      </c>
      <c r="D237" s="52" t="s">
        <v>996</v>
      </c>
      <c r="E237" s="42" t="s">
        <v>998</v>
      </c>
      <c r="F237" s="52" t="s">
        <v>999</v>
      </c>
      <c r="G237" s="52" t="s">
        <v>310</v>
      </c>
      <c r="H237" s="42" t="s">
        <v>20</v>
      </c>
      <c r="I237" s="42">
        <v>11</v>
      </c>
    </row>
    <row r="238" spans="2:9">
      <c r="B238" s="91" t="s">
        <v>306</v>
      </c>
      <c r="C238" s="42" t="s">
        <v>15</v>
      </c>
      <c r="D238" s="52" t="s">
        <v>993</v>
      </c>
      <c r="E238" s="42" t="s">
        <v>1000</v>
      </c>
      <c r="F238" s="52" t="s">
        <v>351</v>
      </c>
      <c r="G238" s="52" t="s">
        <v>310</v>
      </c>
      <c r="H238" s="42" t="s">
        <v>352</v>
      </c>
      <c r="I238" s="42">
        <v>11</v>
      </c>
    </row>
    <row r="239" spans="2:9">
      <c r="B239" s="91" t="s">
        <v>306</v>
      </c>
      <c r="C239" s="42" t="s">
        <v>321</v>
      </c>
      <c r="D239" s="52" t="s">
        <v>996</v>
      </c>
      <c r="E239" s="42" t="s">
        <v>1001</v>
      </c>
      <c r="F239" s="52" t="s">
        <v>362</v>
      </c>
      <c r="G239" s="52" t="s">
        <v>310</v>
      </c>
      <c r="H239" s="42" t="s">
        <v>352</v>
      </c>
      <c r="I239" s="42">
        <v>11</v>
      </c>
    </row>
    <row r="240" spans="2:9">
      <c r="B240" s="91" t="s">
        <v>306</v>
      </c>
      <c r="C240" s="42" t="s">
        <v>15</v>
      </c>
      <c r="D240" s="52" t="s">
        <v>993</v>
      </c>
      <c r="E240" s="42" t="s">
        <v>1002</v>
      </c>
      <c r="F240" s="52" t="s">
        <v>1003</v>
      </c>
      <c r="G240" s="52" t="s">
        <v>310</v>
      </c>
      <c r="H240" s="42" t="s">
        <v>352</v>
      </c>
      <c r="I240" s="42">
        <v>11</v>
      </c>
    </row>
    <row r="241" spans="2:9">
      <c r="B241" s="91" t="s">
        <v>306</v>
      </c>
      <c r="C241" s="42" t="s">
        <v>321</v>
      </c>
      <c r="D241" s="52" t="s">
        <v>996</v>
      </c>
      <c r="E241" s="42" t="s">
        <v>1004</v>
      </c>
      <c r="F241" s="52" t="s">
        <v>1005</v>
      </c>
      <c r="G241" s="52" t="s">
        <v>333</v>
      </c>
      <c r="H241" s="42" t="s">
        <v>352</v>
      </c>
      <c r="I241" s="42">
        <v>11</v>
      </c>
    </row>
    <row r="242" spans="2:9">
      <c r="B242" s="91" t="s">
        <v>306</v>
      </c>
      <c r="C242" s="42" t="s">
        <v>15</v>
      </c>
      <c r="D242" s="52" t="s">
        <v>993</v>
      </c>
      <c r="E242" s="42" t="s">
        <v>381</v>
      </c>
      <c r="F242" s="52" t="s">
        <v>1006</v>
      </c>
      <c r="G242" s="52" t="s">
        <v>310</v>
      </c>
      <c r="H242" s="42" t="s">
        <v>20</v>
      </c>
      <c r="I242" s="42">
        <v>11</v>
      </c>
    </row>
    <row r="243" spans="2:9">
      <c r="B243" s="91" t="s">
        <v>306</v>
      </c>
      <c r="C243" s="42" t="s">
        <v>321</v>
      </c>
      <c r="D243" s="52" t="s">
        <v>996</v>
      </c>
      <c r="E243" s="42" t="s">
        <v>1007</v>
      </c>
      <c r="F243" s="52" t="s">
        <v>1008</v>
      </c>
      <c r="G243" s="52" t="s">
        <v>310</v>
      </c>
      <c r="H243" s="42" t="s">
        <v>20</v>
      </c>
      <c r="I243" s="42">
        <v>11</v>
      </c>
    </row>
    <row r="244" spans="2:9">
      <c r="B244" s="91" t="s">
        <v>387</v>
      </c>
      <c r="C244" s="42" t="s">
        <v>311</v>
      </c>
      <c r="D244" s="52" t="s">
        <v>1009</v>
      </c>
      <c r="E244" s="42" t="s">
        <v>388</v>
      </c>
      <c r="F244" s="52" t="s">
        <v>389</v>
      </c>
      <c r="G244" s="52" t="s">
        <v>333</v>
      </c>
      <c r="H244" s="42" t="s">
        <v>16</v>
      </c>
      <c r="I244" s="42">
        <v>0.69</v>
      </c>
    </row>
    <row r="245" spans="2:9">
      <c r="B245" s="91" t="s">
        <v>387</v>
      </c>
      <c r="C245" s="42" t="s">
        <v>311</v>
      </c>
      <c r="D245" s="52" t="s">
        <v>1009</v>
      </c>
      <c r="E245" s="42" t="s">
        <v>394</v>
      </c>
      <c r="F245" s="52" t="s">
        <v>395</v>
      </c>
      <c r="G245" s="52" t="s">
        <v>333</v>
      </c>
      <c r="H245" s="42" t="s">
        <v>16</v>
      </c>
      <c r="I245" s="42">
        <v>0.69</v>
      </c>
    </row>
    <row r="246" spans="2:9">
      <c r="B246" s="91" t="s">
        <v>387</v>
      </c>
      <c r="C246" s="42" t="s">
        <v>311</v>
      </c>
      <c r="D246" s="52" t="s">
        <v>1009</v>
      </c>
      <c r="E246" s="42" t="s">
        <v>396</v>
      </c>
      <c r="F246" s="52" t="s">
        <v>397</v>
      </c>
      <c r="G246" s="52" t="s">
        <v>333</v>
      </c>
      <c r="H246" s="42" t="s">
        <v>1010</v>
      </c>
      <c r="I246" s="42">
        <v>0.69</v>
      </c>
    </row>
    <row r="247" spans="2:9">
      <c r="B247" s="91" t="s">
        <v>387</v>
      </c>
      <c r="C247" s="42" t="s">
        <v>311</v>
      </c>
      <c r="D247" s="52" t="s">
        <v>1009</v>
      </c>
      <c r="E247" s="42" t="s">
        <v>399</v>
      </c>
      <c r="F247" s="52" t="s">
        <v>400</v>
      </c>
      <c r="G247" s="52" t="s">
        <v>333</v>
      </c>
      <c r="H247" s="42" t="s">
        <v>1010</v>
      </c>
      <c r="I247" s="42">
        <v>0.69</v>
      </c>
    </row>
    <row r="248" spans="2:9">
      <c r="B248" s="91" t="s">
        <v>387</v>
      </c>
      <c r="C248" s="42" t="s">
        <v>15</v>
      </c>
      <c r="D248" s="52" t="s">
        <v>1011</v>
      </c>
      <c r="E248" s="42" t="s">
        <v>401</v>
      </c>
      <c r="F248" s="52" t="s">
        <v>402</v>
      </c>
      <c r="G248" s="52" t="s">
        <v>333</v>
      </c>
      <c r="H248" s="42" t="s">
        <v>24</v>
      </c>
      <c r="I248" s="42">
        <v>0.69</v>
      </c>
    </row>
    <row r="249" spans="2:9">
      <c r="B249" s="91" t="s">
        <v>387</v>
      </c>
      <c r="C249" s="42" t="s">
        <v>311</v>
      </c>
      <c r="D249" s="52" t="s">
        <v>1009</v>
      </c>
      <c r="E249" s="42" t="s">
        <v>404</v>
      </c>
      <c r="F249" s="52" t="s">
        <v>405</v>
      </c>
      <c r="G249" s="52" t="s">
        <v>333</v>
      </c>
      <c r="H249" s="42" t="s">
        <v>24</v>
      </c>
      <c r="I249" s="42">
        <v>0.69</v>
      </c>
    </row>
    <row r="250" spans="2:9">
      <c r="B250" s="91" t="s">
        <v>387</v>
      </c>
      <c r="C250" s="42" t="s">
        <v>15</v>
      </c>
      <c r="D250" s="52" t="s">
        <v>1011</v>
      </c>
      <c r="E250" s="42" t="s">
        <v>406</v>
      </c>
      <c r="F250" s="52" t="s">
        <v>407</v>
      </c>
      <c r="G250" s="52" t="s">
        <v>333</v>
      </c>
      <c r="H250" s="42" t="s">
        <v>24</v>
      </c>
      <c r="I250" s="42">
        <v>0.69</v>
      </c>
    </row>
    <row r="251" spans="2:9">
      <c r="B251" s="91" t="s">
        <v>387</v>
      </c>
      <c r="C251" s="42" t="s">
        <v>311</v>
      </c>
      <c r="D251" s="52" t="s">
        <v>1009</v>
      </c>
      <c r="E251" s="42" t="s">
        <v>410</v>
      </c>
      <c r="F251" s="52" t="s">
        <v>411</v>
      </c>
      <c r="G251" s="52" t="s">
        <v>333</v>
      </c>
      <c r="H251" s="42" t="s">
        <v>24</v>
      </c>
      <c r="I251" s="42">
        <v>0.69</v>
      </c>
    </row>
    <row r="252" spans="2:9">
      <c r="B252" s="91" t="s">
        <v>387</v>
      </c>
      <c r="C252" s="42" t="s">
        <v>321</v>
      </c>
      <c r="D252" s="52" t="s">
        <v>1012</v>
      </c>
      <c r="E252" s="42" t="s">
        <v>413</v>
      </c>
      <c r="F252" s="52" t="s">
        <v>414</v>
      </c>
      <c r="G252" s="52" t="s">
        <v>333</v>
      </c>
      <c r="H252" s="42" t="s">
        <v>24</v>
      </c>
      <c r="I252" s="42">
        <v>0.69</v>
      </c>
    </row>
    <row r="253" spans="2:9">
      <c r="B253" s="91" t="s">
        <v>387</v>
      </c>
      <c r="C253" s="42" t="s">
        <v>15</v>
      </c>
      <c r="D253" s="52" t="s">
        <v>1011</v>
      </c>
      <c r="E253" s="42" t="s">
        <v>415</v>
      </c>
      <c r="F253" s="52" t="s">
        <v>416</v>
      </c>
      <c r="G253" s="52" t="s">
        <v>333</v>
      </c>
      <c r="H253" s="42" t="s">
        <v>24</v>
      </c>
      <c r="I253" s="42">
        <v>0.69</v>
      </c>
    </row>
    <row r="254" spans="2:9">
      <c r="B254" s="91" t="s">
        <v>387</v>
      </c>
      <c r="C254" s="42" t="s">
        <v>311</v>
      </c>
      <c r="D254" s="52" t="s">
        <v>1009</v>
      </c>
      <c r="E254" s="42" t="s">
        <v>418</v>
      </c>
      <c r="F254" s="52" t="s">
        <v>419</v>
      </c>
      <c r="G254" s="52" t="s">
        <v>333</v>
      </c>
      <c r="H254" s="42" t="s">
        <v>24</v>
      </c>
      <c r="I254" s="42">
        <v>0.69</v>
      </c>
    </row>
    <row r="255" spans="2:9">
      <c r="B255" s="91" t="s">
        <v>387</v>
      </c>
      <c r="C255" s="42" t="s">
        <v>321</v>
      </c>
      <c r="D255" s="52" t="s">
        <v>1012</v>
      </c>
      <c r="E255" s="42" t="s">
        <v>420</v>
      </c>
      <c r="F255" s="52" t="s">
        <v>421</v>
      </c>
      <c r="G255" s="52" t="s">
        <v>333</v>
      </c>
      <c r="H255" s="42" t="s">
        <v>24</v>
      </c>
      <c r="I255" s="42">
        <v>0.69</v>
      </c>
    </row>
    <row r="256" spans="2:9">
      <c r="B256" s="91" t="s">
        <v>387</v>
      </c>
      <c r="C256" s="42" t="s">
        <v>15</v>
      </c>
      <c r="D256" s="52" t="s">
        <v>1011</v>
      </c>
      <c r="E256" s="42" t="s">
        <v>422</v>
      </c>
      <c r="F256" s="52" t="s">
        <v>423</v>
      </c>
      <c r="G256" s="52" t="s">
        <v>333</v>
      </c>
      <c r="H256" s="42" t="s">
        <v>24</v>
      </c>
      <c r="I256" s="42">
        <v>0.69</v>
      </c>
    </row>
    <row r="257" spans="2:9">
      <c r="B257" s="91" t="s">
        <v>387</v>
      </c>
      <c r="C257" s="42" t="s">
        <v>311</v>
      </c>
      <c r="D257" s="52" t="s">
        <v>1009</v>
      </c>
      <c r="E257" s="42" t="s">
        <v>426</v>
      </c>
      <c r="F257" s="52" t="s">
        <v>427</v>
      </c>
      <c r="G257" s="52" t="s">
        <v>333</v>
      </c>
      <c r="H257" s="42" t="s">
        <v>24</v>
      </c>
      <c r="I257" s="42">
        <v>0.69</v>
      </c>
    </row>
    <row r="258" spans="2:9">
      <c r="B258" s="91" t="s">
        <v>387</v>
      </c>
      <c r="C258" s="42" t="s">
        <v>321</v>
      </c>
      <c r="D258" s="52" t="s">
        <v>1012</v>
      </c>
      <c r="E258" s="42" t="s">
        <v>428</v>
      </c>
      <c r="F258" s="52" t="s">
        <v>429</v>
      </c>
      <c r="G258" s="52" t="s">
        <v>333</v>
      </c>
      <c r="H258" s="42" t="s">
        <v>24</v>
      </c>
      <c r="I258" s="42">
        <v>0.69</v>
      </c>
    </row>
    <row r="259" spans="2:9">
      <c r="B259" s="91" t="s">
        <v>387</v>
      </c>
      <c r="C259" s="42" t="s">
        <v>15</v>
      </c>
      <c r="D259" s="52" t="s">
        <v>1011</v>
      </c>
      <c r="E259" s="42" t="s">
        <v>430</v>
      </c>
      <c r="F259" s="52" t="s">
        <v>431</v>
      </c>
      <c r="G259" s="52" t="s">
        <v>333</v>
      </c>
      <c r="H259" s="42" t="s">
        <v>24</v>
      </c>
      <c r="I259" s="42">
        <v>0.69</v>
      </c>
    </row>
    <row r="260" spans="2:9">
      <c r="B260" s="91" t="s">
        <v>387</v>
      </c>
      <c r="C260" s="42" t="s">
        <v>311</v>
      </c>
      <c r="D260" s="52" t="s">
        <v>1009</v>
      </c>
      <c r="E260" s="42" t="s">
        <v>433</v>
      </c>
      <c r="F260" s="52" t="s">
        <v>434</v>
      </c>
      <c r="G260" s="52" t="s">
        <v>333</v>
      </c>
      <c r="H260" s="42" t="s">
        <v>24</v>
      </c>
      <c r="I260" s="42">
        <v>0.69</v>
      </c>
    </row>
    <row r="261" spans="2:9">
      <c r="B261" s="91" t="s">
        <v>387</v>
      </c>
      <c r="C261" s="42" t="s">
        <v>321</v>
      </c>
      <c r="D261" s="52" t="s">
        <v>1012</v>
      </c>
      <c r="E261" s="42" t="s">
        <v>436</v>
      </c>
      <c r="F261" s="52" t="s">
        <v>437</v>
      </c>
      <c r="G261" s="52" t="s">
        <v>333</v>
      </c>
      <c r="H261" s="42" t="s">
        <v>24</v>
      </c>
      <c r="I261" s="42">
        <v>0.69</v>
      </c>
    </row>
    <row r="262" spans="2:9">
      <c r="B262" s="91" t="s">
        <v>387</v>
      </c>
      <c r="C262" s="42" t="s">
        <v>15</v>
      </c>
      <c r="D262" s="52" t="s">
        <v>1011</v>
      </c>
      <c r="E262" s="42" t="s">
        <v>439</v>
      </c>
      <c r="F262" s="52" t="s">
        <v>440</v>
      </c>
      <c r="G262" s="52" t="s">
        <v>333</v>
      </c>
      <c r="H262" s="42" t="s">
        <v>24</v>
      </c>
      <c r="I262" s="42">
        <v>0.69</v>
      </c>
    </row>
    <row r="263" spans="2:9">
      <c r="B263" s="91" t="s">
        <v>387</v>
      </c>
      <c r="C263" s="42" t="s">
        <v>311</v>
      </c>
      <c r="D263" s="52" t="s">
        <v>1009</v>
      </c>
      <c r="E263" s="42" t="s">
        <v>443</v>
      </c>
      <c r="F263" s="52" t="s">
        <v>444</v>
      </c>
      <c r="G263" s="52" t="s">
        <v>333</v>
      </c>
      <c r="H263" s="42" t="s">
        <v>24</v>
      </c>
      <c r="I263" s="42">
        <v>0.69</v>
      </c>
    </row>
    <row r="264" spans="2:9">
      <c r="B264" s="91" t="s">
        <v>387</v>
      </c>
      <c r="C264" s="42" t="s">
        <v>321</v>
      </c>
      <c r="D264" s="52" t="s">
        <v>1012</v>
      </c>
      <c r="E264" s="42" t="s">
        <v>446</v>
      </c>
      <c r="F264" s="52" t="s">
        <v>447</v>
      </c>
      <c r="G264" s="52" t="s">
        <v>333</v>
      </c>
      <c r="H264" s="42" t="s">
        <v>24</v>
      </c>
      <c r="I264" s="42">
        <v>0.69</v>
      </c>
    </row>
    <row r="265" spans="2:9">
      <c r="B265" s="91" t="s">
        <v>387</v>
      </c>
      <c r="C265" s="42" t="s">
        <v>15</v>
      </c>
      <c r="D265" s="52" t="s">
        <v>1011</v>
      </c>
      <c r="E265" s="42" t="s">
        <v>449</v>
      </c>
      <c r="F265" s="52" t="s">
        <v>450</v>
      </c>
      <c r="G265" s="52" t="s">
        <v>333</v>
      </c>
      <c r="H265" s="42" t="s">
        <v>24</v>
      </c>
      <c r="I265" s="42">
        <v>0.69</v>
      </c>
    </row>
    <row r="266" spans="2:9">
      <c r="B266" s="91" t="s">
        <v>387</v>
      </c>
      <c r="C266" s="42" t="s">
        <v>311</v>
      </c>
      <c r="D266" s="52" t="s">
        <v>1009</v>
      </c>
      <c r="E266" s="42" t="s">
        <v>453</v>
      </c>
      <c r="F266" s="52" t="s">
        <v>454</v>
      </c>
      <c r="G266" s="52" t="s">
        <v>333</v>
      </c>
      <c r="H266" s="42" t="s">
        <v>24</v>
      </c>
      <c r="I266" s="42">
        <v>0.69</v>
      </c>
    </row>
    <row r="267" spans="2:9">
      <c r="B267" s="91" t="s">
        <v>387</v>
      </c>
      <c r="C267" s="42" t="s">
        <v>321</v>
      </c>
      <c r="D267" s="52" t="s">
        <v>1012</v>
      </c>
      <c r="E267" s="42" t="s">
        <v>456</v>
      </c>
      <c r="F267" s="52" t="s">
        <v>457</v>
      </c>
      <c r="G267" s="52" t="s">
        <v>333</v>
      </c>
      <c r="H267" s="42" t="s">
        <v>24</v>
      </c>
      <c r="I267" s="42">
        <v>0.69</v>
      </c>
    </row>
    <row r="268" spans="2:9">
      <c r="B268" s="91" t="s">
        <v>387</v>
      </c>
      <c r="C268" s="42" t="s">
        <v>15</v>
      </c>
      <c r="D268" s="52" t="s">
        <v>1011</v>
      </c>
      <c r="E268" s="42" t="s">
        <v>459</v>
      </c>
      <c r="F268" s="52" t="s">
        <v>460</v>
      </c>
      <c r="G268" s="52" t="s">
        <v>333</v>
      </c>
      <c r="H268" s="42" t="s">
        <v>24</v>
      </c>
      <c r="I268" s="42">
        <v>0.69</v>
      </c>
    </row>
    <row r="269" spans="2:9">
      <c r="B269" s="91" t="s">
        <v>387</v>
      </c>
      <c r="C269" s="42" t="s">
        <v>311</v>
      </c>
      <c r="D269" s="52" t="s">
        <v>1009</v>
      </c>
      <c r="E269" s="42" t="s">
        <v>463</v>
      </c>
      <c r="F269" s="52" t="s">
        <v>464</v>
      </c>
      <c r="G269" s="52" t="s">
        <v>333</v>
      </c>
      <c r="H269" s="42" t="s">
        <v>24</v>
      </c>
      <c r="I269" s="42">
        <v>0.69</v>
      </c>
    </row>
    <row r="270" spans="2:9">
      <c r="B270" s="91" t="s">
        <v>387</v>
      </c>
      <c r="C270" s="42" t="s">
        <v>321</v>
      </c>
      <c r="D270" s="52" t="s">
        <v>1012</v>
      </c>
      <c r="E270" s="42" t="s">
        <v>466</v>
      </c>
      <c r="F270" s="52" t="s">
        <v>467</v>
      </c>
      <c r="G270" s="52" t="s">
        <v>333</v>
      </c>
      <c r="H270" s="42" t="s">
        <v>24</v>
      </c>
      <c r="I270" s="42">
        <v>0.69</v>
      </c>
    </row>
    <row r="271" spans="2:9">
      <c r="B271" s="91" t="s">
        <v>387</v>
      </c>
      <c r="C271" s="42" t="s">
        <v>15</v>
      </c>
      <c r="D271" s="52" t="s">
        <v>1011</v>
      </c>
      <c r="E271" s="42" t="s">
        <v>477</v>
      </c>
      <c r="F271" s="52" t="s">
        <v>478</v>
      </c>
      <c r="G271" s="52" t="s">
        <v>333</v>
      </c>
      <c r="H271" s="42" t="s">
        <v>24</v>
      </c>
      <c r="I271" s="42">
        <v>0.69</v>
      </c>
    </row>
    <row r="272" spans="2:9">
      <c r="B272" s="91" t="s">
        <v>387</v>
      </c>
      <c r="C272" s="42" t="s">
        <v>311</v>
      </c>
      <c r="D272" s="52" t="s">
        <v>1009</v>
      </c>
      <c r="E272" s="42" t="s">
        <v>480</v>
      </c>
      <c r="F272" s="52" t="s">
        <v>481</v>
      </c>
      <c r="G272" s="52" t="s">
        <v>333</v>
      </c>
      <c r="H272" s="42" t="s">
        <v>24</v>
      </c>
      <c r="I272" s="42">
        <v>0.69</v>
      </c>
    </row>
    <row r="273" spans="2:9">
      <c r="B273" s="91" t="s">
        <v>387</v>
      </c>
      <c r="C273" s="42" t="s">
        <v>321</v>
      </c>
      <c r="D273" s="52" t="s">
        <v>1012</v>
      </c>
      <c r="E273" s="42" t="s">
        <v>483</v>
      </c>
      <c r="F273" s="52" t="s">
        <v>484</v>
      </c>
      <c r="G273" s="52" t="s">
        <v>333</v>
      </c>
      <c r="H273" s="42" t="s">
        <v>24</v>
      </c>
      <c r="I273" s="42">
        <v>0.69</v>
      </c>
    </row>
    <row r="274" spans="2:9">
      <c r="B274" s="91" t="s">
        <v>387</v>
      </c>
      <c r="C274" s="42" t="s">
        <v>15</v>
      </c>
      <c r="D274" s="52" t="s">
        <v>1011</v>
      </c>
      <c r="E274" s="42" t="s">
        <v>486</v>
      </c>
      <c r="F274" s="52" t="s">
        <v>487</v>
      </c>
      <c r="G274" s="52" t="s">
        <v>333</v>
      </c>
      <c r="H274" s="42" t="s">
        <v>24</v>
      </c>
      <c r="I274" s="42">
        <v>0.69</v>
      </c>
    </row>
    <row r="275" spans="2:9">
      <c r="B275" s="91" t="s">
        <v>387</v>
      </c>
      <c r="C275" s="42" t="s">
        <v>311</v>
      </c>
      <c r="D275" s="52" t="s">
        <v>1009</v>
      </c>
      <c r="E275" s="42" t="s">
        <v>491</v>
      </c>
      <c r="F275" s="52" t="s">
        <v>492</v>
      </c>
      <c r="G275" s="52" t="s">
        <v>333</v>
      </c>
      <c r="H275" s="42" t="s">
        <v>24</v>
      </c>
      <c r="I275" s="42">
        <v>0.69</v>
      </c>
    </row>
    <row r="276" spans="2:9">
      <c r="B276" s="91" t="s">
        <v>387</v>
      </c>
      <c r="C276" s="42" t="s">
        <v>321</v>
      </c>
      <c r="D276" s="52" t="s">
        <v>1012</v>
      </c>
      <c r="E276" s="42" t="s">
        <v>494</v>
      </c>
      <c r="F276" s="52" t="s">
        <v>495</v>
      </c>
      <c r="G276" s="52" t="s">
        <v>333</v>
      </c>
      <c r="H276" s="42" t="s">
        <v>24</v>
      </c>
      <c r="I276" s="42">
        <v>0.69</v>
      </c>
    </row>
    <row r="277" spans="2:9">
      <c r="B277" s="91" t="s">
        <v>387</v>
      </c>
      <c r="C277" s="42" t="s">
        <v>311</v>
      </c>
      <c r="D277" s="52" t="s">
        <v>1009</v>
      </c>
      <c r="E277" s="42" t="s">
        <v>1013</v>
      </c>
      <c r="F277" s="52" t="s">
        <v>1014</v>
      </c>
      <c r="G277" s="52" t="s">
        <v>333</v>
      </c>
      <c r="H277" s="42" t="s">
        <v>1015</v>
      </c>
      <c r="I277" s="42">
        <v>0.69</v>
      </c>
    </row>
    <row r="278" spans="2:9">
      <c r="B278" s="91" t="s">
        <v>387</v>
      </c>
      <c r="C278" s="42" t="s">
        <v>15</v>
      </c>
      <c r="D278" s="52" t="s">
        <v>1011</v>
      </c>
      <c r="E278" s="42" t="s">
        <v>1016</v>
      </c>
      <c r="F278" s="52" t="s">
        <v>1017</v>
      </c>
      <c r="G278" s="52" t="s">
        <v>333</v>
      </c>
      <c r="H278" s="42" t="s">
        <v>1015</v>
      </c>
      <c r="I278" s="42">
        <v>0.69</v>
      </c>
    </row>
    <row r="279" spans="2:9">
      <c r="B279" s="91" t="s">
        <v>387</v>
      </c>
      <c r="C279" s="42" t="s">
        <v>311</v>
      </c>
      <c r="D279" s="52" t="s">
        <v>1009</v>
      </c>
      <c r="E279" s="42" t="s">
        <v>1018</v>
      </c>
      <c r="F279" s="52" t="s">
        <v>1019</v>
      </c>
      <c r="G279" s="52" t="s">
        <v>333</v>
      </c>
      <c r="H279" s="42" t="s">
        <v>1015</v>
      </c>
      <c r="I279" s="42">
        <v>0.69</v>
      </c>
    </row>
    <row r="280" spans="2:9">
      <c r="B280" s="91" t="s">
        <v>387</v>
      </c>
      <c r="C280" s="42" t="s">
        <v>15</v>
      </c>
      <c r="D280" s="52" t="s">
        <v>1011</v>
      </c>
      <c r="E280" s="42" t="s">
        <v>1020</v>
      </c>
      <c r="F280" s="52" t="s">
        <v>1021</v>
      </c>
      <c r="G280" s="52" t="s">
        <v>333</v>
      </c>
      <c r="H280" s="42" t="s">
        <v>1015</v>
      </c>
      <c r="I280" s="42">
        <v>0.69</v>
      </c>
    </row>
    <row r="281" spans="2:9">
      <c r="B281" s="91" t="s">
        <v>387</v>
      </c>
      <c r="C281" s="42" t="s">
        <v>311</v>
      </c>
      <c r="D281" s="52" t="s">
        <v>1009</v>
      </c>
      <c r="E281" s="42" t="s">
        <v>1022</v>
      </c>
      <c r="F281" s="52" t="s">
        <v>1023</v>
      </c>
      <c r="G281" s="52" t="s">
        <v>333</v>
      </c>
      <c r="H281" s="42" t="s">
        <v>1015</v>
      </c>
      <c r="I281" s="42">
        <v>0.69</v>
      </c>
    </row>
    <row r="282" spans="2:9">
      <c r="B282" s="91" t="s">
        <v>387</v>
      </c>
      <c r="C282" s="42" t="s">
        <v>15</v>
      </c>
      <c r="D282" s="52" t="s">
        <v>1011</v>
      </c>
      <c r="E282" s="42" t="s">
        <v>1024</v>
      </c>
      <c r="F282" s="52" t="s">
        <v>1025</v>
      </c>
      <c r="G282" s="52" t="s">
        <v>333</v>
      </c>
      <c r="H282" s="42" t="s">
        <v>1015</v>
      </c>
      <c r="I282" s="42">
        <v>0.69</v>
      </c>
    </row>
    <row r="283" spans="2:9">
      <c r="B283" s="91" t="s">
        <v>387</v>
      </c>
      <c r="C283" s="42" t="s">
        <v>311</v>
      </c>
      <c r="D283" s="52" t="s">
        <v>1009</v>
      </c>
      <c r="E283" s="42" t="s">
        <v>1026</v>
      </c>
      <c r="F283" s="52" t="s">
        <v>1027</v>
      </c>
      <c r="G283" s="52" t="s">
        <v>333</v>
      </c>
      <c r="H283" s="42" t="s">
        <v>1015</v>
      </c>
      <c r="I283" s="42">
        <v>0.69</v>
      </c>
    </row>
    <row r="284" spans="2:9">
      <c r="B284" s="91" t="s">
        <v>387</v>
      </c>
      <c r="C284" s="42" t="s">
        <v>15</v>
      </c>
      <c r="D284" s="52" t="s">
        <v>1011</v>
      </c>
      <c r="E284" s="42" t="s">
        <v>1028</v>
      </c>
      <c r="F284" s="52" t="s">
        <v>1029</v>
      </c>
      <c r="G284" s="52" t="s">
        <v>333</v>
      </c>
      <c r="H284" s="42" t="s">
        <v>1015</v>
      </c>
      <c r="I284" s="42">
        <v>0.69</v>
      </c>
    </row>
    <row r="285" spans="2:9">
      <c r="B285" s="91" t="s">
        <v>387</v>
      </c>
      <c r="C285" s="42" t="s">
        <v>15</v>
      </c>
      <c r="D285" s="52" t="s">
        <v>1011</v>
      </c>
      <c r="E285" s="42" t="s">
        <v>591</v>
      </c>
      <c r="F285" s="52" t="s">
        <v>592</v>
      </c>
      <c r="G285" s="52" t="s">
        <v>310</v>
      </c>
      <c r="H285" s="42" t="s">
        <v>1030</v>
      </c>
      <c r="I285" s="42">
        <v>0.69</v>
      </c>
    </row>
    <row r="286" spans="2:9">
      <c r="B286" s="91" t="s">
        <v>387</v>
      </c>
      <c r="C286" s="42" t="s">
        <v>311</v>
      </c>
      <c r="D286" s="52" t="s">
        <v>1009</v>
      </c>
      <c r="E286" s="42" t="s">
        <v>596</v>
      </c>
      <c r="F286" s="52" t="s">
        <v>597</v>
      </c>
      <c r="G286" s="52" t="s">
        <v>333</v>
      </c>
      <c r="H286" s="42" t="s">
        <v>1030</v>
      </c>
      <c r="I286" s="42">
        <v>0.69</v>
      </c>
    </row>
    <row r="287" spans="2:9">
      <c r="B287" s="91" t="s">
        <v>387</v>
      </c>
      <c r="C287" s="42" t="s">
        <v>311</v>
      </c>
      <c r="D287" s="52" t="s">
        <v>1009</v>
      </c>
      <c r="E287" s="42" t="s">
        <v>619</v>
      </c>
      <c r="F287" s="52" t="s">
        <v>620</v>
      </c>
      <c r="G287" s="52" t="s">
        <v>333</v>
      </c>
      <c r="H287" s="42" t="s">
        <v>1030</v>
      </c>
      <c r="I287" s="42">
        <v>0.69</v>
      </c>
    </row>
    <row r="288" spans="2:9">
      <c r="B288" s="91" t="s">
        <v>387</v>
      </c>
      <c r="C288" s="42" t="s">
        <v>311</v>
      </c>
      <c r="D288" s="52" t="s">
        <v>1009</v>
      </c>
      <c r="E288" s="42" t="s">
        <v>1031</v>
      </c>
      <c r="F288" s="52" t="s">
        <v>1032</v>
      </c>
      <c r="G288" s="52" t="s">
        <v>333</v>
      </c>
      <c r="H288" s="42" t="s">
        <v>43</v>
      </c>
      <c r="I288" s="42">
        <v>0.69</v>
      </c>
    </row>
    <row r="289" spans="2:9">
      <c r="B289" s="91" t="s">
        <v>387</v>
      </c>
      <c r="C289" s="42" t="s">
        <v>311</v>
      </c>
      <c r="D289" s="52" t="s">
        <v>1009</v>
      </c>
      <c r="E289" s="42" t="s">
        <v>1033</v>
      </c>
      <c r="F289" s="52" t="s">
        <v>1034</v>
      </c>
      <c r="G289" s="52" t="s">
        <v>333</v>
      </c>
      <c r="H289" s="42" t="s">
        <v>43</v>
      </c>
      <c r="I289" s="42">
        <v>0.69</v>
      </c>
    </row>
    <row r="290" spans="2:9">
      <c r="B290" s="91" t="s">
        <v>387</v>
      </c>
      <c r="C290" s="42" t="s">
        <v>311</v>
      </c>
      <c r="D290" s="52" t="s">
        <v>1009</v>
      </c>
      <c r="E290" s="42" t="s">
        <v>1035</v>
      </c>
      <c r="F290" s="52" t="s">
        <v>1036</v>
      </c>
      <c r="G290" s="52" t="s">
        <v>333</v>
      </c>
      <c r="H290" s="42" t="s">
        <v>43</v>
      </c>
      <c r="I290" s="42">
        <v>0.69</v>
      </c>
    </row>
    <row r="291" spans="2:9">
      <c r="B291" s="91" t="s">
        <v>387</v>
      </c>
      <c r="C291" s="42" t="s">
        <v>311</v>
      </c>
      <c r="D291" s="52" t="s">
        <v>1009</v>
      </c>
      <c r="E291" s="42" t="s">
        <v>1037</v>
      </c>
      <c r="F291" s="52" t="s">
        <v>1038</v>
      </c>
      <c r="G291" s="52" t="s">
        <v>333</v>
      </c>
      <c r="H291" s="42" t="s">
        <v>43</v>
      </c>
      <c r="I291" s="42">
        <v>0.69</v>
      </c>
    </row>
    <row r="292" spans="2:9">
      <c r="B292" s="91" t="s">
        <v>387</v>
      </c>
      <c r="C292" s="42" t="s">
        <v>311</v>
      </c>
      <c r="D292" s="52" t="s">
        <v>1009</v>
      </c>
      <c r="E292" s="42" t="s">
        <v>1039</v>
      </c>
      <c r="F292" s="52" t="s">
        <v>1040</v>
      </c>
      <c r="G292" s="52" t="s">
        <v>333</v>
      </c>
      <c r="H292" s="42" t="s">
        <v>43</v>
      </c>
      <c r="I292" s="42">
        <v>0.69</v>
      </c>
    </row>
    <row r="293" spans="2:9">
      <c r="B293" s="91" t="s">
        <v>387</v>
      </c>
      <c r="C293" s="42" t="s">
        <v>311</v>
      </c>
      <c r="D293" s="52" t="s">
        <v>1009</v>
      </c>
      <c r="E293" s="42" t="s">
        <v>1041</v>
      </c>
      <c r="F293" s="52" t="s">
        <v>1042</v>
      </c>
      <c r="G293" s="52" t="s">
        <v>333</v>
      </c>
      <c r="H293" s="42" t="s">
        <v>43</v>
      </c>
      <c r="I293" s="42">
        <v>0.69</v>
      </c>
    </row>
    <row r="294" spans="2:9">
      <c r="B294" s="91" t="s">
        <v>387</v>
      </c>
      <c r="C294" s="42" t="s">
        <v>311</v>
      </c>
      <c r="D294" s="52" t="s">
        <v>1009</v>
      </c>
      <c r="E294" s="42" t="s">
        <v>1043</v>
      </c>
      <c r="F294" s="52" t="s">
        <v>1044</v>
      </c>
      <c r="G294" s="52" t="s">
        <v>333</v>
      </c>
      <c r="H294" s="42" t="s">
        <v>43</v>
      </c>
      <c r="I294" s="42">
        <v>0.69</v>
      </c>
    </row>
    <row r="295" spans="2:9">
      <c r="B295" s="91" t="s">
        <v>387</v>
      </c>
      <c r="C295" s="42" t="s">
        <v>311</v>
      </c>
      <c r="D295" s="52" t="s">
        <v>1009</v>
      </c>
      <c r="E295" s="42" t="s">
        <v>1045</v>
      </c>
      <c r="F295" s="52" t="s">
        <v>1046</v>
      </c>
      <c r="G295" s="52" t="s">
        <v>333</v>
      </c>
      <c r="H295" s="42" t="s">
        <v>43</v>
      </c>
      <c r="I295" s="42">
        <v>0.69</v>
      </c>
    </row>
    <row r="296" spans="2:9">
      <c r="B296" s="91" t="s">
        <v>387</v>
      </c>
      <c r="C296" s="42" t="s">
        <v>311</v>
      </c>
      <c r="D296" s="52" t="s">
        <v>1009</v>
      </c>
      <c r="E296" s="42" t="s">
        <v>1047</v>
      </c>
      <c r="F296" s="52" t="s">
        <v>1048</v>
      </c>
      <c r="G296" s="52" t="s">
        <v>333</v>
      </c>
      <c r="H296" s="42" t="s">
        <v>43</v>
      </c>
      <c r="I296" s="42">
        <v>0.69</v>
      </c>
    </row>
    <row r="297" spans="2:9">
      <c r="B297" s="91" t="s">
        <v>387</v>
      </c>
      <c r="C297" s="42" t="s">
        <v>311</v>
      </c>
      <c r="D297" s="52" t="s">
        <v>1009</v>
      </c>
      <c r="E297" s="42" t="s">
        <v>1049</v>
      </c>
      <c r="F297" s="52" t="s">
        <v>1050</v>
      </c>
      <c r="G297" s="52" t="s">
        <v>333</v>
      </c>
      <c r="H297" s="42" t="s">
        <v>43</v>
      </c>
      <c r="I297" s="42">
        <v>0.69</v>
      </c>
    </row>
    <row r="298" spans="2:9">
      <c r="B298" s="91" t="s">
        <v>387</v>
      </c>
      <c r="C298" s="42" t="s">
        <v>311</v>
      </c>
      <c r="D298" s="52" t="s">
        <v>1009</v>
      </c>
      <c r="E298" s="42" t="s">
        <v>1051</v>
      </c>
      <c r="F298" s="52" t="s">
        <v>1052</v>
      </c>
      <c r="G298" s="52" t="s">
        <v>333</v>
      </c>
      <c r="H298" s="42" t="s">
        <v>20</v>
      </c>
      <c r="I298" s="42">
        <v>0.69</v>
      </c>
    </row>
    <row r="299" spans="2:9">
      <c r="B299" s="91" t="s">
        <v>387</v>
      </c>
      <c r="C299" s="42" t="s">
        <v>311</v>
      </c>
      <c r="D299" s="52" t="s">
        <v>1009</v>
      </c>
      <c r="E299" s="42" t="s">
        <v>1053</v>
      </c>
      <c r="F299" s="52" t="s">
        <v>1054</v>
      </c>
      <c r="G299" s="52" t="s">
        <v>333</v>
      </c>
      <c r="H299" s="42" t="s">
        <v>20</v>
      </c>
      <c r="I299" s="42">
        <v>0.69</v>
      </c>
    </row>
    <row r="300" spans="2:9">
      <c r="B300" s="91" t="s">
        <v>387</v>
      </c>
      <c r="C300" s="42" t="s">
        <v>311</v>
      </c>
      <c r="D300" s="52" t="s">
        <v>1009</v>
      </c>
      <c r="E300" s="42" t="s">
        <v>1055</v>
      </c>
      <c r="F300" s="52" t="s">
        <v>1056</v>
      </c>
      <c r="G300" s="52" t="s">
        <v>333</v>
      </c>
      <c r="H300" s="42" t="s">
        <v>1010</v>
      </c>
      <c r="I300" s="42">
        <v>0.69</v>
      </c>
    </row>
    <row r="301" spans="2:9">
      <c r="B301" s="91" t="s">
        <v>387</v>
      </c>
      <c r="C301" s="42" t="s">
        <v>311</v>
      </c>
      <c r="D301" s="52" t="s">
        <v>1009</v>
      </c>
      <c r="E301" s="42" t="s">
        <v>1057</v>
      </c>
      <c r="F301" s="52" t="s">
        <v>1058</v>
      </c>
      <c r="G301" s="52" t="s">
        <v>333</v>
      </c>
      <c r="H301" s="42" t="s">
        <v>43</v>
      </c>
      <c r="I301" s="42">
        <v>0.69</v>
      </c>
    </row>
    <row r="302" spans="2:9">
      <c r="B302" s="91" t="s">
        <v>387</v>
      </c>
      <c r="C302" s="42" t="s">
        <v>311</v>
      </c>
      <c r="D302" s="42" t="s">
        <v>1009</v>
      </c>
      <c r="E302" s="42" t="s">
        <v>1059</v>
      </c>
      <c r="F302" s="52" t="s">
        <v>1060</v>
      </c>
      <c r="G302" s="52" t="s">
        <v>333</v>
      </c>
      <c r="H302" s="52" t="s">
        <v>1061</v>
      </c>
      <c r="I302" s="42">
        <v>0.69</v>
      </c>
    </row>
    <row r="303" spans="2:9">
      <c r="B303" s="91" t="s">
        <v>387</v>
      </c>
      <c r="C303" s="42" t="s">
        <v>15</v>
      </c>
      <c r="D303" s="42" t="s">
        <v>1011</v>
      </c>
      <c r="E303" s="42" t="s">
        <v>1062</v>
      </c>
      <c r="F303" s="52" t="s">
        <v>1060</v>
      </c>
      <c r="G303" s="52" t="s">
        <v>310</v>
      </c>
      <c r="H303" s="52" t="s">
        <v>1061</v>
      </c>
      <c r="I303" s="42">
        <v>0.69</v>
      </c>
    </row>
    <row r="304" spans="2:9">
      <c r="B304" s="91" t="s">
        <v>387</v>
      </c>
      <c r="C304" s="42" t="s">
        <v>321</v>
      </c>
      <c r="D304" s="42" t="s">
        <v>1012</v>
      </c>
      <c r="E304" s="42" t="s">
        <v>1063</v>
      </c>
      <c r="F304" s="52" t="s">
        <v>1060</v>
      </c>
      <c r="G304" s="52" t="s">
        <v>310</v>
      </c>
      <c r="H304" s="52" t="s">
        <v>1061</v>
      </c>
      <c r="I304" s="42">
        <v>0.69</v>
      </c>
    </row>
    <row r="305" spans="2:9">
      <c r="B305" s="91" t="s">
        <v>387</v>
      </c>
      <c r="C305" s="42" t="s">
        <v>311</v>
      </c>
      <c r="D305" s="42" t="s">
        <v>1009</v>
      </c>
      <c r="E305" s="42" t="s">
        <v>1064</v>
      </c>
      <c r="F305" s="52" t="s">
        <v>1065</v>
      </c>
      <c r="G305" s="52" t="s">
        <v>333</v>
      </c>
      <c r="H305" s="52" t="s">
        <v>16</v>
      </c>
      <c r="I305" s="42">
        <v>0.69</v>
      </c>
    </row>
    <row r="306" spans="2:9">
      <c r="B306" s="91" t="s">
        <v>387</v>
      </c>
      <c r="C306" s="42" t="s">
        <v>311</v>
      </c>
      <c r="D306" s="42" t="s">
        <v>1009</v>
      </c>
      <c r="E306" s="42" t="s">
        <v>1066</v>
      </c>
      <c r="F306" s="52" t="s">
        <v>1067</v>
      </c>
      <c r="G306" s="52" t="s">
        <v>333</v>
      </c>
      <c r="H306" s="52" t="s">
        <v>16</v>
      </c>
      <c r="I306" s="42">
        <v>0.69</v>
      </c>
    </row>
    <row r="307" spans="2:9">
      <c r="B307" s="91" t="s">
        <v>387</v>
      </c>
      <c r="C307" s="42" t="s">
        <v>311</v>
      </c>
      <c r="D307" s="42" t="s">
        <v>1009</v>
      </c>
      <c r="E307" s="42" t="s">
        <v>1068</v>
      </c>
      <c r="F307" s="52" t="s">
        <v>1069</v>
      </c>
      <c r="G307" s="52" t="s">
        <v>333</v>
      </c>
      <c r="H307" s="52" t="s">
        <v>41</v>
      </c>
      <c r="I307" s="42">
        <v>0.69</v>
      </c>
    </row>
    <row r="308" spans="2:9">
      <c r="B308" s="91" t="s">
        <v>387</v>
      </c>
      <c r="C308" s="42" t="s">
        <v>311</v>
      </c>
      <c r="D308" s="42" t="s">
        <v>1009</v>
      </c>
      <c r="E308" s="42" t="s">
        <v>1070</v>
      </c>
      <c r="F308" s="52" t="s">
        <v>1071</v>
      </c>
      <c r="G308" s="52" t="s">
        <v>333</v>
      </c>
      <c r="H308" s="52" t="s">
        <v>41</v>
      </c>
      <c r="I308" s="42">
        <v>0.69</v>
      </c>
    </row>
    <row r="309" spans="2:9">
      <c r="B309" s="91" t="s">
        <v>387</v>
      </c>
      <c r="C309" s="42" t="s">
        <v>15</v>
      </c>
      <c r="D309" s="42" t="s">
        <v>1011</v>
      </c>
      <c r="E309" s="42" t="s">
        <v>1072</v>
      </c>
      <c r="F309" s="52" t="s">
        <v>1065</v>
      </c>
      <c r="G309" s="52" t="s">
        <v>310</v>
      </c>
      <c r="H309" s="52" t="s">
        <v>16</v>
      </c>
      <c r="I309" s="42">
        <v>0.69</v>
      </c>
    </row>
    <row r="310" spans="2:9">
      <c r="B310" s="91" t="s">
        <v>387</v>
      </c>
      <c r="C310" s="42" t="s">
        <v>321</v>
      </c>
      <c r="D310" s="42" t="s">
        <v>1012</v>
      </c>
      <c r="E310" s="42" t="s">
        <v>1073</v>
      </c>
      <c r="F310" s="52" t="s">
        <v>1067</v>
      </c>
      <c r="G310" s="52" t="s">
        <v>310</v>
      </c>
      <c r="H310" s="52" t="s">
        <v>16</v>
      </c>
      <c r="I310" s="42">
        <v>0.69</v>
      </c>
    </row>
    <row r="311" spans="2:9">
      <c r="B311" s="91" t="s">
        <v>387</v>
      </c>
      <c r="C311" s="42" t="s">
        <v>15</v>
      </c>
      <c r="D311" s="42" t="s">
        <v>1011</v>
      </c>
      <c r="E311" s="42" t="s">
        <v>1074</v>
      </c>
      <c r="F311" s="52" t="s">
        <v>1069</v>
      </c>
      <c r="G311" s="52" t="s">
        <v>310</v>
      </c>
      <c r="H311" s="52" t="s">
        <v>41</v>
      </c>
      <c r="I311" s="42">
        <v>0.69</v>
      </c>
    </row>
    <row r="312" spans="2:9">
      <c r="B312" s="91" t="s">
        <v>387</v>
      </c>
      <c r="C312" s="42" t="s">
        <v>321</v>
      </c>
      <c r="D312" s="42" t="s">
        <v>1012</v>
      </c>
      <c r="E312" s="42" t="s">
        <v>1075</v>
      </c>
      <c r="F312" s="52" t="s">
        <v>1071</v>
      </c>
      <c r="G312" s="52" t="s">
        <v>310</v>
      </c>
      <c r="H312" s="52" t="s">
        <v>41</v>
      </c>
      <c r="I312" s="42">
        <v>0.69</v>
      </c>
    </row>
    <row r="313" spans="2:9">
      <c r="B313" s="91" t="s">
        <v>387</v>
      </c>
      <c r="C313" s="42" t="s">
        <v>15</v>
      </c>
      <c r="D313" s="42" t="s">
        <v>1011</v>
      </c>
      <c r="E313" s="42" t="s">
        <v>1076</v>
      </c>
      <c r="F313" s="52" t="s">
        <v>1065</v>
      </c>
      <c r="G313" s="52" t="s">
        <v>310</v>
      </c>
      <c r="H313" s="52" t="s">
        <v>16</v>
      </c>
      <c r="I313" s="42">
        <v>0.69</v>
      </c>
    </row>
    <row r="314" spans="2:9">
      <c r="B314" s="91" t="s">
        <v>387</v>
      </c>
      <c r="C314" s="42" t="s">
        <v>321</v>
      </c>
      <c r="D314" s="42" t="s">
        <v>1012</v>
      </c>
      <c r="E314" s="42" t="s">
        <v>1077</v>
      </c>
      <c r="F314" s="52" t="s">
        <v>1067</v>
      </c>
      <c r="G314" s="52" t="s">
        <v>310</v>
      </c>
      <c r="H314" s="52" t="s">
        <v>16</v>
      </c>
      <c r="I314" s="42">
        <v>0.69</v>
      </c>
    </row>
    <row r="315" spans="2:9">
      <c r="B315" s="91" t="s">
        <v>387</v>
      </c>
      <c r="C315" s="42" t="s">
        <v>15</v>
      </c>
      <c r="D315" s="42" t="s">
        <v>1011</v>
      </c>
      <c r="E315" s="42" t="s">
        <v>1078</v>
      </c>
      <c r="F315" s="52" t="s">
        <v>1069</v>
      </c>
      <c r="G315" s="52" t="s">
        <v>310</v>
      </c>
      <c r="H315" s="52" t="s">
        <v>41</v>
      </c>
      <c r="I315" s="42">
        <v>0.69</v>
      </c>
    </row>
    <row r="316" spans="2:9">
      <c r="B316" s="91" t="s">
        <v>387</v>
      </c>
      <c r="C316" s="42" t="s">
        <v>321</v>
      </c>
      <c r="D316" s="42" t="s">
        <v>1012</v>
      </c>
      <c r="E316" s="42" t="s">
        <v>1079</v>
      </c>
      <c r="F316" s="52" t="s">
        <v>1071</v>
      </c>
      <c r="G316" s="52" t="s">
        <v>310</v>
      </c>
      <c r="H316" s="52" t="s">
        <v>41</v>
      </c>
      <c r="I316" s="42">
        <v>0.69</v>
      </c>
    </row>
    <row r="317" spans="2:9">
      <c r="B317" s="91" t="s">
        <v>387</v>
      </c>
      <c r="C317" s="42" t="s">
        <v>311</v>
      </c>
      <c r="D317" s="42" t="s">
        <v>1009</v>
      </c>
      <c r="E317" s="42" t="s">
        <v>1080</v>
      </c>
      <c r="F317" s="52" t="s">
        <v>1081</v>
      </c>
      <c r="G317" s="52" t="s">
        <v>333</v>
      </c>
      <c r="H317" s="52" t="s">
        <v>16</v>
      </c>
      <c r="I317" s="42">
        <v>0.69</v>
      </c>
    </row>
    <row r="318" spans="2:9">
      <c r="B318" s="42" t="s">
        <v>387</v>
      </c>
      <c r="C318" s="42" t="s">
        <v>311</v>
      </c>
      <c r="D318" s="42" t="s">
        <v>1009</v>
      </c>
      <c r="E318" s="42" t="s">
        <v>1082</v>
      </c>
      <c r="F318" s="52" t="s">
        <v>1081</v>
      </c>
      <c r="G318" s="52" t="s">
        <v>333</v>
      </c>
      <c r="H318" s="52" t="s">
        <v>41</v>
      </c>
      <c r="I318" s="42">
        <v>0.69</v>
      </c>
    </row>
    <row r="319" spans="2:9">
      <c r="B319" s="42" t="s">
        <v>387</v>
      </c>
      <c r="C319" s="42" t="s">
        <v>311</v>
      </c>
      <c r="D319" s="42" t="s">
        <v>1009</v>
      </c>
      <c r="E319" s="42" t="s">
        <v>1083</v>
      </c>
      <c r="F319" s="52" t="s">
        <v>1084</v>
      </c>
      <c r="G319" s="52" t="s">
        <v>333</v>
      </c>
      <c r="H319" s="52" t="s">
        <v>41</v>
      </c>
      <c r="I319" s="42">
        <v>0.69</v>
      </c>
    </row>
    <row r="320" spans="2:9">
      <c r="B320" s="42" t="s">
        <v>387</v>
      </c>
      <c r="C320" s="42" t="s">
        <v>321</v>
      </c>
      <c r="D320" s="42" t="s">
        <v>1012</v>
      </c>
      <c r="E320" s="42" t="s">
        <v>1085</v>
      </c>
      <c r="F320" s="52" t="s">
        <v>1084</v>
      </c>
      <c r="G320" s="52" t="s">
        <v>310</v>
      </c>
      <c r="H320" s="52" t="s">
        <v>41</v>
      </c>
      <c r="I320" s="42">
        <v>0.69</v>
      </c>
    </row>
    <row r="321" spans="2:9">
      <c r="B321" s="42" t="s">
        <v>387</v>
      </c>
      <c r="C321" s="42" t="s">
        <v>15</v>
      </c>
      <c r="D321" s="42" t="s">
        <v>1011</v>
      </c>
      <c r="E321" s="42" t="s">
        <v>703</v>
      </c>
      <c r="F321" s="52" t="s">
        <v>704</v>
      </c>
      <c r="G321" s="52" t="s">
        <v>310</v>
      </c>
      <c r="H321" s="52" t="s">
        <v>1030</v>
      </c>
      <c r="I321" s="42">
        <v>0.69</v>
      </c>
    </row>
    <row r="322" spans="2:9">
      <c r="B322" s="42" t="s">
        <v>387</v>
      </c>
      <c r="C322" s="42" t="s">
        <v>311</v>
      </c>
      <c r="D322" s="42" t="s">
        <v>1009</v>
      </c>
      <c r="E322" s="42" t="s">
        <v>706</v>
      </c>
      <c r="F322" s="52" t="s">
        <v>707</v>
      </c>
      <c r="G322" s="52" t="s">
        <v>333</v>
      </c>
      <c r="H322" s="52" t="s">
        <v>1030</v>
      </c>
      <c r="I322" s="42">
        <v>0.69</v>
      </c>
    </row>
    <row r="323" spans="2:9">
      <c r="B323" s="42" t="s">
        <v>708</v>
      </c>
      <c r="C323" s="42" t="s">
        <v>321</v>
      </c>
      <c r="D323" s="42" t="s">
        <v>1086</v>
      </c>
      <c r="E323" s="42" t="s">
        <v>846</v>
      </c>
      <c r="F323" s="52" t="s">
        <v>847</v>
      </c>
      <c r="G323" s="52" t="s">
        <v>310</v>
      </c>
      <c r="H323" s="52" t="s">
        <v>1030</v>
      </c>
      <c r="I323" s="42">
        <v>0.69</v>
      </c>
    </row>
    <row r="324" spans="2:9">
      <c r="B324" s="42" t="s">
        <v>708</v>
      </c>
      <c r="C324" s="42" t="s">
        <v>321</v>
      </c>
      <c r="D324" s="42" t="s">
        <v>1086</v>
      </c>
      <c r="E324" s="42" t="s">
        <v>850</v>
      </c>
      <c r="F324" s="52" t="s">
        <v>1087</v>
      </c>
      <c r="G324" s="52" t="s">
        <v>310</v>
      </c>
      <c r="H324" s="52" t="s">
        <v>1088</v>
      </c>
      <c r="I324" s="42">
        <v>0.69</v>
      </c>
    </row>
    <row r="325" spans="2:9">
      <c r="B325" s="42" t="s">
        <v>708</v>
      </c>
      <c r="C325" s="42" t="s">
        <v>15</v>
      </c>
      <c r="D325" s="42" t="s">
        <v>1089</v>
      </c>
      <c r="E325" s="42" t="s">
        <v>1090</v>
      </c>
      <c r="F325" s="52" t="s">
        <v>1091</v>
      </c>
      <c r="G325" s="52" t="s">
        <v>310</v>
      </c>
      <c r="H325" s="52" t="s">
        <v>1015</v>
      </c>
      <c r="I325" s="42">
        <v>0.69</v>
      </c>
    </row>
    <row r="326" spans="2:9">
      <c r="B326" s="42" t="s">
        <v>708</v>
      </c>
      <c r="C326" s="42" t="s">
        <v>321</v>
      </c>
      <c r="D326" s="42" t="s">
        <v>1086</v>
      </c>
      <c r="E326" s="42" t="s">
        <v>1092</v>
      </c>
      <c r="F326" s="52" t="s">
        <v>1093</v>
      </c>
      <c r="G326" s="52" t="s">
        <v>310</v>
      </c>
      <c r="H326" s="52" t="s">
        <v>1015</v>
      </c>
      <c r="I326" s="42">
        <v>0.69</v>
      </c>
    </row>
    <row r="327" spans="2:9">
      <c r="B327" s="42" t="s">
        <v>708</v>
      </c>
      <c r="C327" s="42" t="s">
        <v>15</v>
      </c>
      <c r="D327" s="42" t="s">
        <v>1089</v>
      </c>
      <c r="E327" s="42" t="s">
        <v>1094</v>
      </c>
      <c r="F327" s="52" t="s">
        <v>1095</v>
      </c>
      <c r="G327" s="52" t="s">
        <v>310</v>
      </c>
      <c r="H327" s="52" t="s">
        <v>1015</v>
      </c>
      <c r="I327" s="42">
        <v>0.69</v>
      </c>
    </row>
    <row r="328" spans="2:9">
      <c r="B328" s="42" t="s">
        <v>708</v>
      </c>
      <c r="C328" s="42" t="s">
        <v>321</v>
      </c>
      <c r="D328" s="42" t="s">
        <v>1086</v>
      </c>
      <c r="E328" s="42" t="s">
        <v>1096</v>
      </c>
      <c r="F328" s="52" t="s">
        <v>1097</v>
      </c>
      <c r="G328" s="52" t="s">
        <v>310</v>
      </c>
      <c r="H328" s="52" t="s">
        <v>1015</v>
      </c>
      <c r="I328" s="42">
        <v>0.69</v>
      </c>
    </row>
    <row r="329" spans="2:9">
      <c r="B329" s="42" t="s">
        <v>708</v>
      </c>
      <c r="C329" s="42" t="s">
        <v>15</v>
      </c>
      <c r="D329" s="42" t="s">
        <v>1089</v>
      </c>
      <c r="E329" s="42" t="s">
        <v>709</v>
      </c>
      <c r="F329" s="52" t="s">
        <v>1098</v>
      </c>
      <c r="G329" s="52" t="s">
        <v>310</v>
      </c>
      <c r="H329" s="52" t="s">
        <v>711</v>
      </c>
      <c r="I329" s="42">
        <v>0.69</v>
      </c>
    </row>
    <row r="330" spans="2:9">
      <c r="B330" s="42" t="s">
        <v>708</v>
      </c>
      <c r="C330" s="42" t="s">
        <v>321</v>
      </c>
      <c r="D330" s="42" t="s">
        <v>1086</v>
      </c>
      <c r="E330" s="42" t="s">
        <v>854</v>
      </c>
      <c r="F330" s="52" t="s">
        <v>1099</v>
      </c>
      <c r="G330" s="52" t="s">
        <v>310</v>
      </c>
      <c r="H330" s="52" t="s">
        <v>711</v>
      </c>
      <c r="I330" s="42">
        <v>0.69</v>
      </c>
    </row>
    <row r="331" spans="2:9">
      <c r="B331" s="42" t="s">
        <v>708</v>
      </c>
      <c r="C331" s="42" t="s">
        <v>15</v>
      </c>
      <c r="D331" s="42" t="s">
        <v>1089</v>
      </c>
      <c r="E331" s="42" t="s">
        <v>1100</v>
      </c>
      <c r="F331" s="52" t="s">
        <v>1101</v>
      </c>
      <c r="G331" s="52" t="s">
        <v>310</v>
      </c>
      <c r="H331" s="52" t="s">
        <v>29</v>
      </c>
      <c r="I331" s="42">
        <v>0.69</v>
      </c>
    </row>
    <row r="332" spans="2:9">
      <c r="B332" s="42" t="s">
        <v>708</v>
      </c>
      <c r="C332" s="42" t="s">
        <v>321</v>
      </c>
      <c r="D332" s="42" t="s">
        <v>1086</v>
      </c>
      <c r="E332" s="42" t="s">
        <v>1102</v>
      </c>
      <c r="F332" s="52" t="s">
        <v>1101</v>
      </c>
      <c r="G332" s="52" t="s">
        <v>310</v>
      </c>
      <c r="H332" s="52" t="s">
        <v>29</v>
      </c>
      <c r="I332" s="42">
        <v>0.69</v>
      </c>
    </row>
    <row r="333" spans="2:9">
      <c r="B333" s="42" t="s">
        <v>708</v>
      </c>
      <c r="C333" s="42" t="s">
        <v>15</v>
      </c>
      <c r="D333" s="42" t="s">
        <v>1089</v>
      </c>
      <c r="E333" s="42" t="s">
        <v>1103</v>
      </c>
      <c r="F333" s="52" t="s">
        <v>1104</v>
      </c>
      <c r="G333" s="52" t="s">
        <v>310</v>
      </c>
      <c r="H333" s="52" t="s">
        <v>1088</v>
      </c>
      <c r="I333" s="42">
        <v>0.69</v>
      </c>
    </row>
    <row r="334" spans="2:9">
      <c r="B334" s="42" t="s">
        <v>708</v>
      </c>
      <c r="C334" s="42" t="s">
        <v>321</v>
      </c>
      <c r="D334" s="42" t="s">
        <v>1086</v>
      </c>
      <c r="E334" s="42" t="s">
        <v>1105</v>
      </c>
      <c r="F334" s="52" t="s">
        <v>1104</v>
      </c>
      <c r="G334" s="52" t="s">
        <v>310</v>
      </c>
      <c r="H334" s="52" t="s">
        <v>1088</v>
      </c>
      <c r="I334" s="42">
        <v>0.69</v>
      </c>
    </row>
    <row r="335" spans="2:9">
      <c r="B335" s="42" t="s">
        <v>708</v>
      </c>
      <c r="C335" s="42" t="s">
        <v>15</v>
      </c>
      <c r="D335" s="42" t="s">
        <v>1089</v>
      </c>
      <c r="E335" s="42" t="s">
        <v>1106</v>
      </c>
      <c r="F335" s="52" t="s">
        <v>1107</v>
      </c>
      <c r="G335" s="52" t="s">
        <v>310</v>
      </c>
      <c r="H335" s="52" t="s">
        <v>29</v>
      </c>
      <c r="I335" s="42">
        <v>0.69</v>
      </c>
    </row>
    <row r="336" spans="2:9">
      <c r="B336" s="42" t="s">
        <v>708</v>
      </c>
      <c r="C336" s="42" t="s">
        <v>321</v>
      </c>
      <c r="D336" s="42" t="s">
        <v>1086</v>
      </c>
      <c r="E336" s="42" t="s">
        <v>1108</v>
      </c>
      <c r="F336" s="52" t="s">
        <v>1107</v>
      </c>
      <c r="G336" s="52" t="s">
        <v>310</v>
      </c>
      <c r="H336" s="52" t="s">
        <v>29</v>
      </c>
      <c r="I336" s="42">
        <v>0.69</v>
      </c>
    </row>
    <row r="337" spans="2:9">
      <c r="B337" s="42" t="s">
        <v>708</v>
      </c>
      <c r="C337" s="42" t="s">
        <v>15</v>
      </c>
      <c r="D337" s="42" t="s">
        <v>1089</v>
      </c>
      <c r="E337" s="42" t="s">
        <v>728</v>
      </c>
      <c r="F337" s="52" t="s">
        <v>1109</v>
      </c>
      <c r="G337" s="52" t="s">
        <v>310</v>
      </c>
      <c r="H337" s="52" t="s">
        <v>1030</v>
      </c>
      <c r="I337" s="42">
        <v>0.69</v>
      </c>
    </row>
    <row r="338" spans="2:9">
      <c r="B338" s="42" t="s">
        <v>708</v>
      </c>
      <c r="C338" s="42" t="s">
        <v>15</v>
      </c>
      <c r="D338" s="42" t="s">
        <v>1089</v>
      </c>
      <c r="E338" s="42" t="s">
        <v>732</v>
      </c>
      <c r="F338" s="52" t="s">
        <v>1110</v>
      </c>
      <c r="G338" s="52" t="s">
        <v>310</v>
      </c>
      <c r="H338" s="52" t="s">
        <v>1030</v>
      </c>
      <c r="I338" s="42">
        <v>0.69</v>
      </c>
    </row>
    <row r="339" spans="2:9">
      <c r="B339" s="42" t="s">
        <v>708</v>
      </c>
      <c r="C339" s="42" t="s">
        <v>15</v>
      </c>
      <c r="D339" s="42" t="s">
        <v>1089</v>
      </c>
      <c r="E339" s="42" t="s">
        <v>791</v>
      </c>
      <c r="F339" s="52" t="s">
        <v>1111</v>
      </c>
      <c r="G339" s="52" t="s">
        <v>310</v>
      </c>
      <c r="H339" s="52" t="s">
        <v>725</v>
      </c>
      <c r="I339" s="42">
        <v>0.69</v>
      </c>
    </row>
    <row r="340" spans="2:9">
      <c r="B340" s="42" t="s">
        <v>708</v>
      </c>
      <c r="C340" s="42" t="s">
        <v>321</v>
      </c>
      <c r="D340" s="42" t="s">
        <v>1086</v>
      </c>
      <c r="E340" s="42" t="s">
        <v>903</v>
      </c>
      <c r="F340" s="52" t="s">
        <v>1111</v>
      </c>
      <c r="G340" s="52" t="s">
        <v>310</v>
      </c>
      <c r="H340" s="52" t="s">
        <v>725</v>
      </c>
      <c r="I340" s="42">
        <v>0.69</v>
      </c>
    </row>
    <row r="341" spans="2:9">
      <c r="B341" s="42" t="s">
        <v>708</v>
      </c>
      <c r="C341" s="42" t="s">
        <v>321</v>
      </c>
      <c r="D341" s="42" t="s">
        <v>1086</v>
      </c>
      <c r="E341" s="42" t="s">
        <v>1112</v>
      </c>
      <c r="F341" s="52" t="s">
        <v>1111</v>
      </c>
      <c r="G341" s="52" t="s">
        <v>310</v>
      </c>
      <c r="H341" s="52" t="s">
        <v>725</v>
      </c>
      <c r="I341" s="42">
        <v>0.69</v>
      </c>
    </row>
    <row r="342" spans="2:9">
      <c r="B342" s="42" t="s">
        <v>708</v>
      </c>
      <c r="C342" s="42" t="s">
        <v>321</v>
      </c>
      <c r="D342" s="42" t="s">
        <v>1086</v>
      </c>
      <c r="E342" s="42" t="s">
        <v>864</v>
      </c>
      <c r="F342" s="52" t="s">
        <v>1113</v>
      </c>
      <c r="G342" s="52" t="s">
        <v>310</v>
      </c>
      <c r="H342" s="52" t="s">
        <v>711</v>
      </c>
      <c r="I342" s="42">
        <v>0.69</v>
      </c>
    </row>
    <row r="343" spans="2:9">
      <c r="B343" s="42" t="s">
        <v>708</v>
      </c>
      <c r="C343" s="42" t="s">
        <v>15</v>
      </c>
      <c r="D343" s="42" t="s">
        <v>1089</v>
      </c>
      <c r="E343" s="42" t="s">
        <v>738</v>
      </c>
      <c r="F343" s="52" t="s">
        <v>1114</v>
      </c>
      <c r="G343" s="52" t="s">
        <v>310</v>
      </c>
      <c r="H343" s="52" t="s">
        <v>711</v>
      </c>
      <c r="I343" s="42">
        <v>0.69</v>
      </c>
    </row>
    <row r="344" spans="2:9">
      <c r="B344" s="42" t="s">
        <v>708</v>
      </c>
      <c r="C344" s="42" t="s">
        <v>15</v>
      </c>
      <c r="D344" s="42" t="s">
        <v>1089</v>
      </c>
      <c r="E344" s="42" t="s">
        <v>1115</v>
      </c>
      <c r="F344" s="52" t="s">
        <v>1116</v>
      </c>
      <c r="G344" s="52" t="s">
        <v>310</v>
      </c>
      <c r="H344" s="52" t="s">
        <v>16</v>
      </c>
      <c r="I344" s="42">
        <v>0.69</v>
      </c>
    </row>
    <row r="345" spans="2:9">
      <c r="B345" s="42" t="s">
        <v>708</v>
      </c>
      <c r="C345" s="42" t="s">
        <v>15</v>
      </c>
      <c r="D345" s="42" t="s">
        <v>1089</v>
      </c>
      <c r="E345" s="42" t="s">
        <v>1117</v>
      </c>
      <c r="F345" s="52" t="s">
        <v>1118</v>
      </c>
      <c r="G345" s="52" t="s">
        <v>310</v>
      </c>
      <c r="H345" s="52" t="s">
        <v>16</v>
      </c>
      <c r="I345" s="42">
        <v>0.69</v>
      </c>
    </row>
    <row r="346" spans="2:9">
      <c r="B346" s="42" t="s">
        <v>708</v>
      </c>
      <c r="C346" s="42" t="s">
        <v>15</v>
      </c>
      <c r="D346" s="42" t="s">
        <v>1089</v>
      </c>
      <c r="E346" s="42" t="s">
        <v>1119</v>
      </c>
      <c r="F346" s="52" t="s">
        <v>1120</v>
      </c>
      <c r="G346" s="52" t="s">
        <v>310</v>
      </c>
      <c r="H346" s="52" t="s">
        <v>16</v>
      </c>
      <c r="I346" s="42">
        <v>0.69</v>
      </c>
    </row>
    <row r="347" spans="2:9">
      <c r="B347" s="42" t="s">
        <v>708</v>
      </c>
      <c r="C347" s="42" t="s">
        <v>15</v>
      </c>
      <c r="D347" s="42" t="s">
        <v>1089</v>
      </c>
      <c r="E347" s="42" t="s">
        <v>1121</v>
      </c>
      <c r="F347" s="52" t="s">
        <v>1122</v>
      </c>
      <c r="G347" s="52" t="s">
        <v>310</v>
      </c>
      <c r="H347" s="52" t="s">
        <v>16</v>
      </c>
      <c r="I347" s="42">
        <v>0.69</v>
      </c>
    </row>
    <row r="348" spans="2:9">
      <c r="B348" s="42" t="s">
        <v>708</v>
      </c>
      <c r="C348" s="42" t="s">
        <v>15</v>
      </c>
      <c r="D348" s="42" t="s">
        <v>1089</v>
      </c>
      <c r="E348" s="42" t="s">
        <v>1123</v>
      </c>
      <c r="F348" s="52" t="s">
        <v>1124</v>
      </c>
      <c r="G348" s="52" t="s">
        <v>310</v>
      </c>
      <c r="H348" s="52" t="s">
        <v>16</v>
      </c>
      <c r="I348" s="42">
        <v>0.69</v>
      </c>
    </row>
    <row r="349" spans="2:9">
      <c r="B349" s="42" t="s">
        <v>708</v>
      </c>
      <c r="C349" s="42" t="s">
        <v>15</v>
      </c>
      <c r="D349" s="42" t="s">
        <v>1089</v>
      </c>
      <c r="E349" s="42" t="s">
        <v>1125</v>
      </c>
      <c r="F349" s="52" t="s">
        <v>1126</v>
      </c>
      <c r="G349" s="52" t="s">
        <v>310</v>
      </c>
      <c r="H349" s="52" t="s">
        <v>16</v>
      </c>
      <c r="I349" s="42">
        <v>0.69</v>
      </c>
    </row>
    <row r="350" spans="2:9">
      <c r="B350" s="42" t="s">
        <v>708</v>
      </c>
      <c r="C350" s="42" t="s">
        <v>321</v>
      </c>
      <c r="D350" s="42" t="s">
        <v>1086</v>
      </c>
      <c r="E350" s="42" t="s">
        <v>1127</v>
      </c>
      <c r="F350" s="52" t="s">
        <v>1116</v>
      </c>
      <c r="G350" s="52" t="s">
        <v>310</v>
      </c>
      <c r="H350" s="52" t="s">
        <v>16</v>
      </c>
      <c r="I350" s="42">
        <v>0.69</v>
      </c>
    </row>
    <row r="351" spans="2:9">
      <c r="B351" s="42" t="s">
        <v>708</v>
      </c>
      <c r="C351" s="42" t="s">
        <v>321</v>
      </c>
      <c r="D351" s="42" t="s">
        <v>1086</v>
      </c>
      <c r="E351" s="42" t="s">
        <v>1128</v>
      </c>
      <c r="F351" s="52" t="s">
        <v>1118</v>
      </c>
      <c r="G351" s="52" t="s">
        <v>310</v>
      </c>
      <c r="H351" s="52" t="s">
        <v>16</v>
      </c>
      <c r="I351" s="42">
        <v>0.69</v>
      </c>
    </row>
    <row r="352" spans="2:9">
      <c r="B352" s="42" t="s">
        <v>708</v>
      </c>
      <c r="C352" s="42" t="s">
        <v>321</v>
      </c>
      <c r="D352" s="42" t="s">
        <v>1086</v>
      </c>
      <c r="E352" s="42" t="s">
        <v>1129</v>
      </c>
      <c r="F352" s="52" t="s">
        <v>1120</v>
      </c>
      <c r="G352" s="52" t="s">
        <v>310</v>
      </c>
      <c r="H352" s="52" t="s">
        <v>16</v>
      </c>
      <c r="I352" s="42">
        <v>0.69</v>
      </c>
    </row>
    <row r="353" spans="2:9">
      <c r="B353" s="42" t="s">
        <v>708</v>
      </c>
      <c r="C353" s="42" t="s">
        <v>321</v>
      </c>
      <c r="D353" s="42" t="s">
        <v>1086</v>
      </c>
      <c r="E353" s="42" t="s">
        <v>1130</v>
      </c>
      <c r="F353" s="52" t="s">
        <v>1122</v>
      </c>
      <c r="G353" s="52" t="s">
        <v>310</v>
      </c>
      <c r="H353" s="52" t="s">
        <v>16</v>
      </c>
      <c r="I353" s="42">
        <v>0.69</v>
      </c>
    </row>
    <row r="354" spans="2:9">
      <c r="B354" s="42" t="s">
        <v>708</v>
      </c>
      <c r="C354" s="42" t="s">
        <v>321</v>
      </c>
      <c r="D354" s="42" t="s">
        <v>1086</v>
      </c>
      <c r="E354" s="42" t="s">
        <v>1131</v>
      </c>
      <c r="F354" s="52" t="s">
        <v>1124</v>
      </c>
      <c r="G354" s="52" t="s">
        <v>310</v>
      </c>
      <c r="H354" s="52" t="s">
        <v>16</v>
      </c>
      <c r="I354" s="42">
        <v>0.69</v>
      </c>
    </row>
    <row r="355" spans="2:9">
      <c r="B355" s="42" t="s">
        <v>708</v>
      </c>
      <c r="C355" s="42" t="s">
        <v>321</v>
      </c>
      <c r="D355" s="42" t="s">
        <v>1086</v>
      </c>
      <c r="E355" s="42" t="s">
        <v>1132</v>
      </c>
      <c r="F355" s="52" t="s">
        <v>1126</v>
      </c>
      <c r="G355" s="52" t="s">
        <v>310</v>
      </c>
      <c r="H355" s="52" t="s">
        <v>16</v>
      </c>
      <c r="I355" s="42">
        <v>0.69</v>
      </c>
    </row>
    <row r="356" spans="2:9">
      <c r="B356" s="42" t="s">
        <v>708</v>
      </c>
      <c r="C356" s="42" t="s">
        <v>321</v>
      </c>
      <c r="D356" s="42" t="s">
        <v>1086</v>
      </c>
      <c r="E356" s="42" t="s">
        <v>1133</v>
      </c>
      <c r="F356" s="52" t="s">
        <v>1134</v>
      </c>
      <c r="G356" s="52" t="s">
        <v>310</v>
      </c>
      <c r="H356" s="52" t="s">
        <v>41</v>
      </c>
      <c r="I356" s="42">
        <v>0.69</v>
      </c>
    </row>
    <row r="357" spans="2:9">
      <c r="B357" s="42" t="s">
        <v>708</v>
      </c>
      <c r="C357" s="42" t="s">
        <v>321</v>
      </c>
      <c r="D357" s="42" t="s">
        <v>1086</v>
      </c>
      <c r="E357" s="42" t="s">
        <v>1135</v>
      </c>
      <c r="F357" s="52" t="s">
        <v>1136</v>
      </c>
      <c r="G357" s="52" t="s">
        <v>310</v>
      </c>
      <c r="H357" s="52" t="s">
        <v>41</v>
      </c>
      <c r="I357" s="42">
        <v>0.69</v>
      </c>
    </row>
    <row r="358" spans="2:9">
      <c r="B358" s="42" t="s">
        <v>708</v>
      </c>
      <c r="C358" s="42" t="s">
        <v>15</v>
      </c>
      <c r="D358" s="42" t="s">
        <v>1089</v>
      </c>
      <c r="E358" s="42" t="s">
        <v>1137</v>
      </c>
      <c r="F358" s="52" t="s">
        <v>1138</v>
      </c>
      <c r="G358" s="52" t="s">
        <v>310</v>
      </c>
      <c r="H358" s="52" t="s">
        <v>41</v>
      </c>
      <c r="I358" s="42">
        <v>0.69</v>
      </c>
    </row>
    <row r="359" spans="2:9">
      <c r="B359" s="42" t="s">
        <v>708</v>
      </c>
      <c r="C359" s="42" t="s">
        <v>321</v>
      </c>
      <c r="D359" s="42" t="s">
        <v>1086</v>
      </c>
      <c r="E359" s="42" t="s">
        <v>1139</v>
      </c>
      <c r="F359" s="52" t="s">
        <v>1140</v>
      </c>
      <c r="G359" s="52" t="s">
        <v>310</v>
      </c>
      <c r="H359" s="52" t="s">
        <v>41</v>
      </c>
      <c r="I359" s="42">
        <v>0.69</v>
      </c>
    </row>
    <row r="360" spans="2:9">
      <c r="B360" s="42" t="s">
        <v>708</v>
      </c>
      <c r="C360" s="42" t="s">
        <v>321</v>
      </c>
      <c r="D360" s="42" t="s">
        <v>1086</v>
      </c>
      <c r="E360" s="42" t="s">
        <v>1141</v>
      </c>
      <c r="F360" s="52" t="s">
        <v>1142</v>
      </c>
      <c r="G360" s="52" t="s">
        <v>310</v>
      </c>
      <c r="H360" s="52" t="s">
        <v>41</v>
      </c>
      <c r="I360" s="42">
        <v>0.69</v>
      </c>
    </row>
    <row r="361" spans="2:9">
      <c r="B361" s="42" t="s">
        <v>708</v>
      </c>
      <c r="C361" s="42" t="s">
        <v>15</v>
      </c>
      <c r="D361" s="42" t="s">
        <v>1089</v>
      </c>
      <c r="E361" s="42" t="s">
        <v>1143</v>
      </c>
      <c r="F361" s="52" t="s">
        <v>1144</v>
      </c>
      <c r="G361" s="52" t="s">
        <v>310</v>
      </c>
      <c r="H361" s="52" t="s">
        <v>41</v>
      </c>
      <c r="I361" s="42">
        <v>0.69</v>
      </c>
    </row>
    <row r="362" spans="2:9">
      <c r="B362" s="42" t="s">
        <v>708</v>
      </c>
      <c r="C362" s="42" t="s">
        <v>321</v>
      </c>
      <c r="D362" s="42" t="s">
        <v>1086</v>
      </c>
      <c r="E362" s="42" t="s">
        <v>1145</v>
      </c>
      <c r="F362" s="52" t="s">
        <v>1146</v>
      </c>
      <c r="G362" s="52" t="s">
        <v>310</v>
      </c>
      <c r="H362" s="52" t="s">
        <v>16</v>
      </c>
      <c r="I362" s="42">
        <v>0.69</v>
      </c>
    </row>
    <row r="363" spans="2:9">
      <c r="B363" s="42" t="s">
        <v>708</v>
      </c>
      <c r="C363" s="42" t="s">
        <v>321</v>
      </c>
      <c r="D363" s="42" t="s">
        <v>1086</v>
      </c>
      <c r="E363" s="42" t="s">
        <v>1147</v>
      </c>
      <c r="F363" s="52" t="s">
        <v>1148</v>
      </c>
      <c r="G363" s="52" t="s">
        <v>310</v>
      </c>
      <c r="H363" s="52" t="s">
        <v>16</v>
      </c>
      <c r="I363" s="42">
        <v>0.69</v>
      </c>
    </row>
    <row r="364" spans="2:9">
      <c r="B364" s="42" t="s">
        <v>708</v>
      </c>
      <c r="C364" s="42" t="s">
        <v>15</v>
      </c>
      <c r="D364" s="42" t="s">
        <v>1089</v>
      </c>
      <c r="E364" s="42" t="s">
        <v>1149</v>
      </c>
      <c r="F364" s="52" t="s">
        <v>1150</v>
      </c>
      <c r="G364" s="52" t="s">
        <v>310</v>
      </c>
      <c r="H364" s="52" t="s">
        <v>16</v>
      </c>
      <c r="I364" s="42">
        <v>0.69</v>
      </c>
    </row>
    <row r="365" spans="2:9">
      <c r="B365" s="42" t="s">
        <v>708</v>
      </c>
      <c r="C365" s="42" t="s">
        <v>15</v>
      </c>
      <c r="D365" s="42" t="s">
        <v>1089</v>
      </c>
      <c r="E365" s="42" t="s">
        <v>1151</v>
      </c>
      <c r="F365" s="52" t="s">
        <v>1152</v>
      </c>
      <c r="G365" s="52" t="s">
        <v>310</v>
      </c>
      <c r="H365" s="52" t="s">
        <v>41</v>
      </c>
      <c r="I365" s="42">
        <v>0.69</v>
      </c>
    </row>
    <row r="366" spans="2:9">
      <c r="B366" s="42" t="s">
        <v>708</v>
      </c>
      <c r="C366" s="42" t="s">
        <v>321</v>
      </c>
      <c r="D366" s="42" t="s">
        <v>1086</v>
      </c>
      <c r="E366" s="42" t="s">
        <v>1153</v>
      </c>
      <c r="F366" s="52" t="s">
        <v>1154</v>
      </c>
      <c r="G366" s="52" t="s">
        <v>310</v>
      </c>
      <c r="H366" s="52" t="s">
        <v>41</v>
      </c>
      <c r="I366" s="42">
        <v>0.69</v>
      </c>
    </row>
    <row r="367" spans="2:9">
      <c r="B367" s="42" t="s">
        <v>845</v>
      </c>
      <c r="C367" s="42" t="s">
        <v>15</v>
      </c>
      <c r="D367" s="42" t="s">
        <v>1155</v>
      </c>
      <c r="E367" s="42" t="s">
        <v>1156</v>
      </c>
      <c r="F367" s="52" t="s">
        <v>1157</v>
      </c>
      <c r="G367" s="52" t="s">
        <v>310</v>
      </c>
      <c r="H367" s="52" t="s">
        <v>41</v>
      </c>
      <c r="I367" s="42">
        <v>0.4</v>
      </c>
    </row>
    <row r="368" spans="2:9">
      <c r="B368" s="42" t="s">
        <v>845</v>
      </c>
      <c r="C368" s="42" t="s">
        <v>321</v>
      </c>
      <c r="D368" s="42" t="s">
        <v>1158</v>
      </c>
      <c r="E368" s="42" t="s">
        <v>1159</v>
      </c>
      <c r="F368" s="52" t="s">
        <v>1160</v>
      </c>
      <c r="G368" s="52" t="s">
        <v>310</v>
      </c>
      <c r="H368" s="52" t="s">
        <v>41</v>
      </c>
      <c r="I368" s="42">
        <v>0.4</v>
      </c>
    </row>
    <row r="369" spans="2:9">
      <c r="B369" s="42" t="s">
        <v>845</v>
      </c>
      <c r="C369" s="42" t="s">
        <v>15</v>
      </c>
      <c r="D369" s="42" t="s">
        <v>1155</v>
      </c>
      <c r="E369" s="42" t="s">
        <v>1161</v>
      </c>
      <c r="F369" s="52" t="s">
        <v>1162</v>
      </c>
      <c r="G369" s="52" t="s">
        <v>310</v>
      </c>
      <c r="H369" s="52" t="s">
        <v>1030</v>
      </c>
      <c r="I369" s="42">
        <v>0.4</v>
      </c>
    </row>
    <row r="370" spans="2:9">
      <c r="B370" s="42" t="s">
        <v>845</v>
      </c>
      <c r="C370" s="42" t="s">
        <v>15</v>
      </c>
      <c r="D370" s="42" t="s">
        <v>1155</v>
      </c>
      <c r="E370" s="42" t="s">
        <v>1163</v>
      </c>
      <c r="F370" s="52" t="s">
        <v>1164</v>
      </c>
      <c r="G370" s="52" t="s">
        <v>310</v>
      </c>
      <c r="H370" s="52" t="s">
        <v>41</v>
      </c>
      <c r="I370" s="42">
        <v>0.4</v>
      </c>
    </row>
    <row r="371" spans="2:9">
      <c r="B371" s="42" t="s">
        <v>845</v>
      </c>
      <c r="C371" s="42" t="s">
        <v>321</v>
      </c>
      <c r="D371" s="42" t="s">
        <v>1158</v>
      </c>
      <c r="E371" s="42" t="s">
        <v>1165</v>
      </c>
      <c r="F371" s="52" t="s">
        <v>1166</v>
      </c>
      <c r="G371" s="52" t="s">
        <v>310</v>
      </c>
      <c r="H371" s="52" t="s">
        <v>41</v>
      </c>
      <c r="I371" s="42">
        <v>0.4</v>
      </c>
    </row>
    <row r="372" spans="2:9">
      <c r="B372" s="42" t="s">
        <v>845</v>
      </c>
      <c r="C372" s="42" t="s">
        <v>15</v>
      </c>
      <c r="D372" s="42" t="s">
        <v>1155</v>
      </c>
      <c r="E372" s="42" t="s">
        <v>1167</v>
      </c>
      <c r="F372" s="52" t="s">
        <v>1168</v>
      </c>
      <c r="G372" s="52" t="s">
        <v>310</v>
      </c>
      <c r="H372" s="52" t="s">
        <v>41</v>
      </c>
      <c r="I372" s="42">
        <v>0.4</v>
      </c>
    </row>
    <row r="373" spans="2:9">
      <c r="B373" s="42" t="s">
        <v>845</v>
      </c>
      <c r="C373" s="42" t="s">
        <v>321</v>
      </c>
      <c r="D373" s="42" t="s">
        <v>1158</v>
      </c>
      <c r="E373" s="42" t="s">
        <v>1169</v>
      </c>
      <c r="F373" s="52" t="s">
        <v>1170</v>
      </c>
      <c r="G373" s="52" t="s">
        <v>310</v>
      </c>
      <c r="H373" s="52" t="s">
        <v>41</v>
      </c>
      <c r="I373" s="42">
        <v>0.4</v>
      </c>
    </row>
    <row r="374" spans="2:9">
      <c r="B374" s="42" t="s">
        <v>845</v>
      </c>
      <c r="C374" s="42" t="s">
        <v>15</v>
      </c>
      <c r="D374" s="42" t="s">
        <v>1155</v>
      </c>
      <c r="E374" s="42" t="s">
        <v>1171</v>
      </c>
      <c r="F374" s="52" t="s">
        <v>1172</v>
      </c>
      <c r="G374" s="52" t="s">
        <v>310</v>
      </c>
      <c r="H374" s="52" t="s">
        <v>20</v>
      </c>
      <c r="I374" s="42">
        <v>0.4</v>
      </c>
    </row>
    <row r="375" spans="2:9">
      <c r="B375" s="42" t="s">
        <v>845</v>
      </c>
      <c r="C375" s="42" t="s">
        <v>15</v>
      </c>
      <c r="D375" s="42" t="s">
        <v>1155</v>
      </c>
      <c r="E375" s="42" t="s">
        <v>1173</v>
      </c>
      <c r="F375" s="52" t="s">
        <v>1157</v>
      </c>
      <c r="G375" s="52" t="s">
        <v>310</v>
      </c>
      <c r="H375" s="52" t="s">
        <v>41</v>
      </c>
      <c r="I375" s="42">
        <v>0.4</v>
      </c>
    </row>
    <row r="376" spans="2:9">
      <c r="B376" s="42" t="s">
        <v>845</v>
      </c>
      <c r="C376" s="42" t="s">
        <v>321</v>
      </c>
      <c r="D376" s="42" t="s">
        <v>1158</v>
      </c>
      <c r="E376" s="42" t="s">
        <v>1174</v>
      </c>
      <c r="F376" s="52" t="s">
        <v>1160</v>
      </c>
      <c r="G376" s="52" t="s">
        <v>310</v>
      </c>
      <c r="H376" s="52" t="s">
        <v>41</v>
      </c>
      <c r="I376" s="42">
        <v>0.4</v>
      </c>
    </row>
    <row r="377" spans="2:9">
      <c r="B377" s="42" t="s">
        <v>845</v>
      </c>
      <c r="C377" s="42" t="s">
        <v>15</v>
      </c>
      <c r="D377" s="42" t="s">
        <v>1155</v>
      </c>
      <c r="E377" s="42" t="s">
        <v>1175</v>
      </c>
      <c r="F377" s="52" t="s">
        <v>1162</v>
      </c>
      <c r="G377" s="52" t="s">
        <v>310</v>
      </c>
      <c r="H377" s="52" t="s">
        <v>1030</v>
      </c>
      <c r="I377" s="42">
        <v>0.4</v>
      </c>
    </row>
    <row r="378" spans="2:9">
      <c r="B378" s="42" t="s">
        <v>845</v>
      </c>
      <c r="C378" s="42" t="s">
        <v>15</v>
      </c>
      <c r="D378" s="42" t="s">
        <v>1155</v>
      </c>
      <c r="E378" s="42" t="s">
        <v>1176</v>
      </c>
      <c r="F378" s="52" t="s">
        <v>1164</v>
      </c>
      <c r="G378" s="52" t="s">
        <v>310</v>
      </c>
      <c r="H378" s="52" t="s">
        <v>41</v>
      </c>
      <c r="I378" s="42">
        <v>0.4</v>
      </c>
    </row>
    <row r="379" spans="2:9">
      <c r="B379" s="42" t="s">
        <v>845</v>
      </c>
      <c r="C379" s="42" t="s">
        <v>321</v>
      </c>
      <c r="D379" s="42" t="s">
        <v>1158</v>
      </c>
      <c r="E379" s="42" t="s">
        <v>1177</v>
      </c>
      <c r="F379" s="52" t="s">
        <v>1166</v>
      </c>
      <c r="G379" s="52" t="s">
        <v>310</v>
      </c>
      <c r="H379" s="52" t="s">
        <v>41</v>
      </c>
      <c r="I379" s="42">
        <v>0.4</v>
      </c>
    </row>
    <row r="380" spans="2:9">
      <c r="B380" s="42" t="s">
        <v>845</v>
      </c>
      <c r="C380" s="42" t="s">
        <v>15</v>
      </c>
      <c r="D380" s="42" t="s">
        <v>1155</v>
      </c>
      <c r="E380" s="42" t="s">
        <v>1178</v>
      </c>
      <c r="F380" s="52" t="s">
        <v>1168</v>
      </c>
      <c r="G380" s="52" t="s">
        <v>310</v>
      </c>
      <c r="H380" s="52" t="s">
        <v>41</v>
      </c>
      <c r="I380" s="42">
        <v>0.4</v>
      </c>
    </row>
    <row r="381" spans="2:9">
      <c r="B381" s="42" t="s">
        <v>845</v>
      </c>
      <c r="C381" s="42" t="s">
        <v>321</v>
      </c>
      <c r="D381" s="42" t="s">
        <v>1158</v>
      </c>
      <c r="E381" s="42" t="s">
        <v>1179</v>
      </c>
      <c r="F381" s="52" t="s">
        <v>1170</v>
      </c>
      <c r="G381" s="52" t="s">
        <v>310</v>
      </c>
      <c r="H381" s="52" t="s">
        <v>41</v>
      </c>
      <c r="I381" s="42">
        <v>0.4</v>
      </c>
    </row>
    <row r="382" spans="2:9">
      <c r="B382" s="42" t="s">
        <v>845</v>
      </c>
      <c r="C382" s="42" t="s">
        <v>15</v>
      </c>
      <c r="D382" s="42" t="s">
        <v>1155</v>
      </c>
      <c r="E382" s="42" t="s">
        <v>1180</v>
      </c>
      <c r="F382" s="52" t="s">
        <v>1172</v>
      </c>
      <c r="G382" s="52" t="s">
        <v>310</v>
      </c>
      <c r="H382" s="52" t="s">
        <v>20</v>
      </c>
      <c r="I382" s="42">
        <v>0.4</v>
      </c>
    </row>
    <row r="383" spans="2:9">
      <c r="B383" s="42" t="s">
        <v>845</v>
      </c>
      <c r="C383" s="42" t="s">
        <v>15</v>
      </c>
      <c r="D383" s="42" t="s">
        <v>1155</v>
      </c>
      <c r="E383" s="42" t="s">
        <v>1181</v>
      </c>
      <c r="F383" s="52" t="s">
        <v>1182</v>
      </c>
      <c r="G383" s="52" t="s">
        <v>310</v>
      </c>
      <c r="H383" s="52" t="s">
        <v>41</v>
      </c>
      <c r="I383" s="42">
        <v>0.4</v>
      </c>
    </row>
    <row r="384" spans="2:9">
      <c r="B384" s="42" t="s">
        <v>845</v>
      </c>
      <c r="C384" s="42" t="s">
        <v>321</v>
      </c>
      <c r="D384" s="42" t="s">
        <v>1158</v>
      </c>
      <c r="E384" s="42" t="s">
        <v>1183</v>
      </c>
      <c r="F384" s="52" t="s">
        <v>1184</v>
      </c>
      <c r="G384" s="52" t="s">
        <v>310</v>
      </c>
      <c r="H384" s="52" t="s">
        <v>41</v>
      </c>
      <c r="I384" s="42">
        <v>0.4</v>
      </c>
    </row>
    <row r="385" spans="2:9">
      <c r="B385" s="42" t="s">
        <v>845</v>
      </c>
      <c r="C385" s="42" t="s">
        <v>15</v>
      </c>
      <c r="D385" s="42" t="s">
        <v>1155</v>
      </c>
      <c r="E385" s="42" t="s">
        <v>1185</v>
      </c>
      <c r="F385" s="52" t="s">
        <v>1186</v>
      </c>
      <c r="G385" s="52" t="s">
        <v>310</v>
      </c>
      <c r="H385" s="52" t="s">
        <v>41</v>
      </c>
      <c r="I385" s="42">
        <v>0.4</v>
      </c>
    </row>
    <row r="386" spans="2:9">
      <c r="B386" s="42" t="s">
        <v>845</v>
      </c>
      <c r="C386" s="42" t="s">
        <v>15</v>
      </c>
      <c r="D386" s="42" t="s">
        <v>1155</v>
      </c>
      <c r="E386" s="42" t="s">
        <v>1187</v>
      </c>
      <c r="F386" s="52" t="s">
        <v>1188</v>
      </c>
      <c r="G386" s="52" t="s">
        <v>310</v>
      </c>
      <c r="H386" s="52" t="s">
        <v>1030</v>
      </c>
      <c r="I386" s="42">
        <v>0.4</v>
      </c>
    </row>
    <row r="387" spans="2:9">
      <c r="B387" s="42" t="s">
        <v>845</v>
      </c>
      <c r="C387" s="42" t="s">
        <v>321</v>
      </c>
      <c r="D387" s="42" t="s">
        <v>1158</v>
      </c>
      <c r="E387" s="42" t="s">
        <v>1189</v>
      </c>
      <c r="F387" s="52" t="s">
        <v>1190</v>
      </c>
      <c r="G387" s="52" t="s">
        <v>310</v>
      </c>
      <c r="H387" s="52" t="s">
        <v>1030</v>
      </c>
      <c r="I387" s="42">
        <v>0.4</v>
      </c>
    </row>
    <row r="388" spans="2:9">
      <c r="B388" s="42" t="s">
        <v>845</v>
      </c>
      <c r="C388" s="42" t="s">
        <v>15</v>
      </c>
      <c r="D388" s="42" t="s">
        <v>1155</v>
      </c>
      <c r="E388" s="42" t="s">
        <v>1191</v>
      </c>
      <c r="F388" s="52" t="s">
        <v>1192</v>
      </c>
      <c r="G388" s="52" t="s">
        <v>310</v>
      </c>
      <c r="H388" s="52" t="s">
        <v>41</v>
      </c>
      <c r="I388" s="42">
        <v>0.4</v>
      </c>
    </row>
    <row r="389" spans="2:9">
      <c r="B389" s="42" t="s">
        <v>845</v>
      </c>
      <c r="C389" s="42" t="s">
        <v>15</v>
      </c>
      <c r="D389" s="42" t="s">
        <v>1155</v>
      </c>
      <c r="E389" s="42" t="s">
        <v>1193</v>
      </c>
      <c r="F389" s="52" t="s">
        <v>1194</v>
      </c>
      <c r="G389" s="52" t="s">
        <v>310</v>
      </c>
      <c r="H389" s="52" t="s">
        <v>41</v>
      </c>
      <c r="I389" s="42">
        <v>0.4</v>
      </c>
    </row>
    <row r="390" spans="2:9">
      <c r="B390" s="42" t="s">
        <v>845</v>
      </c>
      <c r="C390" s="42" t="s">
        <v>321</v>
      </c>
      <c r="D390" s="42" t="s">
        <v>1158</v>
      </c>
      <c r="E390" s="42" t="s">
        <v>1195</v>
      </c>
      <c r="F390" s="52" t="s">
        <v>1194</v>
      </c>
      <c r="G390" s="52" t="s">
        <v>310</v>
      </c>
      <c r="H390" s="52" t="s">
        <v>41</v>
      </c>
      <c r="I390" s="42">
        <v>0.4</v>
      </c>
    </row>
    <row r="391" spans="2:9">
      <c r="B391" s="42" t="s">
        <v>845</v>
      </c>
      <c r="C391" s="42" t="s">
        <v>15</v>
      </c>
      <c r="D391" s="42" t="s">
        <v>1155</v>
      </c>
      <c r="E391" s="42" t="s">
        <v>1196</v>
      </c>
      <c r="F391" s="52" t="s">
        <v>1197</v>
      </c>
      <c r="G391" s="52" t="s">
        <v>310</v>
      </c>
      <c r="H391" s="52" t="s">
        <v>41</v>
      </c>
      <c r="I391" s="42">
        <v>0.4</v>
      </c>
    </row>
    <row r="392" spans="2:9">
      <c r="B392" s="42" t="s">
        <v>845</v>
      </c>
      <c r="C392" s="42" t="s">
        <v>15</v>
      </c>
      <c r="D392" s="42" t="s">
        <v>1155</v>
      </c>
      <c r="E392" s="42" t="s">
        <v>1198</v>
      </c>
      <c r="F392" s="52" t="s">
        <v>1199</v>
      </c>
      <c r="G392" s="52" t="s">
        <v>310</v>
      </c>
      <c r="H392" s="52" t="s">
        <v>41</v>
      </c>
      <c r="I392" s="42">
        <v>0.4</v>
      </c>
    </row>
    <row r="393" spans="2:9">
      <c r="B393" s="42" t="s">
        <v>845</v>
      </c>
      <c r="C393" s="42" t="s">
        <v>15</v>
      </c>
      <c r="D393" s="42" t="s">
        <v>1155</v>
      </c>
      <c r="E393" s="42" t="s">
        <v>1200</v>
      </c>
      <c r="F393" s="52" t="s">
        <v>1201</v>
      </c>
      <c r="G393" s="52" t="s">
        <v>310</v>
      </c>
      <c r="H393" s="52" t="s">
        <v>41</v>
      </c>
      <c r="I393" s="42">
        <v>0.4</v>
      </c>
    </row>
    <row r="394" spans="2:9">
      <c r="B394" s="42" t="s">
        <v>845</v>
      </c>
      <c r="C394" s="42" t="s">
        <v>321</v>
      </c>
      <c r="D394" s="42" t="s">
        <v>1158</v>
      </c>
      <c r="E394" s="42" t="s">
        <v>1202</v>
      </c>
      <c r="F394" s="52" t="s">
        <v>1203</v>
      </c>
      <c r="G394" s="52" t="s">
        <v>310</v>
      </c>
      <c r="H394" s="52" t="s">
        <v>41</v>
      </c>
      <c r="I394" s="42">
        <v>0.4</v>
      </c>
    </row>
    <row r="395" spans="2:9">
      <c r="B395" s="42" t="s">
        <v>845</v>
      </c>
      <c r="C395" s="42" t="s">
        <v>321</v>
      </c>
      <c r="D395" s="42" t="s">
        <v>1158</v>
      </c>
      <c r="E395" s="42" t="s">
        <v>1204</v>
      </c>
      <c r="F395" s="52" t="s">
        <v>1205</v>
      </c>
      <c r="G395" s="52" t="s">
        <v>310</v>
      </c>
      <c r="H395" s="52" t="s">
        <v>41</v>
      </c>
      <c r="I395" s="42">
        <v>0.4</v>
      </c>
    </row>
    <row r="396" spans="2:9">
      <c r="B396" s="42" t="s">
        <v>845</v>
      </c>
      <c r="C396" s="42" t="s">
        <v>321</v>
      </c>
      <c r="D396" s="42" t="s">
        <v>1158</v>
      </c>
      <c r="E396" s="42" t="s">
        <v>870</v>
      </c>
      <c r="F396" s="52" t="s">
        <v>871</v>
      </c>
      <c r="G396" s="52" t="s">
        <v>310</v>
      </c>
      <c r="H396" s="52" t="s">
        <v>20</v>
      </c>
      <c r="I396" s="42">
        <v>0.4</v>
      </c>
    </row>
    <row r="397" spans="2:9">
      <c r="B397" s="42" t="s">
        <v>845</v>
      </c>
      <c r="C397" s="42" t="s">
        <v>15</v>
      </c>
      <c r="D397" s="42" t="s">
        <v>1155</v>
      </c>
      <c r="E397" s="42" t="s">
        <v>1206</v>
      </c>
      <c r="F397" s="52" t="s">
        <v>1207</v>
      </c>
      <c r="G397" s="52" t="s">
        <v>310</v>
      </c>
      <c r="H397" s="52" t="s">
        <v>20</v>
      </c>
      <c r="I397" s="42">
        <v>0.4</v>
      </c>
    </row>
    <row r="398" spans="2:9">
      <c r="B398" s="42" t="s">
        <v>845</v>
      </c>
      <c r="C398" s="42" t="s">
        <v>321</v>
      </c>
      <c r="D398" s="42" t="s">
        <v>1158</v>
      </c>
      <c r="E398" s="42" t="s">
        <v>1208</v>
      </c>
      <c r="F398" s="52" t="s">
        <v>1209</v>
      </c>
      <c r="G398" s="52" t="s">
        <v>310</v>
      </c>
      <c r="H398" s="52" t="s">
        <v>20</v>
      </c>
      <c r="I398" s="42">
        <v>0.4</v>
      </c>
    </row>
    <row r="399" spans="2:9">
      <c r="B399" s="42" t="s">
        <v>845</v>
      </c>
      <c r="C399" s="42" t="s">
        <v>15</v>
      </c>
      <c r="D399" s="42" t="s">
        <v>1155</v>
      </c>
      <c r="E399" s="42" t="s">
        <v>1210</v>
      </c>
      <c r="F399" s="52" t="s">
        <v>1211</v>
      </c>
      <c r="G399" s="52" t="s">
        <v>310</v>
      </c>
      <c r="H399" s="52" t="s">
        <v>41</v>
      </c>
      <c r="I399" s="42">
        <v>0.4</v>
      </c>
    </row>
    <row r="400" spans="2:9">
      <c r="B400" s="42" t="s">
        <v>845</v>
      </c>
      <c r="C400" s="42" t="s">
        <v>15</v>
      </c>
      <c r="D400" s="42" t="s">
        <v>1155</v>
      </c>
      <c r="E400" s="42" t="s">
        <v>1212</v>
      </c>
      <c r="F400" s="52" t="s">
        <v>1213</v>
      </c>
      <c r="G400" s="52" t="s">
        <v>310</v>
      </c>
      <c r="H400" s="52" t="s">
        <v>41</v>
      </c>
      <c r="I400" s="42">
        <v>0.4</v>
      </c>
    </row>
    <row r="401" spans="2:9">
      <c r="B401" s="42" t="s">
        <v>845</v>
      </c>
      <c r="C401" s="42" t="s">
        <v>321</v>
      </c>
      <c r="D401" s="42" t="s">
        <v>1158</v>
      </c>
      <c r="E401" s="42" t="s">
        <v>1214</v>
      </c>
      <c r="F401" s="52" t="s">
        <v>1211</v>
      </c>
      <c r="G401" s="52" t="s">
        <v>310</v>
      </c>
      <c r="H401" s="52" t="s">
        <v>41</v>
      </c>
      <c r="I401" s="42">
        <v>0.4</v>
      </c>
    </row>
    <row r="402" spans="2:9">
      <c r="B402" s="42" t="s">
        <v>845</v>
      </c>
      <c r="C402" s="42" t="s">
        <v>321</v>
      </c>
      <c r="D402" s="42" t="s">
        <v>1158</v>
      </c>
      <c r="E402" s="42" t="s">
        <v>1215</v>
      </c>
      <c r="F402" s="52" t="s">
        <v>1213</v>
      </c>
      <c r="G402" s="52" t="s">
        <v>310</v>
      </c>
      <c r="H402" s="52" t="s">
        <v>41</v>
      </c>
      <c r="I402" s="42">
        <v>0.4</v>
      </c>
    </row>
    <row r="403" spans="2:9">
      <c r="B403" s="42" t="s">
        <v>845</v>
      </c>
      <c r="C403" s="42" t="s">
        <v>15</v>
      </c>
      <c r="D403" s="42" t="s">
        <v>1155</v>
      </c>
      <c r="E403" s="42" t="s">
        <v>1216</v>
      </c>
      <c r="F403" s="52" t="s">
        <v>1217</v>
      </c>
      <c r="G403" s="52" t="s">
        <v>310</v>
      </c>
      <c r="H403" s="52" t="s">
        <v>41</v>
      </c>
      <c r="I403" s="42">
        <v>0.4</v>
      </c>
    </row>
    <row r="404" spans="2:9">
      <c r="B404" s="42" t="s">
        <v>845</v>
      </c>
      <c r="C404" s="42" t="s">
        <v>321</v>
      </c>
      <c r="D404" s="42" t="s">
        <v>1158</v>
      </c>
      <c r="E404" s="42" t="s">
        <v>1218</v>
      </c>
      <c r="F404" s="52" t="s">
        <v>1217</v>
      </c>
      <c r="G404" s="52" t="s">
        <v>310</v>
      </c>
      <c r="H404" s="52" t="s">
        <v>41</v>
      </c>
      <c r="I404" s="42">
        <v>0.4</v>
      </c>
    </row>
    <row r="405" spans="2:9">
      <c r="B405" s="42" t="s">
        <v>845</v>
      </c>
      <c r="C405" s="42" t="s">
        <v>15</v>
      </c>
      <c r="D405" s="42" t="s">
        <v>1155</v>
      </c>
      <c r="E405" s="42" t="s">
        <v>1219</v>
      </c>
      <c r="F405" s="52" t="s">
        <v>1220</v>
      </c>
      <c r="G405" s="52" t="s">
        <v>310</v>
      </c>
      <c r="H405" s="52" t="s">
        <v>41</v>
      </c>
      <c r="I405" s="42">
        <v>0.4</v>
      </c>
    </row>
    <row r="406" spans="2:9">
      <c r="B406" s="42" t="s">
        <v>845</v>
      </c>
      <c r="C406" s="42" t="s">
        <v>321</v>
      </c>
      <c r="D406" s="42" t="s">
        <v>1158</v>
      </c>
      <c r="E406" s="42" t="s">
        <v>1221</v>
      </c>
      <c r="F406" s="52" t="s">
        <v>1220</v>
      </c>
      <c r="G406" s="52" t="s">
        <v>310</v>
      </c>
      <c r="H406" s="52" t="s">
        <v>41</v>
      </c>
      <c r="I406" s="42">
        <v>0.4</v>
      </c>
    </row>
    <row r="407" spans="2:9">
      <c r="B407" s="42" t="s">
        <v>845</v>
      </c>
      <c r="C407" s="42" t="s">
        <v>15</v>
      </c>
      <c r="D407" s="42" t="s">
        <v>1155</v>
      </c>
      <c r="E407" s="42" t="s">
        <v>307</v>
      </c>
      <c r="F407" s="52" t="s">
        <v>1222</v>
      </c>
      <c r="G407" s="52" t="s">
        <v>310</v>
      </c>
      <c r="H407" s="52" t="s">
        <v>41</v>
      </c>
      <c r="I407" s="42">
        <v>0.4</v>
      </c>
    </row>
    <row r="408" spans="2:9">
      <c r="B408" s="42" t="s">
        <v>845</v>
      </c>
      <c r="C408" s="42" t="s">
        <v>15</v>
      </c>
      <c r="D408" s="42" t="s">
        <v>1155</v>
      </c>
      <c r="E408" s="42" t="s">
        <v>1223</v>
      </c>
      <c r="F408" s="52" t="s">
        <v>1224</v>
      </c>
      <c r="G408" s="52" t="s">
        <v>310</v>
      </c>
      <c r="H408" s="52" t="s">
        <v>41</v>
      </c>
      <c r="I408" s="42">
        <v>0.4</v>
      </c>
    </row>
    <row r="409" spans="2:9">
      <c r="B409" s="42" t="s">
        <v>845</v>
      </c>
      <c r="C409" s="42" t="s">
        <v>321</v>
      </c>
      <c r="D409" s="42" t="s">
        <v>1158</v>
      </c>
      <c r="E409" s="42" t="s">
        <v>1225</v>
      </c>
      <c r="F409" s="52" t="s">
        <v>1224</v>
      </c>
      <c r="G409" s="52" t="s">
        <v>310</v>
      </c>
      <c r="H409" s="52" t="s">
        <v>41</v>
      </c>
      <c r="I409" s="42">
        <v>0.4</v>
      </c>
    </row>
    <row r="410" spans="2:9">
      <c r="B410" s="42" t="s">
        <v>845</v>
      </c>
      <c r="C410" s="42" t="s">
        <v>15</v>
      </c>
      <c r="D410" s="42" t="s">
        <v>1155</v>
      </c>
      <c r="E410" s="42" t="s">
        <v>1226</v>
      </c>
      <c r="F410" s="52" t="s">
        <v>1227</v>
      </c>
      <c r="G410" s="52" t="s">
        <v>310</v>
      </c>
      <c r="H410" s="52" t="s">
        <v>41</v>
      </c>
      <c r="I410" s="42">
        <v>0.4</v>
      </c>
    </row>
    <row r="411" spans="2:9">
      <c r="B411" s="42" t="s">
        <v>845</v>
      </c>
      <c r="C411" s="42" t="s">
        <v>321</v>
      </c>
      <c r="D411" s="42" t="s">
        <v>1158</v>
      </c>
      <c r="E411" s="42" t="s">
        <v>1228</v>
      </c>
      <c r="F411" s="52" t="s">
        <v>1229</v>
      </c>
      <c r="G411" s="52" t="s">
        <v>310</v>
      </c>
      <c r="H411" s="52" t="s">
        <v>41</v>
      </c>
      <c r="I411" s="42">
        <v>0.4</v>
      </c>
    </row>
    <row r="412" spans="2:9">
      <c r="B412" s="42" t="s">
        <v>845</v>
      </c>
      <c r="C412" s="42" t="s">
        <v>15</v>
      </c>
      <c r="D412" s="42" t="s">
        <v>1155</v>
      </c>
      <c r="E412" s="42" t="s">
        <v>1230</v>
      </c>
      <c r="F412" s="52" t="s">
        <v>1231</v>
      </c>
      <c r="G412" s="52" t="s">
        <v>310</v>
      </c>
      <c r="H412" s="52" t="s">
        <v>41</v>
      </c>
      <c r="I412" s="42">
        <v>0.4</v>
      </c>
    </row>
    <row r="413" spans="2:9">
      <c r="B413" s="42" t="s">
        <v>845</v>
      </c>
      <c r="C413" s="42" t="s">
        <v>321</v>
      </c>
      <c r="D413" s="42" t="s">
        <v>1158</v>
      </c>
      <c r="E413" s="42" t="s">
        <v>1232</v>
      </c>
      <c r="F413" s="52" t="s">
        <v>1233</v>
      </c>
      <c r="G413" s="52" t="s">
        <v>310</v>
      </c>
      <c r="H413" s="52" t="s">
        <v>41</v>
      </c>
      <c r="I413" s="42">
        <v>0.4</v>
      </c>
    </row>
    <row r="414" spans="2:9">
      <c r="B414" s="42" t="s">
        <v>845</v>
      </c>
      <c r="C414" s="42" t="s">
        <v>15</v>
      </c>
      <c r="D414" s="42" t="s">
        <v>1155</v>
      </c>
      <c r="E414" s="42" t="s">
        <v>1234</v>
      </c>
      <c r="F414" s="52" t="s">
        <v>1235</v>
      </c>
      <c r="G414" s="52" t="s">
        <v>310</v>
      </c>
      <c r="H414" s="52" t="s">
        <v>41</v>
      </c>
      <c r="I414" s="42">
        <v>0.4</v>
      </c>
    </row>
    <row r="415" spans="2:9">
      <c r="B415" s="42" t="s">
        <v>845</v>
      </c>
      <c r="C415" s="42" t="s">
        <v>321</v>
      </c>
      <c r="D415" s="42" t="s">
        <v>1158</v>
      </c>
      <c r="E415" s="42" t="s">
        <v>1236</v>
      </c>
      <c r="F415" s="52" t="s">
        <v>1237</v>
      </c>
      <c r="G415" s="52" t="s">
        <v>310</v>
      </c>
      <c r="H415" s="52" t="s">
        <v>41</v>
      </c>
      <c r="I415" s="42">
        <v>0.4</v>
      </c>
    </row>
    <row r="416" spans="2:9">
      <c r="B416" s="42" t="s">
        <v>845</v>
      </c>
      <c r="C416" s="42" t="s">
        <v>15</v>
      </c>
      <c r="D416" s="42" t="s">
        <v>1155</v>
      </c>
      <c r="E416" s="42" t="s">
        <v>1238</v>
      </c>
      <c r="F416" s="52" t="s">
        <v>1239</v>
      </c>
      <c r="G416" s="52" t="s">
        <v>310</v>
      </c>
      <c r="H416" s="52" t="s">
        <v>41</v>
      </c>
      <c r="I416" s="42">
        <v>0.4</v>
      </c>
    </row>
    <row r="417" spans="2:9">
      <c r="B417" s="42" t="s">
        <v>845</v>
      </c>
      <c r="C417" s="42" t="s">
        <v>321</v>
      </c>
      <c r="D417" s="42" t="s">
        <v>1158</v>
      </c>
      <c r="E417" s="42" t="s">
        <v>1240</v>
      </c>
      <c r="F417" s="52" t="s">
        <v>1239</v>
      </c>
      <c r="G417" s="52" t="s">
        <v>310</v>
      </c>
      <c r="H417" s="52" t="s">
        <v>41</v>
      </c>
      <c r="I417" s="42">
        <v>0.4</v>
      </c>
    </row>
    <row r="418" spans="2:9">
      <c r="B418" s="42" t="s">
        <v>845</v>
      </c>
      <c r="C418" s="42" t="s">
        <v>321</v>
      </c>
      <c r="D418" s="42" t="s">
        <v>1158</v>
      </c>
      <c r="E418" s="42" t="s">
        <v>1241</v>
      </c>
      <c r="F418" s="52" t="s">
        <v>1242</v>
      </c>
      <c r="G418" s="52" t="s">
        <v>310</v>
      </c>
      <c r="H418" s="52" t="s">
        <v>41</v>
      </c>
      <c r="I418" s="42">
        <v>0.4</v>
      </c>
    </row>
    <row r="419" spans="2:9">
      <c r="B419" s="42" t="s">
        <v>845</v>
      </c>
      <c r="C419" s="42" t="s">
        <v>15</v>
      </c>
      <c r="D419" s="42" t="s">
        <v>1155</v>
      </c>
      <c r="E419" s="42" t="s">
        <v>1243</v>
      </c>
      <c r="F419" s="52" t="s">
        <v>1244</v>
      </c>
      <c r="G419" s="52" t="s">
        <v>310</v>
      </c>
      <c r="H419" s="52" t="s">
        <v>43</v>
      </c>
      <c r="I419" s="42">
        <v>0.4</v>
      </c>
    </row>
    <row r="420" spans="2:9">
      <c r="B420" s="42" t="s">
        <v>845</v>
      </c>
      <c r="C420" s="42" t="s">
        <v>15</v>
      </c>
      <c r="D420" s="42" t="s">
        <v>1155</v>
      </c>
      <c r="E420" s="42" t="s">
        <v>1245</v>
      </c>
      <c r="F420" s="52" t="s">
        <v>1246</v>
      </c>
      <c r="G420" s="52" t="s">
        <v>310</v>
      </c>
      <c r="H420" s="52" t="s">
        <v>43</v>
      </c>
      <c r="I420" s="42">
        <v>0.4</v>
      </c>
    </row>
    <row r="421" spans="2:9">
      <c r="B421" s="42" t="s">
        <v>845</v>
      </c>
      <c r="C421" s="42" t="s">
        <v>15</v>
      </c>
      <c r="D421" s="42" t="s">
        <v>1155</v>
      </c>
      <c r="E421" s="42" t="s">
        <v>1247</v>
      </c>
      <c r="F421" s="52" t="s">
        <v>1248</v>
      </c>
      <c r="G421" s="52" t="s">
        <v>310</v>
      </c>
      <c r="H421" s="52" t="s">
        <v>43</v>
      </c>
      <c r="I421" s="42">
        <v>0.4</v>
      </c>
    </row>
    <row r="422" spans="2:9">
      <c r="B422" s="42" t="s">
        <v>845</v>
      </c>
      <c r="C422" s="42" t="s">
        <v>321</v>
      </c>
      <c r="D422" s="42" t="s">
        <v>1158</v>
      </c>
      <c r="E422" s="42" t="s">
        <v>1249</v>
      </c>
      <c r="F422" s="52" t="s">
        <v>1250</v>
      </c>
      <c r="G422" s="52" t="s">
        <v>310</v>
      </c>
      <c r="H422" s="52" t="s">
        <v>43</v>
      </c>
      <c r="I422" s="42">
        <v>0.4</v>
      </c>
    </row>
    <row r="423" spans="2:9">
      <c r="B423" s="42" t="s">
        <v>845</v>
      </c>
      <c r="C423" s="42" t="s">
        <v>15</v>
      </c>
      <c r="D423" s="42" t="s">
        <v>1155</v>
      </c>
      <c r="E423" s="42" t="s">
        <v>1251</v>
      </c>
      <c r="F423" s="52" t="s">
        <v>1252</v>
      </c>
      <c r="G423" s="52" t="s">
        <v>310</v>
      </c>
      <c r="H423" s="52" t="s">
        <v>43</v>
      </c>
      <c r="I423" s="42">
        <v>0.4</v>
      </c>
    </row>
    <row r="424" spans="2:9">
      <c r="B424" s="42" t="s">
        <v>845</v>
      </c>
      <c r="C424" s="42" t="s">
        <v>321</v>
      </c>
      <c r="D424" s="42" t="s">
        <v>1158</v>
      </c>
      <c r="E424" s="42" t="s">
        <v>1253</v>
      </c>
      <c r="F424" s="52" t="s">
        <v>1254</v>
      </c>
      <c r="G424" s="52" t="s">
        <v>310</v>
      </c>
      <c r="H424" s="52" t="s">
        <v>43</v>
      </c>
      <c r="I424" s="42">
        <v>0.4</v>
      </c>
    </row>
    <row r="425" spans="2:9">
      <c r="B425" s="42" t="s">
        <v>845</v>
      </c>
      <c r="C425" s="42" t="s">
        <v>321</v>
      </c>
      <c r="D425" s="42" t="s">
        <v>1158</v>
      </c>
      <c r="E425" s="42" t="s">
        <v>1255</v>
      </c>
      <c r="F425" s="52" t="s">
        <v>1256</v>
      </c>
      <c r="G425" s="52" t="s">
        <v>310</v>
      </c>
      <c r="H425" s="52" t="s">
        <v>43</v>
      </c>
      <c r="I425" s="42">
        <v>0.4</v>
      </c>
    </row>
    <row r="426" spans="2:9">
      <c r="B426" s="42" t="s">
        <v>845</v>
      </c>
      <c r="C426" s="42" t="s">
        <v>15</v>
      </c>
      <c r="D426" s="42" t="s">
        <v>1155</v>
      </c>
      <c r="E426" s="42" t="s">
        <v>1257</v>
      </c>
      <c r="F426" s="52" t="s">
        <v>1258</v>
      </c>
      <c r="G426" s="52" t="s">
        <v>310</v>
      </c>
      <c r="H426" s="52" t="s">
        <v>43</v>
      </c>
      <c r="I426" s="42">
        <v>0.4</v>
      </c>
    </row>
    <row r="427" spans="2:9">
      <c r="B427" s="42" t="s">
        <v>845</v>
      </c>
      <c r="C427" s="42" t="s">
        <v>15</v>
      </c>
      <c r="D427" s="42" t="s">
        <v>1155</v>
      </c>
      <c r="E427" s="42" t="s">
        <v>1259</v>
      </c>
      <c r="F427" s="52" t="s">
        <v>1260</v>
      </c>
      <c r="G427" s="52" t="s">
        <v>310</v>
      </c>
      <c r="H427" s="52" t="s">
        <v>43</v>
      </c>
      <c r="I427" s="42">
        <v>0.4</v>
      </c>
    </row>
    <row r="428" spans="2:9">
      <c r="B428" s="42" t="s">
        <v>845</v>
      </c>
      <c r="C428" s="42" t="s">
        <v>321</v>
      </c>
      <c r="D428" s="42" t="s">
        <v>1158</v>
      </c>
      <c r="E428" s="42" t="s">
        <v>1261</v>
      </c>
      <c r="F428" s="52" t="s">
        <v>1262</v>
      </c>
      <c r="G428" s="52" t="s">
        <v>310</v>
      </c>
      <c r="H428" s="52" t="s">
        <v>43</v>
      </c>
      <c r="I428" s="42">
        <v>0.4</v>
      </c>
    </row>
    <row r="429" spans="2:9">
      <c r="B429" s="42" t="s">
        <v>845</v>
      </c>
      <c r="C429" s="42" t="s">
        <v>15</v>
      </c>
      <c r="D429" s="42" t="s">
        <v>1155</v>
      </c>
      <c r="E429" s="42" t="s">
        <v>1263</v>
      </c>
      <c r="F429" s="52" t="s">
        <v>1264</v>
      </c>
      <c r="G429" s="52" t="s">
        <v>310</v>
      </c>
      <c r="H429" s="52" t="s">
        <v>43</v>
      </c>
      <c r="I429" s="42">
        <v>0.4</v>
      </c>
    </row>
    <row r="430" spans="2:9">
      <c r="B430" s="42" t="s">
        <v>845</v>
      </c>
      <c r="C430" s="42" t="s">
        <v>321</v>
      </c>
      <c r="D430" s="42" t="s">
        <v>1158</v>
      </c>
      <c r="E430" s="42" t="s">
        <v>1265</v>
      </c>
      <c r="F430" s="52" t="s">
        <v>1266</v>
      </c>
      <c r="G430" s="52" t="s">
        <v>310</v>
      </c>
      <c r="H430" s="52" t="s">
        <v>43</v>
      </c>
      <c r="I430" s="42">
        <v>0.4</v>
      </c>
    </row>
    <row r="431" spans="2:9">
      <c r="B431" s="42" t="s">
        <v>845</v>
      </c>
      <c r="C431" s="42" t="s">
        <v>15</v>
      </c>
      <c r="D431" s="42" t="s">
        <v>1155</v>
      </c>
      <c r="E431" s="42" t="s">
        <v>1267</v>
      </c>
      <c r="F431" s="52" t="s">
        <v>1268</v>
      </c>
      <c r="G431" s="52" t="s">
        <v>310</v>
      </c>
      <c r="H431" s="52" t="s">
        <v>20</v>
      </c>
      <c r="I431" s="42">
        <v>0.4</v>
      </c>
    </row>
    <row r="432" spans="2:9">
      <c r="B432" s="42" t="s">
        <v>845</v>
      </c>
      <c r="C432" s="42" t="s">
        <v>321</v>
      </c>
      <c r="D432" s="42" t="s">
        <v>1158</v>
      </c>
      <c r="E432" s="42" t="s">
        <v>1269</v>
      </c>
      <c r="F432" s="52" t="s">
        <v>1270</v>
      </c>
      <c r="G432" s="52" t="s">
        <v>310</v>
      </c>
      <c r="H432" s="52" t="s">
        <v>43</v>
      </c>
      <c r="I432" s="42">
        <v>0.4</v>
      </c>
    </row>
    <row r="433" spans="2:9">
      <c r="B433" s="42" t="s">
        <v>845</v>
      </c>
      <c r="C433" s="42" t="s">
        <v>321</v>
      </c>
      <c r="D433" s="42" t="s">
        <v>1158</v>
      </c>
      <c r="E433" s="42" t="s">
        <v>1271</v>
      </c>
      <c r="F433" s="52" t="s">
        <v>1272</v>
      </c>
      <c r="G433" s="52" t="s">
        <v>310</v>
      </c>
      <c r="H433" s="52" t="s">
        <v>43</v>
      </c>
      <c r="I433" s="42">
        <v>0.4</v>
      </c>
    </row>
    <row r="434" spans="2:9">
      <c r="B434" s="42" t="s">
        <v>845</v>
      </c>
      <c r="C434" s="42" t="s">
        <v>15</v>
      </c>
      <c r="D434" s="42" t="s">
        <v>1155</v>
      </c>
      <c r="E434" s="42" t="s">
        <v>1273</v>
      </c>
      <c r="F434" s="52" t="s">
        <v>830</v>
      </c>
      <c r="G434" s="52" t="s">
        <v>310</v>
      </c>
      <c r="H434" s="52" t="s">
        <v>41</v>
      </c>
      <c r="I434" s="42">
        <v>0.4</v>
      </c>
    </row>
    <row r="435" spans="2:9">
      <c r="B435" s="42" t="s">
        <v>845</v>
      </c>
      <c r="C435" s="42" t="s">
        <v>321</v>
      </c>
      <c r="D435" s="42" t="s">
        <v>1158</v>
      </c>
      <c r="E435" s="42" t="s">
        <v>1274</v>
      </c>
      <c r="F435" s="52" t="s">
        <v>939</v>
      </c>
      <c r="G435" s="52" t="s">
        <v>310</v>
      </c>
      <c r="H435" s="52" t="s">
        <v>41</v>
      </c>
      <c r="I435" s="42">
        <v>0.4</v>
      </c>
    </row>
    <row r="436" spans="2:9">
      <c r="B436" s="42" t="s">
        <v>845</v>
      </c>
      <c r="C436" s="42" t="s">
        <v>15</v>
      </c>
      <c r="D436" s="42" t="s">
        <v>1155</v>
      </c>
      <c r="E436" s="42" t="s">
        <v>1275</v>
      </c>
      <c r="F436" s="52" t="s">
        <v>1276</v>
      </c>
      <c r="G436" s="52" t="s">
        <v>310</v>
      </c>
      <c r="H436" s="52" t="s">
        <v>16</v>
      </c>
      <c r="I436" s="42">
        <v>0.4</v>
      </c>
    </row>
    <row r="437" spans="2:9">
      <c r="B437" s="42" t="s">
        <v>845</v>
      </c>
      <c r="C437" s="42" t="s">
        <v>321</v>
      </c>
      <c r="D437" s="42" t="s">
        <v>1158</v>
      </c>
      <c r="E437" s="42" t="s">
        <v>1277</v>
      </c>
      <c r="F437" s="52" t="s">
        <v>1276</v>
      </c>
      <c r="G437" s="52" t="s">
        <v>310</v>
      </c>
      <c r="H437" s="52" t="s">
        <v>16</v>
      </c>
      <c r="I437" s="42">
        <v>0.4</v>
      </c>
    </row>
    <row r="438" spans="2:9">
      <c r="B438" s="42" t="s">
        <v>845</v>
      </c>
      <c r="C438" s="42" t="s">
        <v>15</v>
      </c>
      <c r="D438" s="42" t="s">
        <v>1155</v>
      </c>
      <c r="E438" s="42" t="s">
        <v>1278</v>
      </c>
      <c r="F438" s="52" t="s">
        <v>1279</v>
      </c>
      <c r="G438" s="52" t="s">
        <v>310</v>
      </c>
      <c r="H438" s="52" t="s">
        <v>20</v>
      </c>
      <c r="I438" s="42">
        <v>0.4</v>
      </c>
    </row>
    <row r="439" spans="2:9">
      <c r="B439" s="42" t="s">
        <v>845</v>
      </c>
      <c r="C439" s="42" t="s">
        <v>321</v>
      </c>
      <c r="D439" s="42" t="s">
        <v>1158</v>
      </c>
      <c r="E439" s="42" t="s">
        <v>1280</v>
      </c>
      <c r="F439" s="52" t="s">
        <v>1281</v>
      </c>
      <c r="G439" s="52" t="s">
        <v>310</v>
      </c>
      <c r="H439" s="52" t="s">
        <v>20</v>
      </c>
      <c r="I439" s="42">
        <v>0.4</v>
      </c>
    </row>
    <row r="440" spans="2:9">
      <c r="B440" s="42" t="s">
        <v>845</v>
      </c>
      <c r="C440" s="42" t="s">
        <v>321</v>
      </c>
      <c r="D440" s="42" t="s">
        <v>1158</v>
      </c>
      <c r="E440" s="42" t="s">
        <v>1282</v>
      </c>
      <c r="F440" s="52" t="s">
        <v>1283</v>
      </c>
      <c r="G440" s="52" t="s">
        <v>310</v>
      </c>
      <c r="H440" s="52" t="s">
        <v>1030</v>
      </c>
      <c r="I440" s="42">
        <v>0.4</v>
      </c>
    </row>
    <row r="441" spans="2:9">
      <c r="B441" s="42" t="s">
        <v>845</v>
      </c>
      <c r="C441" s="42" t="s">
        <v>321</v>
      </c>
      <c r="D441" s="42" t="s">
        <v>1158</v>
      </c>
      <c r="E441" s="42" t="s">
        <v>1284</v>
      </c>
      <c r="F441" s="52" t="s">
        <v>1283</v>
      </c>
      <c r="G441" s="52" t="s">
        <v>310</v>
      </c>
      <c r="H441" s="52" t="s">
        <v>1030</v>
      </c>
      <c r="I441" s="42">
        <v>0.4</v>
      </c>
    </row>
    <row r="442" spans="2:9">
      <c r="B442" s="42" t="s">
        <v>845</v>
      </c>
      <c r="C442" s="42" t="s">
        <v>15</v>
      </c>
      <c r="D442" s="42" t="s">
        <v>1155</v>
      </c>
      <c r="E442" s="42" t="s">
        <v>1285</v>
      </c>
      <c r="F442" s="52" t="s">
        <v>1286</v>
      </c>
      <c r="G442" s="52" t="s">
        <v>310</v>
      </c>
      <c r="H442" s="52" t="s">
        <v>41</v>
      </c>
      <c r="I442" s="42">
        <v>0.4</v>
      </c>
    </row>
    <row r="443" spans="2:9">
      <c r="B443" s="42" t="s">
        <v>845</v>
      </c>
      <c r="C443" s="42" t="s">
        <v>15</v>
      </c>
      <c r="D443" s="42" t="s">
        <v>1155</v>
      </c>
      <c r="E443" s="42" t="s">
        <v>1287</v>
      </c>
      <c r="F443" s="52" t="s">
        <v>1286</v>
      </c>
      <c r="G443" s="52" t="s">
        <v>310</v>
      </c>
      <c r="H443" s="52" t="s">
        <v>41</v>
      </c>
      <c r="I443" s="42">
        <v>0.4</v>
      </c>
    </row>
    <row r="444" spans="2:9">
      <c r="B444" s="42" t="s">
        <v>845</v>
      </c>
      <c r="C444" s="42" t="s">
        <v>15</v>
      </c>
      <c r="D444" s="42" t="s">
        <v>1155</v>
      </c>
      <c r="E444" s="42" t="s">
        <v>1288</v>
      </c>
      <c r="F444" s="52" t="s">
        <v>1289</v>
      </c>
      <c r="G444" s="52" t="s">
        <v>310</v>
      </c>
      <c r="H444" s="52" t="s">
        <v>41</v>
      </c>
      <c r="I444" s="42">
        <v>0.4</v>
      </c>
    </row>
    <row r="445" spans="2:9">
      <c r="B445" s="42" t="s">
        <v>845</v>
      </c>
      <c r="C445" s="42" t="s">
        <v>15</v>
      </c>
      <c r="D445" s="42" t="s">
        <v>1155</v>
      </c>
      <c r="E445" s="42" t="s">
        <v>1290</v>
      </c>
      <c r="F445" s="52" t="s">
        <v>1291</v>
      </c>
      <c r="G445" s="52" t="s">
        <v>310</v>
      </c>
      <c r="H445" s="52" t="s">
        <v>41</v>
      </c>
      <c r="I445" s="42">
        <v>0.4</v>
      </c>
    </row>
    <row r="446" spans="2:9">
      <c r="B446" s="42" t="s">
        <v>845</v>
      </c>
      <c r="C446" s="42" t="s">
        <v>321</v>
      </c>
      <c r="D446" s="42" t="s">
        <v>1158</v>
      </c>
      <c r="E446" s="42" t="s">
        <v>1292</v>
      </c>
      <c r="F446" s="52" t="s">
        <v>1293</v>
      </c>
      <c r="G446" s="52" t="s">
        <v>310</v>
      </c>
      <c r="H446" s="52" t="s">
        <v>41</v>
      </c>
      <c r="I446" s="42">
        <v>0.4</v>
      </c>
    </row>
    <row r="447" spans="2:9">
      <c r="B447" s="42" t="s">
        <v>845</v>
      </c>
      <c r="C447" s="42" t="s">
        <v>321</v>
      </c>
      <c r="D447" s="42" t="s">
        <v>1158</v>
      </c>
      <c r="E447" s="42" t="s">
        <v>1294</v>
      </c>
      <c r="F447" s="52" t="s">
        <v>1293</v>
      </c>
      <c r="G447" s="52" t="s">
        <v>310</v>
      </c>
      <c r="H447" s="52" t="s">
        <v>41</v>
      </c>
      <c r="I447" s="42">
        <v>0.4</v>
      </c>
    </row>
    <row r="448" spans="2:9">
      <c r="B448" s="42" t="s">
        <v>845</v>
      </c>
      <c r="C448" s="42" t="s">
        <v>321</v>
      </c>
      <c r="D448" s="42" t="s">
        <v>1158</v>
      </c>
      <c r="E448" s="42" t="s">
        <v>1295</v>
      </c>
      <c r="F448" s="52" t="s">
        <v>1289</v>
      </c>
      <c r="G448" s="52" t="s">
        <v>310</v>
      </c>
      <c r="H448" s="52" t="s">
        <v>41</v>
      </c>
      <c r="I448" s="42">
        <v>0.4</v>
      </c>
    </row>
    <row r="449" spans="2:9">
      <c r="B449" s="42" t="s">
        <v>845</v>
      </c>
      <c r="C449" s="42" t="s">
        <v>321</v>
      </c>
      <c r="D449" s="42" t="s">
        <v>1158</v>
      </c>
      <c r="E449" s="42" t="s">
        <v>1296</v>
      </c>
      <c r="F449" s="52" t="s">
        <v>1291</v>
      </c>
      <c r="G449" s="52" t="s">
        <v>310</v>
      </c>
      <c r="H449" s="52" t="s">
        <v>41</v>
      </c>
      <c r="I449" s="42">
        <v>0.4</v>
      </c>
    </row>
    <row r="450" spans="2:9">
      <c r="B450" s="42" t="s">
        <v>845</v>
      </c>
      <c r="C450" s="42" t="s">
        <v>321</v>
      </c>
      <c r="D450" s="42" t="s">
        <v>1158</v>
      </c>
      <c r="E450" s="42" t="s">
        <v>1297</v>
      </c>
      <c r="F450" s="52" t="s">
        <v>1298</v>
      </c>
      <c r="G450" s="52" t="s">
        <v>310</v>
      </c>
      <c r="H450" s="52" t="s">
        <v>41</v>
      </c>
      <c r="I450" s="42">
        <v>0.4</v>
      </c>
    </row>
    <row r="451" spans="2:9">
      <c r="B451" s="42" t="s">
        <v>845</v>
      </c>
      <c r="C451" s="42" t="s">
        <v>321</v>
      </c>
      <c r="D451" s="42" t="s">
        <v>1158</v>
      </c>
      <c r="E451" s="42" t="s">
        <v>1299</v>
      </c>
      <c r="F451" s="52" t="s">
        <v>1298</v>
      </c>
      <c r="G451" s="52" t="s">
        <v>310</v>
      </c>
      <c r="H451" s="52" t="s">
        <v>41</v>
      </c>
      <c r="I451" s="42">
        <v>0.4</v>
      </c>
    </row>
    <row r="452" spans="2:9">
      <c r="B452" s="42" t="s">
        <v>845</v>
      </c>
      <c r="C452" s="42" t="s">
        <v>15</v>
      </c>
      <c r="D452" s="42" t="s">
        <v>1155</v>
      </c>
      <c r="E452" s="42" t="s">
        <v>957</v>
      </c>
      <c r="F452" s="52" t="s">
        <v>1300</v>
      </c>
      <c r="G452" s="52" t="s">
        <v>310</v>
      </c>
      <c r="H452" s="52" t="s">
        <v>41</v>
      </c>
      <c r="I452" s="42">
        <v>0.4</v>
      </c>
    </row>
    <row r="453" spans="2:9">
      <c r="B453" s="42" t="s">
        <v>845</v>
      </c>
      <c r="C453" s="42" t="s">
        <v>321</v>
      </c>
      <c r="D453" s="42" t="s">
        <v>1158</v>
      </c>
      <c r="E453" s="42" t="s">
        <v>960</v>
      </c>
      <c r="F453" s="52" t="s">
        <v>1301</v>
      </c>
      <c r="G453" s="52" t="s">
        <v>310</v>
      </c>
      <c r="H453" s="52" t="s">
        <v>41</v>
      </c>
      <c r="I453" s="42">
        <v>0.4</v>
      </c>
    </row>
    <row r="454" spans="2:9">
      <c r="B454" s="42" t="s">
        <v>845</v>
      </c>
      <c r="C454" s="42" t="s">
        <v>15</v>
      </c>
      <c r="D454" s="42" t="s">
        <v>1155</v>
      </c>
      <c r="E454" s="42" t="s">
        <v>1302</v>
      </c>
      <c r="F454" s="52" t="s">
        <v>1303</v>
      </c>
      <c r="G454" s="52" t="s">
        <v>310</v>
      </c>
      <c r="H454" s="52" t="s">
        <v>41</v>
      </c>
      <c r="I454" s="42">
        <v>0.4</v>
      </c>
    </row>
    <row r="455" spans="2:9">
      <c r="B455" s="42" t="s">
        <v>845</v>
      </c>
      <c r="C455" s="42" t="s">
        <v>321</v>
      </c>
      <c r="D455" s="42" t="s">
        <v>1158</v>
      </c>
      <c r="E455" s="42" t="s">
        <v>1304</v>
      </c>
      <c r="F455" s="52" t="s">
        <v>1303</v>
      </c>
      <c r="G455" s="52" t="s">
        <v>310</v>
      </c>
      <c r="H455" s="52" t="s">
        <v>41</v>
      </c>
      <c r="I455" s="42">
        <v>0.4</v>
      </c>
    </row>
    <row r="456" spans="2:9">
      <c r="B456" s="42" t="s">
        <v>845</v>
      </c>
      <c r="C456" s="42" t="s">
        <v>15</v>
      </c>
      <c r="D456" s="42" t="s">
        <v>1155</v>
      </c>
      <c r="E456" s="42" t="s">
        <v>1305</v>
      </c>
      <c r="F456" s="52" t="s">
        <v>1306</v>
      </c>
      <c r="G456" s="52" t="s">
        <v>310</v>
      </c>
      <c r="H456" s="52" t="s">
        <v>41</v>
      </c>
      <c r="I456" s="42">
        <v>0.4</v>
      </c>
    </row>
    <row r="457" spans="2:9">
      <c r="B457" s="42" t="s">
        <v>845</v>
      </c>
      <c r="C457" s="42" t="s">
        <v>321</v>
      </c>
      <c r="D457" s="42" t="s">
        <v>1158</v>
      </c>
      <c r="E457" s="42" t="s">
        <v>1307</v>
      </c>
      <c r="F457" s="52" t="s">
        <v>1308</v>
      </c>
      <c r="G457" s="52" t="s">
        <v>310</v>
      </c>
      <c r="H457" s="52" t="s">
        <v>41</v>
      </c>
      <c r="I457" s="42">
        <v>0.4</v>
      </c>
    </row>
    <row r="458" spans="2:9">
      <c r="B458" s="42" t="s">
        <v>845</v>
      </c>
      <c r="C458" s="42" t="s">
        <v>15</v>
      </c>
      <c r="D458" s="42" t="s">
        <v>1155</v>
      </c>
      <c r="E458" s="42" t="s">
        <v>1309</v>
      </c>
      <c r="F458" s="52" t="s">
        <v>1310</v>
      </c>
      <c r="G458" s="52" t="s">
        <v>310</v>
      </c>
      <c r="H458" s="52" t="s">
        <v>1030</v>
      </c>
      <c r="I458" s="42">
        <v>0.4</v>
      </c>
    </row>
    <row r="459" spans="2:9">
      <c r="B459" s="42" t="s">
        <v>845</v>
      </c>
      <c r="C459" s="42" t="s">
        <v>321</v>
      </c>
      <c r="D459" s="42" t="s">
        <v>1158</v>
      </c>
      <c r="E459" s="42" t="s">
        <v>1311</v>
      </c>
      <c r="F459" s="52" t="s">
        <v>1312</v>
      </c>
      <c r="G459" s="52" t="s">
        <v>310</v>
      </c>
      <c r="H459" s="52" t="s">
        <v>1030</v>
      </c>
      <c r="I459" s="42">
        <v>0.4</v>
      </c>
    </row>
    <row r="460" spans="2:9">
      <c r="B460" s="42" t="s">
        <v>845</v>
      </c>
      <c r="C460" s="42" t="s">
        <v>15</v>
      </c>
      <c r="D460" s="42" t="s">
        <v>1155</v>
      </c>
      <c r="E460" s="42" t="s">
        <v>1313</v>
      </c>
      <c r="F460" s="52" t="s">
        <v>1306</v>
      </c>
      <c r="G460" s="52" t="s">
        <v>310</v>
      </c>
      <c r="H460" s="52" t="s">
        <v>41</v>
      </c>
      <c r="I460" s="42">
        <v>0.4</v>
      </c>
    </row>
    <row r="461" spans="2:9">
      <c r="B461" s="42" t="s">
        <v>845</v>
      </c>
      <c r="C461" s="42" t="s">
        <v>321</v>
      </c>
      <c r="D461" s="42" t="s">
        <v>1158</v>
      </c>
      <c r="E461" s="42" t="s">
        <v>1314</v>
      </c>
      <c r="F461" s="52" t="s">
        <v>1308</v>
      </c>
      <c r="G461" s="52" t="s">
        <v>310</v>
      </c>
      <c r="H461" s="52" t="s">
        <v>41</v>
      </c>
      <c r="I461" s="42">
        <v>0.4</v>
      </c>
    </row>
    <row r="462" spans="2:9">
      <c r="B462" s="42" t="s">
        <v>845</v>
      </c>
      <c r="C462" s="42" t="s">
        <v>15</v>
      </c>
      <c r="D462" s="42" t="s">
        <v>1155</v>
      </c>
      <c r="E462" s="42" t="s">
        <v>1315</v>
      </c>
      <c r="F462" s="52" t="s">
        <v>1316</v>
      </c>
      <c r="G462" s="52" t="s">
        <v>310</v>
      </c>
      <c r="H462" s="52" t="s">
        <v>1030</v>
      </c>
      <c r="I462" s="42">
        <v>0.4</v>
      </c>
    </row>
    <row r="463" spans="2:9">
      <c r="B463" s="42" t="s">
        <v>845</v>
      </c>
      <c r="C463" s="42" t="s">
        <v>321</v>
      </c>
      <c r="D463" s="42" t="s">
        <v>1158</v>
      </c>
      <c r="E463" s="42" t="s">
        <v>1317</v>
      </c>
      <c r="F463" s="52" t="s">
        <v>1318</v>
      </c>
      <c r="G463" s="52" t="s">
        <v>310</v>
      </c>
      <c r="H463" s="52" t="s">
        <v>1030</v>
      </c>
      <c r="I463" s="42">
        <v>0.4</v>
      </c>
    </row>
    <row r="464" spans="2:9">
      <c r="B464" s="42" t="s">
        <v>845</v>
      </c>
      <c r="C464" s="42" t="s">
        <v>15</v>
      </c>
      <c r="D464" s="42" t="s">
        <v>1155</v>
      </c>
      <c r="E464" s="42" t="s">
        <v>1319</v>
      </c>
      <c r="F464" s="52" t="s">
        <v>1320</v>
      </c>
      <c r="G464" s="52" t="s">
        <v>310</v>
      </c>
      <c r="H464" s="52" t="s">
        <v>20</v>
      </c>
      <c r="I464" s="42">
        <v>0.4</v>
      </c>
    </row>
    <row r="465" spans="2:9">
      <c r="B465" s="42" t="s">
        <v>845</v>
      </c>
      <c r="C465" s="42" t="s">
        <v>15</v>
      </c>
      <c r="D465" s="42" t="s">
        <v>1155</v>
      </c>
      <c r="E465" s="42" t="s">
        <v>1321</v>
      </c>
      <c r="F465" s="52" t="s">
        <v>1322</v>
      </c>
      <c r="G465" s="52" t="s">
        <v>310</v>
      </c>
      <c r="H465" s="52" t="s">
        <v>41</v>
      </c>
      <c r="I465" s="42">
        <v>0.4</v>
      </c>
    </row>
    <row r="466" spans="2:9">
      <c r="B466" s="42" t="s">
        <v>845</v>
      </c>
      <c r="C466" s="42" t="s">
        <v>321</v>
      </c>
      <c r="D466" s="42" t="s">
        <v>1158</v>
      </c>
      <c r="E466" s="42" t="s">
        <v>1323</v>
      </c>
      <c r="F466" s="52" t="s">
        <v>1324</v>
      </c>
      <c r="G466" s="52" t="s">
        <v>310</v>
      </c>
      <c r="H466" s="52" t="s">
        <v>41</v>
      </c>
      <c r="I466" s="42">
        <v>0.4</v>
      </c>
    </row>
    <row r="467" spans="2:9">
      <c r="B467" s="42" t="s">
        <v>845</v>
      </c>
      <c r="C467" s="42" t="s">
        <v>15</v>
      </c>
      <c r="D467" s="42" t="s">
        <v>1155</v>
      </c>
      <c r="E467" s="42" t="s">
        <v>1325</v>
      </c>
      <c r="F467" s="52" t="s">
        <v>1326</v>
      </c>
      <c r="G467" s="52" t="s">
        <v>310</v>
      </c>
      <c r="H467" s="52" t="s">
        <v>41</v>
      </c>
      <c r="I467" s="42">
        <v>0.4</v>
      </c>
    </row>
    <row r="468" spans="2:9">
      <c r="B468" s="42" t="s">
        <v>845</v>
      </c>
      <c r="C468" s="42" t="s">
        <v>321</v>
      </c>
      <c r="D468" s="42" t="s">
        <v>1158</v>
      </c>
      <c r="E468" s="42" t="s">
        <v>1327</v>
      </c>
      <c r="F468" s="52" t="s">
        <v>1328</v>
      </c>
      <c r="G468" s="52" t="s">
        <v>310</v>
      </c>
      <c r="H468" s="52" t="s">
        <v>41</v>
      </c>
      <c r="I468" s="42">
        <v>0.4</v>
      </c>
    </row>
    <row r="469" spans="2:9">
      <c r="B469" s="42" t="s">
        <v>845</v>
      </c>
      <c r="C469" s="42" t="s">
        <v>15</v>
      </c>
      <c r="D469" s="42" t="s">
        <v>1155</v>
      </c>
      <c r="E469" s="42" t="s">
        <v>1329</v>
      </c>
      <c r="F469" s="52" t="s">
        <v>1330</v>
      </c>
      <c r="G469" s="52" t="s">
        <v>310</v>
      </c>
      <c r="H469" s="52" t="s">
        <v>41</v>
      </c>
      <c r="I469" s="42">
        <v>0.4</v>
      </c>
    </row>
    <row r="470" spans="2:9">
      <c r="B470" s="42" t="s">
        <v>845</v>
      </c>
      <c r="C470" s="42" t="s">
        <v>321</v>
      </c>
      <c r="D470" s="42" t="s">
        <v>1158</v>
      </c>
      <c r="E470" s="42" t="s">
        <v>1331</v>
      </c>
      <c r="F470" s="52" t="s">
        <v>1332</v>
      </c>
      <c r="G470" s="52" t="s">
        <v>310</v>
      </c>
      <c r="H470" s="52" t="s">
        <v>41</v>
      </c>
      <c r="I470" s="42">
        <v>0.4</v>
      </c>
    </row>
    <row r="471" spans="2:9">
      <c r="B471" s="42" t="s">
        <v>845</v>
      </c>
      <c r="C471" s="42" t="s">
        <v>15</v>
      </c>
      <c r="D471" s="42" t="s">
        <v>1155</v>
      </c>
      <c r="E471" s="42" t="s">
        <v>1333</v>
      </c>
      <c r="F471" s="52" t="s">
        <v>1334</v>
      </c>
      <c r="G471" s="52" t="s">
        <v>310</v>
      </c>
      <c r="H471" s="52" t="s">
        <v>41</v>
      </c>
      <c r="I471" s="42">
        <v>0.4</v>
      </c>
    </row>
    <row r="472" spans="2:9">
      <c r="B472" s="42" t="s">
        <v>845</v>
      </c>
      <c r="C472" s="42" t="s">
        <v>321</v>
      </c>
      <c r="D472" s="42" t="s">
        <v>1158</v>
      </c>
      <c r="E472" s="42" t="s">
        <v>1335</v>
      </c>
      <c r="F472" s="52" t="s">
        <v>1336</v>
      </c>
      <c r="G472" s="52" t="s">
        <v>310</v>
      </c>
      <c r="H472" s="52" t="s">
        <v>41</v>
      </c>
      <c r="I472" s="42">
        <v>0.4</v>
      </c>
    </row>
    <row r="473" spans="2:9">
      <c r="B473" s="42" t="s">
        <v>845</v>
      </c>
      <c r="C473" s="42" t="s">
        <v>15</v>
      </c>
      <c r="D473" s="42" t="s">
        <v>1155</v>
      </c>
      <c r="E473" s="42" t="s">
        <v>1337</v>
      </c>
      <c r="F473" s="52" t="s">
        <v>1338</v>
      </c>
      <c r="G473" s="52" t="s">
        <v>310</v>
      </c>
      <c r="H473" s="52" t="s">
        <v>41</v>
      </c>
      <c r="I473" s="42">
        <v>0.4</v>
      </c>
    </row>
    <row r="474" spans="2:9">
      <c r="B474" s="42" t="s">
        <v>845</v>
      </c>
      <c r="C474" s="42" t="s">
        <v>321</v>
      </c>
      <c r="D474" s="42" t="s">
        <v>1158</v>
      </c>
      <c r="E474" s="42" t="s">
        <v>1339</v>
      </c>
      <c r="F474" s="52" t="s">
        <v>1340</v>
      </c>
      <c r="G474" s="52" t="s">
        <v>310</v>
      </c>
      <c r="H474" s="52" t="s">
        <v>20</v>
      </c>
      <c r="I474" s="42">
        <v>0.4</v>
      </c>
    </row>
    <row r="475" spans="2:9">
      <c r="B475" s="42" t="s">
        <v>845</v>
      </c>
      <c r="C475" s="42" t="s">
        <v>15</v>
      </c>
      <c r="D475" s="42" t="s">
        <v>1155</v>
      </c>
      <c r="E475" s="42" t="s">
        <v>1341</v>
      </c>
      <c r="F475" s="52" t="s">
        <v>1342</v>
      </c>
      <c r="G475" s="52" t="s">
        <v>310</v>
      </c>
      <c r="H475" s="52" t="s">
        <v>20</v>
      </c>
      <c r="I475" s="42">
        <v>0.4</v>
      </c>
    </row>
    <row r="476" spans="2:9">
      <c r="B476" s="42" t="s">
        <v>845</v>
      </c>
      <c r="C476" s="42" t="s">
        <v>15</v>
      </c>
      <c r="D476" s="42" t="s">
        <v>1155</v>
      </c>
      <c r="E476" s="42" t="s">
        <v>1343</v>
      </c>
      <c r="F476" s="52" t="s">
        <v>1344</v>
      </c>
      <c r="G476" s="52" t="s">
        <v>310</v>
      </c>
      <c r="H476" s="52" t="s">
        <v>20</v>
      </c>
      <c r="I476" s="42">
        <v>0.4</v>
      </c>
    </row>
    <row r="477" spans="2:9">
      <c r="B477" s="42" t="s">
        <v>845</v>
      </c>
      <c r="C477" s="42" t="s">
        <v>321</v>
      </c>
      <c r="D477" s="42" t="s">
        <v>1158</v>
      </c>
      <c r="E477" s="42" t="s">
        <v>1345</v>
      </c>
      <c r="F477" s="52" t="s">
        <v>1344</v>
      </c>
      <c r="G477" s="52" t="s">
        <v>310</v>
      </c>
      <c r="H477" s="52" t="s">
        <v>20</v>
      </c>
      <c r="I477" s="42">
        <v>0.4</v>
      </c>
    </row>
    <row r="478" spans="2:9">
      <c r="B478" s="42" t="s">
        <v>845</v>
      </c>
      <c r="C478" s="42" t="s">
        <v>15</v>
      </c>
      <c r="D478" s="42" t="s">
        <v>1155</v>
      </c>
      <c r="E478" s="42" t="s">
        <v>1346</v>
      </c>
      <c r="F478" s="52" t="s">
        <v>1344</v>
      </c>
      <c r="G478" s="52" t="s">
        <v>310</v>
      </c>
      <c r="H478" s="52" t="s">
        <v>20</v>
      </c>
      <c r="I478" s="42">
        <v>0.4</v>
      </c>
    </row>
    <row r="479" spans="2:9">
      <c r="B479" s="42" t="s">
        <v>845</v>
      </c>
      <c r="C479" s="42" t="s">
        <v>321</v>
      </c>
      <c r="D479" s="42" t="s">
        <v>1158</v>
      </c>
      <c r="E479" s="42" t="s">
        <v>1347</v>
      </c>
      <c r="F479" s="52" t="s">
        <v>1344</v>
      </c>
      <c r="G479" s="52" t="s">
        <v>310</v>
      </c>
      <c r="H479" s="52" t="s">
        <v>20</v>
      </c>
      <c r="I479" s="42">
        <v>0.4</v>
      </c>
    </row>
    <row r="480" spans="2:9">
      <c r="B480" s="42" t="s">
        <v>845</v>
      </c>
      <c r="C480" s="42" t="s">
        <v>321</v>
      </c>
      <c r="D480" s="42" t="s">
        <v>1158</v>
      </c>
      <c r="E480" s="42" t="s">
        <v>1348</v>
      </c>
      <c r="F480" s="52" t="s">
        <v>1349</v>
      </c>
      <c r="G480" s="52" t="s">
        <v>333</v>
      </c>
      <c r="H480" s="52" t="s">
        <v>20</v>
      </c>
      <c r="I480" s="42">
        <v>0.4</v>
      </c>
    </row>
    <row r="481" spans="2:9">
      <c r="B481" s="42" t="s">
        <v>845</v>
      </c>
      <c r="C481" s="42" t="s">
        <v>15</v>
      </c>
      <c r="D481" s="42" t="s">
        <v>1155</v>
      </c>
      <c r="E481" s="42" t="s">
        <v>1350</v>
      </c>
      <c r="F481" s="52" t="s">
        <v>1351</v>
      </c>
      <c r="G481" s="52" t="s">
        <v>310</v>
      </c>
      <c r="H481" s="52" t="s">
        <v>20</v>
      </c>
      <c r="I481" s="42">
        <v>0.4</v>
      </c>
    </row>
    <row r="482" spans="2:9">
      <c r="B482" s="42" t="s">
        <v>845</v>
      </c>
      <c r="C482" s="42" t="s">
        <v>321</v>
      </c>
      <c r="D482" s="42" t="s">
        <v>1158</v>
      </c>
      <c r="E482" s="42" t="s">
        <v>1352</v>
      </c>
      <c r="F482" s="52" t="s">
        <v>1353</v>
      </c>
      <c r="G482" s="52" t="s">
        <v>310</v>
      </c>
      <c r="H482" s="52" t="s">
        <v>20</v>
      </c>
      <c r="I482" s="42">
        <v>0.4</v>
      </c>
    </row>
    <row r="483" spans="2:9">
      <c r="B483" s="42" t="s">
        <v>845</v>
      </c>
      <c r="C483" s="42" t="s">
        <v>15</v>
      </c>
      <c r="D483" s="42" t="s">
        <v>1155</v>
      </c>
      <c r="E483" s="42" t="s">
        <v>1354</v>
      </c>
      <c r="F483" s="52" t="s">
        <v>1355</v>
      </c>
      <c r="G483" s="52" t="s">
        <v>310</v>
      </c>
      <c r="H483" s="52" t="s">
        <v>20</v>
      </c>
      <c r="I483" s="42">
        <v>0.4</v>
      </c>
    </row>
    <row r="484" spans="2:9">
      <c r="B484" s="42" t="s">
        <v>845</v>
      </c>
      <c r="C484" s="42" t="s">
        <v>321</v>
      </c>
      <c r="D484" s="42" t="s">
        <v>1158</v>
      </c>
      <c r="E484" s="42" t="s">
        <v>1356</v>
      </c>
      <c r="F484" s="52" t="s">
        <v>1357</v>
      </c>
      <c r="G484" s="52" t="s">
        <v>310</v>
      </c>
      <c r="H484" s="52" t="s">
        <v>20</v>
      </c>
      <c r="I484" s="42">
        <v>0.4</v>
      </c>
    </row>
    <row r="485" spans="2:9">
      <c r="B485" s="42" t="s">
        <v>845</v>
      </c>
      <c r="C485" s="42" t="s">
        <v>15</v>
      </c>
      <c r="D485" s="42" t="s">
        <v>1155</v>
      </c>
      <c r="E485" s="42" t="s">
        <v>1358</v>
      </c>
      <c r="F485" s="52" t="s">
        <v>1359</v>
      </c>
      <c r="G485" s="52" t="s">
        <v>310</v>
      </c>
      <c r="H485" s="52" t="s">
        <v>20</v>
      </c>
      <c r="I485" s="42">
        <v>0.4</v>
      </c>
    </row>
    <row r="486" spans="2:9">
      <c r="B486" s="42" t="s">
        <v>845</v>
      </c>
      <c r="C486" s="42" t="s">
        <v>321</v>
      </c>
      <c r="D486" s="42" t="s">
        <v>1158</v>
      </c>
      <c r="E486" s="42" t="s">
        <v>1360</v>
      </c>
      <c r="F486" s="52" t="s">
        <v>1361</v>
      </c>
      <c r="G486" s="52" t="s">
        <v>310</v>
      </c>
      <c r="H486" s="52" t="s">
        <v>20</v>
      </c>
      <c r="I486" s="42">
        <v>0.4</v>
      </c>
    </row>
    <row r="487" spans="2:9">
      <c r="B487" s="42" t="s">
        <v>845</v>
      </c>
      <c r="C487" s="42" t="s">
        <v>15</v>
      </c>
      <c r="D487" s="42" t="s">
        <v>1155</v>
      </c>
      <c r="E487" s="42" t="s">
        <v>1362</v>
      </c>
      <c r="F487" s="52" t="s">
        <v>1363</v>
      </c>
      <c r="G487" s="52" t="s">
        <v>310</v>
      </c>
      <c r="H487" s="52" t="s">
        <v>20</v>
      </c>
      <c r="I487" s="42">
        <v>0.4</v>
      </c>
    </row>
    <row r="488" spans="2:9">
      <c r="B488" s="42" t="s">
        <v>845</v>
      </c>
      <c r="C488" s="42" t="s">
        <v>321</v>
      </c>
      <c r="D488" s="42" t="s">
        <v>1158</v>
      </c>
      <c r="E488" s="42" t="s">
        <v>1364</v>
      </c>
      <c r="F488" s="52" t="s">
        <v>1365</v>
      </c>
      <c r="G488" s="52" t="s">
        <v>310</v>
      </c>
      <c r="H488" s="52" t="s">
        <v>20</v>
      </c>
      <c r="I488" s="42">
        <v>0.4</v>
      </c>
    </row>
    <row r="489" spans="2:9">
      <c r="B489" s="42" t="s">
        <v>845</v>
      </c>
      <c r="C489" s="42" t="s">
        <v>15</v>
      </c>
      <c r="D489" s="42" t="s">
        <v>1155</v>
      </c>
      <c r="E489" s="42" t="s">
        <v>1366</v>
      </c>
      <c r="F489" s="52" t="s">
        <v>1367</v>
      </c>
      <c r="G489" s="52" t="s">
        <v>310</v>
      </c>
      <c r="H489" s="52" t="s">
        <v>20</v>
      </c>
      <c r="I489" s="42">
        <v>0.4</v>
      </c>
    </row>
    <row r="490" spans="2:9">
      <c r="B490" s="42" t="s">
        <v>845</v>
      </c>
      <c r="C490" s="42" t="s">
        <v>321</v>
      </c>
      <c r="D490" s="42" t="s">
        <v>1158</v>
      </c>
      <c r="E490" s="42" t="s">
        <v>1368</v>
      </c>
      <c r="F490" s="52" t="s">
        <v>1369</v>
      </c>
      <c r="G490" s="52" t="s">
        <v>310</v>
      </c>
      <c r="H490" s="52" t="s">
        <v>20</v>
      </c>
      <c r="I490" s="42">
        <v>0.4</v>
      </c>
    </row>
    <row r="491" spans="2:9">
      <c r="B491" s="42" t="s">
        <v>845</v>
      </c>
      <c r="C491" s="42" t="s">
        <v>15</v>
      </c>
      <c r="D491" s="42" t="s">
        <v>1155</v>
      </c>
      <c r="E491" s="42" t="s">
        <v>1370</v>
      </c>
      <c r="F491" s="52" t="s">
        <v>1371</v>
      </c>
      <c r="G491" s="52" t="s">
        <v>310</v>
      </c>
      <c r="H491" s="52" t="s">
        <v>20</v>
      </c>
      <c r="I491" s="42">
        <v>0.4</v>
      </c>
    </row>
    <row r="492" spans="2:9">
      <c r="B492" s="42" t="s">
        <v>845</v>
      </c>
      <c r="C492" s="42" t="s">
        <v>321</v>
      </c>
      <c r="D492" s="42" t="s">
        <v>1158</v>
      </c>
      <c r="E492" s="42" t="s">
        <v>1372</v>
      </c>
      <c r="F492" s="52" t="s">
        <v>1373</v>
      </c>
      <c r="G492" s="52" t="s">
        <v>310</v>
      </c>
      <c r="H492" s="52" t="s">
        <v>20</v>
      </c>
      <c r="I492" s="42">
        <v>0.4</v>
      </c>
    </row>
    <row r="493" spans="2:9">
      <c r="B493" s="42" t="s">
        <v>845</v>
      </c>
      <c r="C493" s="42" t="s">
        <v>15</v>
      </c>
      <c r="D493" s="42" t="s">
        <v>1155</v>
      </c>
      <c r="E493" s="42" t="s">
        <v>1374</v>
      </c>
      <c r="F493" s="52" t="s">
        <v>1373</v>
      </c>
      <c r="G493" s="52" t="s">
        <v>310</v>
      </c>
      <c r="H493" s="52" t="s">
        <v>20</v>
      </c>
      <c r="I493" s="42">
        <v>0.4</v>
      </c>
    </row>
    <row r="494" spans="2:9">
      <c r="B494" s="42" t="s">
        <v>845</v>
      </c>
      <c r="C494" s="42" t="s">
        <v>321</v>
      </c>
      <c r="D494" s="42" t="s">
        <v>1158</v>
      </c>
      <c r="E494" s="42" t="s">
        <v>1375</v>
      </c>
      <c r="F494" s="52" t="s">
        <v>1376</v>
      </c>
      <c r="G494" s="52" t="s">
        <v>310</v>
      </c>
      <c r="H494" s="52" t="s">
        <v>20</v>
      </c>
      <c r="I494" s="42">
        <v>0.4</v>
      </c>
    </row>
    <row r="495" spans="2:9">
      <c r="B495" s="42" t="s">
        <v>845</v>
      </c>
      <c r="C495" s="42" t="s">
        <v>15</v>
      </c>
      <c r="D495" s="42" t="s">
        <v>1155</v>
      </c>
      <c r="E495" s="42" t="s">
        <v>1377</v>
      </c>
      <c r="F495" s="52" t="s">
        <v>1376</v>
      </c>
      <c r="G495" s="52" t="s">
        <v>310</v>
      </c>
      <c r="H495" s="52" t="s">
        <v>20</v>
      </c>
      <c r="I495" s="42">
        <v>0.4</v>
      </c>
    </row>
    <row r="496" spans="2:9">
      <c r="B496" s="42" t="s">
        <v>845</v>
      </c>
      <c r="C496" s="42" t="s">
        <v>321</v>
      </c>
      <c r="D496" s="42" t="s">
        <v>1158</v>
      </c>
      <c r="E496" s="42" t="s">
        <v>1378</v>
      </c>
      <c r="F496" s="52" t="s">
        <v>1376</v>
      </c>
      <c r="G496" s="52" t="s">
        <v>310</v>
      </c>
      <c r="H496" s="52" t="s">
        <v>20</v>
      </c>
      <c r="I496" s="42">
        <v>0.4</v>
      </c>
    </row>
    <row r="497" spans="2:9">
      <c r="B497" s="42" t="s">
        <v>845</v>
      </c>
      <c r="C497" s="42" t="s">
        <v>15</v>
      </c>
      <c r="D497" s="42" t="s">
        <v>1155</v>
      </c>
      <c r="E497" s="42" t="s">
        <v>1379</v>
      </c>
      <c r="F497" s="52" t="s">
        <v>1376</v>
      </c>
      <c r="G497" s="52" t="s">
        <v>310</v>
      </c>
      <c r="H497" s="52" t="s">
        <v>20</v>
      </c>
      <c r="I497" s="42">
        <v>0.4</v>
      </c>
    </row>
    <row r="498" spans="2:9">
      <c r="B498" s="42" t="s">
        <v>845</v>
      </c>
      <c r="C498" s="42" t="s">
        <v>321</v>
      </c>
      <c r="D498" s="42" t="s">
        <v>1158</v>
      </c>
      <c r="E498" s="42" t="s">
        <v>1380</v>
      </c>
      <c r="F498" s="52" t="s">
        <v>1381</v>
      </c>
      <c r="G498" s="52" t="s">
        <v>310</v>
      </c>
      <c r="H498" s="52" t="s">
        <v>20</v>
      </c>
      <c r="I498" s="42">
        <v>0.4</v>
      </c>
    </row>
    <row r="499" spans="2:9">
      <c r="B499" s="42" t="s">
        <v>845</v>
      </c>
      <c r="C499" s="42" t="s">
        <v>15</v>
      </c>
      <c r="D499" s="42" t="s">
        <v>1155</v>
      </c>
      <c r="E499" s="42" t="s">
        <v>1382</v>
      </c>
      <c r="F499" s="52" t="s">
        <v>1381</v>
      </c>
      <c r="G499" s="52" t="s">
        <v>310</v>
      </c>
      <c r="H499" s="52" t="s">
        <v>20</v>
      </c>
      <c r="I499" s="42">
        <v>0.4</v>
      </c>
    </row>
    <row r="500" spans="2:9">
      <c r="B500" s="42" t="s">
        <v>845</v>
      </c>
      <c r="C500" s="42" t="s">
        <v>321</v>
      </c>
      <c r="D500" s="42" t="s">
        <v>1158</v>
      </c>
      <c r="E500" s="42" t="s">
        <v>1383</v>
      </c>
      <c r="F500" s="52" t="s">
        <v>1384</v>
      </c>
      <c r="G500" s="52" t="s">
        <v>310</v>
      </c>
      <c r="H500" s="52" t="s">
        <v>20</v>
      </c>
      <c r="I500" s="42">
        <v>0.4</v>
      </c>
    </row>
    <row r="501" spans="2:9">
      <c r="B501" s="42" t="s">
        <v>845</v>
      </c>
      <c r="C501" s="42" t="s">
        <v>15</v>
      </c>
      <c r="D501" s="42" t="s">
        <v>1155</v>
      </c>
      <c r="E501" s="42" t="s">
        <v>1385</v>
      </c>
      <c r="F501" s="52" t="s">
        <v>1384</v>
      </c>
      <c r="G501" s="52" t="s">
        <v>310</v>
      </c>
      <c r="H501" s="52" t="s">
        <v>20</v>
      </c>
      <c r="I501" s="42">
        <v>0.4</v>
      </c>
    </row>
    <row r="502" spans="2:9">
      <c r="B502" s="42" t="s">
        <v>845</v>
      </c>
      <c r="C502" s="42" t="s">
        <v>321</v>
      </c>
      <c r="D502" s="42" t="s">
        <v>1158</v>
      </c>
      <c r="E502" s="42" t="s">
        <v>1386</v>
      </c>
      <c r="F502" s="52" t="s">
        <v>1387</v>
      </c>
      <c r="G502" s="52" t="s">
        <v>310</v>
      </c>
      <c r="H502" s="52" t="s">
        <v>20</v>
      </c>
      <c r="I502" s="42">
        <v>0.4</v>
      </c>
    </row>
    <row r="503" spans="2:9">
      <c r="B503" s="42" t="s">
        <v>845</v>
      </c>
      <c r="C503" s="42" t="s">
        <v>15</v>
      </c>
      <c r="D503" s="42" t="s">
        <v>1155</v>
      </c>
      <c r="E503" s="42" t="s">
        <v>1388</v>
      </c>
      <c r="F503" s="52" t="s">
        <v>1387</v>
      </c>
      <c r="G503" s="52" t="s">
        <v>310</v>
      </c>
      <c r="H503" s="52" t="s">
        <v>20</v>
      </c>
      <c r="I503" s="42">
        <v>0.4</v>
      </c>
    </row>
    <row r="504" spans="2:9">
      <c r="B504" s="42" t="s">
        <v>845</v>
      </c>
      <c r="C504" s="42" t="s">
        <v>321</v>
      </c>
      <c r="D504" s="42" t="s">
        <v>1158</v>
      </c>
      <c r="E504" s="42" t="s">
        <v>1389</v>
      </c>
      <c r="F504" s="52" t="s">
        <v>1390</v>
      </c>
      <c r="G504" s="52" t="s">
        <v>310</v>
      </c>
      <c r="H504" s="52" t="s">
        <v>20</v>
      </c>
      <c r="I504" s="42">
        <v>0.4</v>
      </c>
    </row>
    <row r="505" spans="2:9">
      <c r="B505" s="42" t="s">
        <v>845</v>
      </c>
      <c r="C505" s="42" t="s">
        <v>15</v>
      </c>
      <c r="D505" s="42" t="s">
        <v>1155</v>
      </c>
      <c r="E505" s="42" t="s">
        <v>1391</v>
      </c>
      <c r="F505" s="52" t="s">
        <v>1390</v>
      </c>
      <c r="G505" s="52" t="s">
        <v>310</v>
      </c>
      <c r="H505" s="52" t="s">
        <v>20</v>
      </c>
      <c r="I505" s="42">
        <v>0.4</v>
      </c>
    </row>
    <row r="506" spans="2:9">
      <c r="B506" s="42" t="s">
        <v>845</v>
      </c>
      <c r="C506" s="42" t="s">
        <v>321</v>
      </c>
      <c r="D506" s="42" t="s">
        <v>1158</v>
      </c>
      <c r="E506" s="42" t="s">
        <v>1392</v>
      </c>
      <c r="F506" s="52" t="s">
        <v>1393</v>
      </c>
      <c r="G506" s="52" t="s">
        <v>310</v>
      </c>
      <c r="H506" s="52" t="s">
        <v>20</v>
      </c>
      <c r="I506" s="42">
        <v>0.4</v>
      </c>
    </row>
    <row r="507" spans="2:9">
      <c r="B507" s="42" t="s">
        <v>845</v>
      </c>
      <c r="C507" s="42" t="s">
        <v>15</v>
      </c>
      <c r="D507" s="42" t="s">
        <v>1155</v>
      </c>
      <c r="E507" s="42" t="s">
        <v>1394</v>
      </c>
      <c r="F507" s="52" t="s">
        <v>1393</v>
      </c>
      <c r="G507" s="52" t="s">
        <v>310</v>
      </c>
      <c r="H507" s="52" t="s">
        <v>20</v>
      </c>
      <c r="I507" s="42">
        <v>0.4</v>
      </c>
    </row>
    <row r="508" spans="2:9">
      <c r="B508" s="42" t="s">
        <v>1395</v>
      </c>
      <c r="D508" s="42" t="s">
        <v>1395</v>
      </c>
      <c r="E508" s="42" t="s">
        <v>1396</v>
      </c>
      <c r="F508" s="52" t="s">
        <v>1396</v>
      </c>
      <c r="G508" s="52" t="s">
        <v>310</v>
      </c>
      <c r="H508" s="52" t="s">
        <v>20</v>
      </c>
      <c r="I508" s="42">
        <v>0.4</v>
      </c>
    </row>
    <row r="509" spans="2:9">
      <c r="B509" s="42" t="s">
        <v>1395</v>
      </c>
      <c r="D509" s="42" t="s">
        <v>1395</v>
      </c>
      <c r="E509" s="42" t="s">
        <v>1397</v>
      </c>
      <c r="F509" s="52" t="s">
        <v>1397</v>
      </c>
      <c r="G509" s="52" t="s">
        <v>310</v>
      </c>
      <c r="H509" s="52" t="s">
        <v>20</v>
      </c>
      <c r="I509" s="42">
        <v>0.4</v>
      </c>
    </row>
    <row r="510" spans="2:9">
      <c r="B510" s="42" t="s">
        <v>1395</v>
      </c>
      <c r="D510" s="42" t="s">
        <v>1395</v>
      </c>
      <c r="E510" s="42" t="s">
        <v>1398</v>
      </c>
      <c r="F510" s="52" t="s">
        <v>1398</v>
      </c>
      <c r="G510" s="52" t="s">
        <v>310</v>
      </c>
      <c r="H510" s="52" t="s">
        <v>20</v>
      </c>
      <c r="I510" s="42">
        <v>0.4</v>
      </c>
    </row>
    <row r="511" spans="2:9">
      <c r="B511" s="42" t="s">
        <v>1395</v>
      </c>
      <c r="D511" s="42" t="s">
        <v>1395</v>
      </c>
      <c r="E511" s="42" t="s">
        <v>1399</v>
      </c>
      <c r="F511" s="52" t="s">
        <v>1399</v>
      </c>
      <c r="G511" s="52" t="s">
        <v>310</v>
      </c>
      <c r="H511" s="52" t="s">
        <v>20</v>
      </c>
      <c r="I511" s="42">
        <v>0.4</v>
      </c>
    </row>
    <row r="512" spans="2:9">
      <c r="B512" s="42" t="s">
        <v>1395</v>
      </c>
      <c r="D512" s="42" t="s">
        <v>1395</v>
      </c>
      <c r="E512" s="42" t="s">
        <v>1400</v>
      </c>
      <c r="F512" s="52" t="s">
        <v>1400</v>
      </c>
      <c r="G512" s="52" t="s">
        <v>310</v>
      </c>
      <c r="H512" s="52" t="s">
        <v>20</v>
      </c>
      <c r="I512" s="42">
        <v>0.4</v>
      </c>
    </row>
    <row r="513" spans="2:9">
      <c r="B513" s="42" t="s">
        <v>1395</v>
      </c>
      <c r="D513" s="42" t="s">
        <v>1395</v>
      </c>
      <c r="E513" s="42" t="s">
        <v>1401</v>
      </c>
      <c r="F513" s="52" t="s">
        <v>1401</v>
      </c>
      <c r="G513" s="52" t="s">
        <v>310</v>
      </c>
      <c r="H513" s="52" t="s">
        <v>20</v>
      </c>
      <c r="I513" s="42">
        <v>0.4</v>
      </c>
    </row>
    <row r="514" spans="2:9">
      <c r="B514" s="42" t="s">
        <v>673</v>
      </c>
      <c r="D514" s="42" t="s">
        <v>673</v>
      </c>
      <c r="E514" s="42" t="s">
        <v>1402</v>
      </c>
      <c r="F514" s="52" t="s">
        <v>1403</v>
      </c>
      <c r="G514" s="52" t="s">
        <v>310</v>
      </c>
      <c r="H514" s="52" t="s">
        <v>20</v>
      </c>
      <c r="I514" s="42">
        <v>0.4</v>
      </c>
    </row>
    <row r="515" spans="2:9">
      <c r="B515" s="42" t="s">
        <v>673</v>
      </c>
      <c r="D515" s="42" t="s">
        <v>673</v>
      </c>
      <c r="E515" s="42" t="s">
        <v>1404</v>
      </c>
      <c r="F515" s="52" t="s">
        <v>1405</v>
      </c>
      <c r="G515" s="52" t="s">
        <v>310</v>
      </c>
      <c r="H515" s="52" t="s">
        <v>20</v>
      </c>
      <c r="I515" s="42">
        <v>0.4</v>
      </c>
    </row>
    <row r="516" spans="2:9">
      <c r="B516" s="42" t="s">
        <v>673</v>
      </c>
      <c r="D516" s="42" t="s">
        <v>673</v>
      </c>
      <c r="E516" s="42" t="s">
        <v>1406</v>
      </c>
      <c r="F516" s="52" t="s">
        <v>1407</v>
      </c>
      <c r="G516" s="52" t="s">
        <v>310</v>
      </c>
      <c r="H516" s="52" t="s">
        <v>20</v>
      </c>
      <c r="I516" s="42">
        <v>0.4</v>
      </c>
    </row>
    <row r="517" spans="2:9">
      <c r="B517" s="42" t="s">
        <v>673</v>
      </c>
      <c r="D517" s="42" t="s">
        <v>673</v>
      </c>
      <c r="E517" s="42" t="s">
        <v>1408</v>
      </c>
      <c r="F517" s="52" t="s">
        <v>1409</v>
      </c>
      <c r="G517" s="52" t="s">
        <v>310</v>
      </c>
      <c r="H517" s="52" t="s">
        <v>20</v>
      </c>
      <c r="I517" s="42">
        <v>0.4</v>
      </c>
    </row>
    <row r="518" spans="2:9">
      <c r="B518" s="42" t="s">
        <v>673</v>
      </c>
      <c r="D518" s="42" t="s">
        <v>673</v>
      </c>
      <c r="E518" s="42" t="s">
        <v>1410</v>
      </c>
      <c r="F518" s="52" t="s">
        <v>1411</v>
      </c>
      <c r="G518" s="52" t="s">
        <v>310</v>
      </c>
      <c r="H518" s="52" t="s">
        <v>20</v>
      </c>
      <c r="I518" s="42">
        <v>0.4</v>
      </c>
    </row>
    <row r="519" spans="2:9">
      <c r="B519" s="42" t="s">
        <v>673</v>
      </c>
      <c r="D519" s="42" t="s">
        <v>673</v>
      </c>
      <c r="E519" s="42" t="s">
        <v>1412</v>
      </c>
      <c r="F519" s="52" t="s">
        <v>1413</v>
      </c>
      <c r="G519" s="52" t="s">
        <v>310</v>
      </c>
      <c r="H519" s="52" t="s">
        <v>20</v>
      </c>
      <c r="I519" s="42">
        <v>0.4</v>
      </c>
    </row>
    <row r="520" spans="2:9">
      <c r="B520" s="42" t="s">
        <v>673</v>
      </c>
      <c r="D520" s="42" t="s">
        <v>673</v>
      </c>
      <c r="E520" s="42" t="s">
        <v>1414</v>
      </c>
      <c r="F520" s="52" t="s">
        <v>1415</v>
      </c>
      <c r="G520" s="52" t="s">
        <v>310</v>
      </c>
      <c r="H520" s="52" t="s">
        <v>20</v>
      </c>
      <c r="I520" s="42">
        <v>0.4</v>
      </c>
    </row>
    <row r="521" spans="2:9">
      <c r="B521" s="42" t="s">
        <v>673</v>
      </c>
      <c r="D521" s="42" t="s">
        <v>673</v>
      </c>
      <c r="E521" s="42" t="s">
        <v>1416</v>
      </c>
      <c r="F521" s="52" t="s">
        <v>1417</v>
      </c>
      <c r="G521" s="52" t="s">
        <v>310</v>
      </c>
      <c r="H521" s="52" t="s">
        <v>20</v>
      </c>
      <c r="I521" s="42">
        <v>0.4</v>
      </c>
    </row>
    <row r="522" spans="2:9">
      <c r="B522" s="42" t="s">
        <v>673</v>
      </c>
      <c r="D522" s="42" t="s">
        <v>673</v>
      </c>
      <c r="E522" s="42" t="s">
        <v>1418</v>
      </c>
      <c r="F522" s="52" t="s">
        <v>1419</v>
      </c>
      <c r="G522" s="52" t="s">
        <v>310</v>
      </c>
      <c r="H522" s="52" t="s">
        <v>20</v>
      </c>
      <c r="I522" s="42">
        <v>0.4</v>
      </c>
    </row>
    <row r="523" spans="2:9">
      <c r="B523" s="42" t="s">
        <v>673</v>
      </c>
      <c r="D523" s="42" t="s">
        <v>673</v>
      </c>
      <c r="E523" s="42" t="s">
        <v>1420</v>
      </c>
      <c r="F523" s="52" t="s">
        <v>1421</v>
      </c>
      <c r="G523" s="52" t="s">
        <v>310</v>
      </c>
      <c r="H523" s="52" t="s">
        <v>20</v>
      </c>
      <c r="I523" s="42">
        <v>0.4</v>
      </c>
    </row>
    <row r="524" spans="2:9">
      <c r="B524" s="42" t="s">
        <v>673</v>
      </c>
      <c r="D524" s="42" t="s">
        <v>673</v>
      </c>
      <c r="E524" s="42" t="s">
        <v>1422</v>
      </c>
      <c r="F524" s="52" t="s">
        <v>1423</v>
      </c>
      <c r="G524" s="52" t="s">
        <v>310</v>
      </c>
      <c r="H524" s="52" t="s">
        <v>20</v>
      </c>
      <c r="I524" s="42">
        <v>0.4</v>
      </c>
    </row>
    <row r="525" spans="2:9">
      <c r="B525" s="42" t="s">
        <v>673</v>
      </c>
      <c r="D525" s="42" t="s">
        <v>673</v>
      </c>
      <c r="E525" s="42" t="s">
        <v>1424</v>
      </c>
      <c r="F525" s="52" t="s">
        <v>1425</v>
      </c>
      <c r="G525" s="52" t="s">
        <v>310</v>
      </c>
      <c r="H525" s="52" t="s">
        <v>20</v>
      </c>
      <c r="I525" s="42">
        <v>0.4</v>
      </c>
    </row>
    <row r="526" spans="2:9">
      <c r="B526" s="42" t="s">
        <v>673</v>
      </c>
      <c r="D526" s="42" t="s">
        <v>673</v>
      </c>
      <c r="E526" s="42" t="s">
        <v>1426</v>
      </c>
      <c r="F526" s="52" t="s">
        <v>1427</v>
      </c>
      <c r="G526" s="52" t="s">
        <v>310</v>
      </c>
      <c r="H526" s="52" t="s">
        <v>20</v>
      </c>
      <c r="I526" s="42">
        <v>0.4</v>
      </c>
    </row>
    <row r="527" spans="2:9">
      <c r="B527" s="42" t="s">
        <v>673</v>
      </c>
      <c r="D527" s="42" t="s">
        <v>673</v>
      </c>
      <c r="E527" s="42" t="s">
        <v>1428</v>
      </c>
      <c r="F527" s="52" t="s">
        <v>1429</v>
      </c>
      <c r="G527" s="52" t="s">
        <v>310</v>
      </c>
      <c r="H527" s="52" t="s">
        <v>20</v>
      </c>
      <c r="I527" s="42">
        <v>0.4</v>
      </c>
    </row>
    <row r="528" spans="2:9">
      <c r="B528" s="42" t="s">
        <v>673</v>
      </c>
      <c r="D528" s="42" t="s">
        <v>673</v>
      </c>
      <c r="E528" s="42" t="s">
        <v>1430</v>
      </c>
      <c r="F528" s="52" t="s">
        <v>1431</v>
      </c>
      <c r="G528" s="52" t="s">
        <v>310</v>
      </c>
      <c r="H528" s="52" t="s">
        <v>20</v>
      </c>
      <c r="I528" s="42">
        <v>0.4</v>
      </c>
    </row>
    <row r="529" spans="2:9">
      <c r="B529" s="42" t="s">
        <v>673</v>
      </c>
      <c r="D529" s="42" t="s">
        <v>673</v>
      </c>
      <c r="E529" s="42" t="s">
        <v>1432</v>
      </c>
      <c r="F529" s="52" t="s">
        <v>1433</v>
      </c>
      <c r="G529" s="52" t="s">
        <v>310</v>
      </c>
      <c r="H529" s="52" t="s">
        <v>20</v>
      </c>
      <c r="I529" s="42">
        <v>0.4</v>
      </c>
    </row>
    <row r="530" spans="2:9">
      <c r="B530" s="42" t="s">
        <v>673</v>
      </c>
      <c r="D530" s="42" t="s">
        <v>673</v>
      </c>
      <c r="E530" s="42" t="s">
        <v>1434</v>
      </c>
      <c r="F530" s="52" t="s">
        <v>1435</v>
      </c>
      <c r="G530" s="52" t="s">
        <v>310</v>
      </c>
      <c r="H530" s="52" t="s">
        <v>20</v>
      </c>
      <c r="I530" s="42">
        <v>0.4</v>
      </c>
    </row>
    <row r="531" spans="2:9">
      <c r="B531" s="42" t="s">
        <v>673</v>
      </c>
      <c r="D531" s="42" t="s">
        <v>673</v>
      </c>
      <c r="E531" s="42" t="s">
        <v>1436</v>
      </c>
      <c r="F531" s="52" t="s">
        <v>1437</v>
      </c>
      <c r="G531" s="52" t="s">
        <v>310</v>
      </c>
      <c r="H531" s="52" t="s">
        <v>20</v>
      </c>
      <c r="I531" s="42">
        <v>0.4</v>
      </c>
    </row>
    <row r="532" spans="2:9">
      <c r="B532" s="42" t="s">
        <v>673</v>
      </c>
      <c r="D532" s="42" t="s">
        <v>673</v>
      </c>
      <c r="E532" s="42" t="s">
        <v>1438</v>
      </c>
      <c r="F532" s="52" t="s">
        <v>1439</v>
      </c>
      <c r="G532" s="52" t="s">
        <v>310</v>
      </c>
      <c r="H532" s="52" t="s">
        <v>20</v>
      </c>
      <c r="I532" s="42">
        <v>0.4</v>
      </c>
    </row>
    <row r="533" spans="2:9">
      <c r="B533" s="42" t="s">
        <v>673</v>
      </c>
      <c r="D533" s="42" t="s">
        <v>673</v>
      </c>
      <c r="E533" s="42" t="s">
        <v>1440</v>
      </c>
      <c r="F533" s="52" t="s">
        <v>1441</v>
      </c>
      <c r="G533" s="52" t="s">
        <v>310</v>
      </c>
      <c r="H533" s="52" t="s">
        <v>20</v>
      </c>
      <c r="I533" s="42">
        <v>0.4</v>
      </c>
    </row>
    <row r="534" spans="2:9">
      <c r="B534" s="42" t="s">
        <v>673</v>
      </c>
      <c r="D534" s="42" t="s">
        <v>673</v>
      </c>
      <c r="E534" s="42" t="s">
        <v>1442</v>
      </c>
      <c r="F534" s="52" t="s">
        <v>1443</v>
      </c>
      <c r="G534" s="52" t="s">
        <v>310</v>
      </c>
      <c r="H534" s="52" t="s">
        <v>20</v>
      </c>
      <c r="I534" s="42">
        <v>0.4</v>
      </c>
    </row>
    <row r="535" spans="2:9">
      <c r="B535" s="42" t="s">
        <v>673</v>
      </c>
      <c r="D535" s="42" t="s">
        <v>673</v>
      </c>
      <c r="E535" s="42" t="s">
        <v>1444</v>
      </c>
      <c r="F535" s="52" t="s">
        <v>1445</v>
      </c>
      <c r="G535" s="52" t="s">
        <v>310</v>
      </c>
      <c r="H535" s="52" t="s">
        <v>20</v>
      </c>
      <c r="I535" s="42">
        <v>0.4</v>
      </c>
    </row>
    <row r="536" spans="2:9">
      <c r="B536" s="42" t="s">
        <v>673</v>
      </c>
      <c r="D536" s="42" t="s">
        <v>673</v>
      </c>
      <c r="E536" s="42" t="s">
        <v>1446</v>
      </c>
      <c r="F536" s="52" t="s">
        <v>1447</v>
      </c>
      <c r="G536" s="52" t="s">
        <v>310</v>
      </c>
      <c r="H536" s="52" t="s">
        <v>20</v>
      </c>
      <c r="I536" s="42">
        <v>0.4</v>
      </c>
    </row>
    <row r="537" spans="2:9">
      <c r="B537" s="42" t="s">
        <v>673</v>
      </c>
      <c r="D537" s="42" t="s">
        <v>673</v>
      </c>
      <c r="E537" s="42" t="s">
        <v>1448</v>
      </c>
      <c r="F537" s="52" t="s">
        <v>1449</v>
      </c>
      <c r="G537" s="52" t="s">
        <v>310</v>
      </c>
      <c r="H537" s="52" t="s">
        <v>20</v>
      </c>
      <c r="I537" s="42">
        <v>0.4</v>
      </c>
    </row>
    <row r="538" spans="2:9">
      <c r="B538" s="42" t="s">
        <v>673</v>
      </c>
      <c r="D538" s="42" t="s">
        <v>673</v>
      </c>
      <c r="E538" s="42" t="s">
        <v>1450</v>
      </c>
      <c r="F538" s="52" t="s">
        <v>1451</v>
      </c>
      <c r="G538" s="52" t="s">
        <v>310</v>
      </c>
      <c r="H538" s="52" t="s">
        <v>20</v>
      </c>
      <c r="I538" s="42">
        <v>0.4</v>
      </c>
    </row>
    <row r="539" spans="2:9">
      <c r="B539" s="42" t="s">
        <v>673</v>
      </c>
      <c r="D539" s="42" t="s">
        <v>673</v>
      </c>
      <c r="E539" s="42" t="s">
        <v>1452</v>
      </c>
      <c r="F539" s="52" t="s">
        <v>1453</v>
      </c>
      <c r="G539" s="52" t="s">
        <v>310</v>
      </c>
      <c r="H539" s="52" t="s">
        <v>20</v>
      </c>
      <c r="I539" s="42">
        <v>0.4</v>
      </c>
    </row>
    <row r="540" spans="2:9">
      <c r="B540" s="42" t="s">
        <v>673</v>
      </c>
      <c r="D540" s="42" t="s">
        <v>673</v>
      </c>
      <c r="E540" s="42" t="s">
        <v>1454</v>
      </c>
      <c r="F540" s="52" t="s">
        <v>1455</v>
      </c>
      <c r="G540" s="52" t="s">
        <v>310</v>
      </c>
      <c r="H540" s="52" t="s">
        <v>20</v>
      </c>
      <c r="I540" s="42">
        <v>0.4</v>
      </c>
    </row>
    <row r="541" spans="2:9">
      <c r="B541" s="42" t="s">
        <v>673</v>
      </c>
      <c r="D541" s="42" t="s">
        <v>673</v>
      </c>
      <c r="E541" s="42" t="s">
        <v>1456</v>
      </c>
      <c r="F541" s="52" t="s">
        <v>1457</v>
      </c>
      <c r="G541" s="52" t="s">
        <v>310</v>
      </c>
      <c r="H541" s="52" t="s">
        <v>20</v>
      </c>
      <c r="I541" s="42">
        <v>0.4</v>
      </c>
    </row>
    <row r="542" spans="2:9">
      <c r="B542" s="42" t="s">
        <v>673</v>
      </c>
      <c r="D542" s="42" t="s">
        <v>673</v>
      </c>
      <c r="E542" s="42" t="s">
        <v>1458</v>
      </c>
      <c r="F542" s="52" t="s">
        <v>1459</v>
      </c>
      <c r="G542" s="52" t="s">
        <v>310</v>
      </c>
      <c r="H542" s="52" t="s">
        <v>20</v>
      </c>
      <c r="I542" s="42">
        <v>0.4</v>
      </c>
    </row>
    <row r="543" spans="2:9">
      <c r="B543" s="42" t="s">
        <v>673</v>
      </c>
      <c r="D543" s="42" t="s">
        <v>673</v>
      </c>
      <c r="E543" s="42" t="s">
        <v>1460</v>
      </c>
      <c r="F543" s="52" t="s">
        <v>1461</v>
      </c>
      <c r="G543" s="52" t="s">
        <v>310</v>
      </c>
      <c r="H543" s="52" t="s">
        <v>20</v>
      </c>
      <c r="I543" s="42">
        <v>0.4</v>
      </c>
    </row>
    <row r="544" spans="2:9">
      <c r="B544" s="42" t="s">
        <v>673</v>
      </c>
      <c r="D544" s="42" t="s">
        <v>673</v>
      </c>
      <c r="E544" s="42" t="s">
        <v>1462</v>
      </c>
      <c r="F544" s="52" t="s">
        <v>1463</v>
      </c>
      <c r="G544" s="52" t="s">
        <v>310</v>
      </c>
      <c r="H544" s="52" t="s">
        <v>20</v>
      </c>
      <c r="I544" s="42">
        <v>0.4</v>
      </c>
    </row>
    <row r="545" spans="2:9">
      <c r="B545" s="42" t="s">
        <v>673</v>
      </c>
      <c r="D545" s="42" t="s">
        <v>673</v>
      </c>
      <c r="E545" s="42" t="s">
        <v>1464</v>
      </c>
      <c r="F545" s="52" t="s">
        <v>1465</v>
      </c>
      <c r="G545" s="52" t="s">
        <v>310</v>
      </c>
      <c r="H545" s="52" t="s">
        <v>20</v>
      </c>
      <c r="I545" s="42">
        <v>0.4</v>
      </c>
    </row>
    <row r="546" spans="2:9">
      <c r="B546" s="42" t="s">
        <v>673</v>
      </c>
      <c r="D546" s="42" t="s">
        <v>673</v>
      </c>
      <c r="E546" s="42" t="s">
        <v>1466</v>
      </c>
      <c r="F546" s="52" t="s">
        <v>1467</v>
      </c>
      <c r="G546" s="52" t="s">
        <v>310</v>
      </c>
      <c r="H546" s="52" t="s">
        <v>20</v>
      </c>
      <c r="I546" s="42">
        <v>0.4</v>
      </c>
    </row>
    <row r="547" spans="2:9">
      <c r="B547" s="42" t="s">
        <v>673</v>
      </c>
      <c r="D547" s="42" t="s">
        <v>673</v>
      </c>
      <c r="E547" s="42" t="s">
        <v>1468</v>
      </c>
      <c r="F547" s="52" t="s">
        <v>1469</v>
      </c>
      <c r="G547" s="52" t="s">
        <v>310</v>
      </c>
      <c r="H547" s="52" t="s">
        <v>20</v>
      </c>
      <c r="I547" s="42">
        <v>0.4</v>
      </c>
    </row>
    <row r="548" spans="2:9">
      <c r="B548" s="42" t="s">
        <v>673</v>
      </c>
      <c r="D548" s="42" t="s">
        <v>673</v>
      </c>
      <c r="E548" s="42" t="s">
        <v>1470</v>
      </c>
      <c r="F548" s="52" t="s">
        <v>1471</v>
      </c>
      <c r="G548" s="52" t="s">
        <v>310</v>
      </c>
      <c r="H548" s="52" t="s">
        <v>20</v>
      </c>
      <c r="I548" s="42">
        <v>0.4</v>
      </c>
    </row>
    <row r="549" spans="2:9">
      <c r="B549" s="42" t="s">
        <v>673</v>
      </c>
      <c r="D549" s="42" t="s">
        <v>673</v>
      </c>
      <c r="E549" s="42" t="s">
        <v>1472</v>
      </c>
      <c r="F549" s="52" t="s">
        <v>1473</v>
      </c>
      <c r="G549" s="52" t="s">
        <v>310</v>
      </c>
      <c r="H549" s="52" t="s">
        <v>20</v>
      </c>
      <c r="I549" s="42">
        <v>0.4</v>
      </c>
    </row>
    <row r="550" spans="2:9">
      <c r="B550" s="42" t="s">
        <v>673</v>
      </c>
      <c r="D550" s="42" t="s">
        <v>673</v>
      </c>
      <c r="E550" s="42" t="s">
        <v>1474</v>
      </c>
      <c r="F550" s="52" t="s">
        <v>1475</v>
      </c>
      <c r="G550" s="52" t="s">
        <v>310</v>
      </c>
      <c r="H550" s="52" t="s">
        <v>20</v>
      </c>
      <c r="I550" s="42">
        <v>0.4</v>
      </c>
    </row>
    <row r="551" spans="2:9">
      <c r="B551" s="42" t="s">
        <v>673</v>
      </c>
      <c r="D551" s="42" t="s">
        <v>673</v>
      </c>
      <c r="E551" s="42" t="s">
        <v>1476</v>
      </c>
      <c r="F551" s="52" t="s">
        <v>1477</v>
      </c>
      <c r="G551" s="52" t="s">
        <v>310</v>
      </c>
      <c r="H551" s="52" t="s">
        <v>20</v>
      </c>
      <c r="I551" s="42">
        <v>0.4</v>
      </c>
    </row>
    <row r="552" spans="2:9">
      <c r="B552" s="42" t="s">
        <v>673</v>
      </c>
      <c r="D552" s="42" t="s">
        <v>673</v>
      </c>
      <c r="E552" s="42" t="s">
        <v>1478</v>
      </c>
      <c r="F552" s="52" t="s">
        <v>1479</v>
      </c>
      <c r="G552" s="52" t="s">
        <v>310</v>
      </c>
      <c r="H552" s="52" t="s">
        <v>20</v>
      </c>
      <c r="I552" s="42">
        <v>0.4</v>
      </c>
    </row>
    <row r="553" spans="2:9">
      <c r="B553" s="42" t="s">
        <v>677</v>
      </c>
      <c r="D553" s="42" t="s">
        <v>677</v>
      </c>
      <c r="E553" s="42" t="s">
        <v>1480</v>
      </c>
      <c r="F553" s="52" t="s">
        <v>1481</v>
      </c>
      <c r="G553" s="52" t="s">
        <v>310</v>
      </c>
      <c r="H553" s="52" t="s">
        <v>20</v>
      </c>
      <c r="I553" s="42">
        <v>0.4</v>
      </c>
    </row>
    <row r="554" spans="2:9">
      <c r="B554" s="42" t="s">
        <v>677</v>
      </c>
      <c r="D554" s="42" t="s">
        <v>677</v>
      </c>
      <c r="E554" s="42" t="s">
        <v>1482</v>
      </c>
      <c r="F554" s="52" t="s">
        <v>1481</v>
      </c>
      <c r="G554" s="52" t="s">
        <v>310</v>
      </c>
      <c r="H554" s="52" t="s">
        <v>20</v>
      </c>
      <c r="I554" s="42">
        <v>0.4</v>
      </c>
    </row>
    <row r="555" spans="2:9">
      <c r="B555" s="42" t="s">
        <v>677</v>
      </c>
      <c r="D555" s="42" t="s">
        <v>677</v>
      </c>
      <c r="E555" s="42" t="s">
        <v>1483</v>
      </c>
      <c r="F555" s="52" t="s">
        <v>1481</v>
      </c>
      <c r="G555" s="52" t="s">
        <v>310</v>
      </c>
      <c r="H555" s="52" t="s">
        <v>20</v>
      </c>
      <c r="I555" s="42">
        <v>0.4</v>
      </c>
    </row>
    <row r="556" spans="2:9">
      <c r="B556" s="42" t="s">
        <v>677</v>
      </c>
      <c r="D556" s="42" t="s">
        <v>677</v>
      </c>
      <c r="E556" s="42" t="s">
        <v>1484</v>
      </c>
      <c r="F556" s="52" t="s">
        <v>1481</v>
      </c>
      <c r="G556" s="52" t="s">
        <v>310</v>
      </c>
      <c r="H556" s="52" t="s">
        <v>20</v>
      </c>
      <c r="I556" s="42">
        <v>0.4</v>
      </c>
    </row>
    <row r="557" spans="2:9">
      <c r="B557" s="42" t="s">
        <v>677</v>
      </c>
      <c r="D557" s="42" t="s">
        <v>677</v>
      </c>
      <c r="E557" s="42" t="s">
        <v>1485</v>
      </c>
      <c r="F557" s="52" t="s">
        <v>1481</v>
      </c>
      <c r="G557" s="52" t="s">
        <v>310</v>
      </c>
      <c r="H557" s="52" t="s">
        <v>20</v>
      </c>
      <c r="I557" s="42">
        <v>0.4</v>
      </c>
    </row>
    <row r="558" spans="2:9">
      <c r="B558" s="42" t="s">
        <v>677</v>
      </c>
      <c r="D558" s="42" t="s">
        <v>677</v>
      </c>
      <c r="E558" s="42" t="s">
        <v>1486</v>
      </c>
      <c r="F558" s="52" t="s">
        <v>1481</v>
      </c>
      <c r="G558" s="52" t="s">
        <v>310</v>
      </c>
      <c r="H558" s="52" t="s">
        <v>20</v>
      </c>
      <c r="I558" s="42">
        <v>0.4</v>
      </c>
    </row>
    <row r="559" spans="2:9">
      <c r="B559" s="42" t="s">
        <v>677</v>
      </c>
      <c r="D559" s="42" t="s">
        <v>677</v>
      </c>
      <c r="E559" s="42" t="s">
        <v>1487</v>
      </c>
      <c r="F559" s="52" t="s">
        <v>1481</v>
      </c>
      <c r="G559" s="52" t="s">
        <v>310</v>
      </c>
      <c r="H559" s="52" t="s">
        <v>20</v>
      </c>
      <c r="I559" s="42">
        <v>0.4</v>
      </c>
    </row>
    <row r="560" spans="2:9">
      <c r="B560" s="42" t="s">
        <v>1488</v>
      </c>
      <c r="D560" s="42" t="s">
        <v>1488</v>
      </c>
      <c r="E560" s="42" t="s">
        <v>1489</v>
      </c>
      <c r="F560" s="52" t="s">
        <v>1490</v>
      </c>
      <c r="G560" s="52" t="s">
        <v>310</v>
      </c>
      <c r="H560" s="52" t="s">
        <v>20</v>
      </c>
      <c r="I560" s="42">
        <v>0.4</v>
      </c>
    </row>
    <row r="561" spans="2:9">
      <c r="B561" s="42" t="s">
        <v>1488</v>
      </c>
      <c r="D561" s="42" t="s">
        <v>1488</v>
      </c>
      <c r="E561" s="42" t="s">
        <v>1491</v>
      </c>
      <c r="F561" s="52" t="s">
        <v>1492</v>
      </c>
      <c r="G561" s="52" t="s">
        <v>310</v>
      </c>
      <c r="H561" s="52" t="s">
        <v>20</v>
      </c>
      <c r="I561" s="42">
        <v>0.4</v>
      </c>
    </row>
    <row r="562" spans="2:9">
      <c r="B562" s="42" t="s">
        <v>1488</v>
      </c>
      <c r="D562" s="42" t="s">
        <v>1488</v>
      </c>
      <c r="E562" s="42" t="s">
        <v>1493</v>
      </c>
      <c r="F562" s="52" t="s">
        <v>1494</v>
      </c>
      <c r="G562" s="52" t="s">
        <v>310</v>
      </c>
      <c r="H562" s="52" t="s">
        <v>20</v>
      </c>
      <c r="I562" s="42">
        <v>0.4</v>
      </c>
    </row>
    <row r="563" spans="2:9">
      <c r="B563" s="42" t="s">
        <v>1488</v>
      </c>
      <c r="D563" s="42" t="s">
        <v>1488</v>
      </c>
      <c r="E563" s="42" t="s">
        <v>1495</v>
      </c>
      <c r="F563" s="52" t="s">
        <v>1496</v>
      </c>
      <c r="G563" s="52" t="s">
        <v>310</v>
      </c>
      <c r="H563" s="52" t="s">
        <v>20</v>
      </c>
      <c r="I563" s="42">
        <v>0.4</v>
      </c>
    </row>
    <row r="564" spans="2:9">
      <c r="B564" s="42" t="s">
        <v>1488</v>
      </c>
      <c r="D564" s="42" t="s">
        <v>1488</v>
      </c>
      <c r="E564" s="42" t="s">
        <v>1497</v>
      </c>
      <c r="F564" s="52" t="s">
        <v>1498</v>
      </c>
      <c r="G564" s="52" t="s">
        <v>310</v>
      </c>
      <c r="H564" s="52" t="s">
        <v>20</v>
      </c>
      <c r="I564" s="42">
        <v>0.4</v>
      </c>
    </row>
    <row r="565" spans="2:9">
      <c r="B565" s="42" t="s">
        <v>1488</v>
      </c>
      <c r="D565" s="42" t="s">
        <v>1488</v>
      </c>
      <c r="E565" s="42" t="s">
        <v>1499</v>
      </c>
      <c r="F565" s="52" t="s">
        <v>1500</v>
      </c>
      <c r="G565" s="52" t="s">
        <v>310</v>
      </c>
      <c r="H565" s="52" t="s">
        <v>20</v>
      </c>
      <c r="I565" s="42">
        <v>0.4</v>
      </c>
    </row>
    <row r="566" spans="2:9">
      <c r="B566" s="42" t="s">
        <v>1488</v>
      </c>
      <c r="D566" s="42" t="s">
        <v>1488</v>
      </c>
      <c r="E566" s="42" t="s">
        <v>1501</v>
      </c>
      <c r="F566" s="52" t="s">
        <v>1502</v>
      </c>
      <c r="G566" s="52" t="s">
        <v>310</v>
      </c>
      <c r="H566" s="52" t="s">
        <v>20</v>
      </c>
      <c r="I566" s="42">
        <v>0.4</v>
      </c>
    </row>
    <row r="567" spans="2:9">
      <c r="B567" s="42" t="s">
        <v>1488</v>
      </c>
      <c r="D567" s="42" t="s">
        <v>1488</v>
      </c>
      <c r="E567" s="42" t="s">
        <v>1503</v>
      </c>
      <c r="F567" s="52" t="s">
        <v>1504</v>
      </c>
      <c r="G567" s="52" t="s">
        <v>310</v>
      </c>
      <c r="H567" s="52" t="s">
        <v>20</v>
      </c>
      <c r="I567" s="42">
        <v>0.4</v>
      </c>
    </row>
    <row r="568" spans="2:9">
      <c r="B568" s="42" t="s">
        <v>1488</v>
      </c>
      <c r="D568" s="42" t="s">
        <v>1488</v>
      </c>
      <c r="E568" s="42" t="s">
        <v>1505</v>
      </c>
      <c r="F568" s="52" t="s">
        <v>1506</v>
      </c>
      <c r="G568" s="52" t="s">
        <v>310</v>
      </c>
      <c r="H568" s="52" t="s">
        <v>20</v>
      </c>
      <c r="I568" s="42">
        <v>0.4</v>
      </c>
    </row>
    <row r="569" spans="2:9">
      <c r="B569" s="42" t="s">
        <v>1488</v>
      </c>
      <c r="D569" s="42" t="s">
        <v>1488</v>
      </c>
      <c r="E569" s="42" t="s">
        <v>1507</v>
      </c>
      <c r="F569" s="52" t="s">
        <v>1508</v>
      </c>
      <c r="G569" s="52" t="s">
        <v>310</v>
      </c>
      <c r="H569" s="52" t="s">
        <v>20</v>
      </c>
      <c r="I569" s="42">
        <v>0.4</v>
      </c>
    </row>
    <row r="570" spans="2:9">
      <c r="B570" s="42" t="s">
        <v>1488</v>
      </c>
      <c r="D570" s="42" t="s">
        <v>1488</v>
      </c>
      <c r="E570" s="42" t="s">
        <v>1509</v>
      </c>
      <c r="F570" s="52" t="s">
        <v>1510</v>
      </c>
      <c r="G570" s="52" t="s">
        <v>310</v>
      </c>
      <c r="H570" s="52" t="s">
        <v>20</v>
      </c>
      <c r="I570" s="42">
        <v>0.4</v>
      </c>
    </row>
    <row r="571" spans="2:9">
      <c r="B571" s="42" t="s">
        <v>1511</v>
      </c>
      <c r="D571" s="42" t="s">
        <v>1511</v>
      </c>
      <c r="E571" s="42" t="s">
        <v>1512</v>
      </c>
      <c r="F571" s="52" t="s">
        <v>1513</v>
      </c>
      <c r="G571" s="52" t="s">
        <v>310</v>
      </c>
      <c r="H571" s="52" t="s">
        <v>20</v>
      </c>
      <c r="I571" s="42">
        <v>0.4</v>
      </c>
    </row>
    <row r="572" spans="2:9">
      <c r="B572" s="42" t="s">
        <v>1511</v>
      </c>
      <c r="D572" s="42" t="s">
        <v>1511</v>
      </c>
      <c r="E572" s="42" t="s">
        <v>1514</v>
      </c>
      <c r="F572" s="52" t="s">
        <v>1515</v>
      </c>
      <c r="G572" s="52" t="s">
        <v>310</v>
      </c>
      <c r="H572" s="52" t="s">
        <v>20</v>
      </c>
      <c r="I572" s="42">
        <v>0.4</v>
      </c>
    </row>
    <row r="573" spans="2:9">
      <c r="B573" s="42" t="s">
        <v>1511</v>
      </c>
      <c r="D573" s="42" t="s">
        <v>1511</v>
      </c>
      <c r="E573" s="42" t="s">
        <v>1516</v>
      </c>
      <c r="F573" s="52" t="s">
        <v>1517</v>
      </c>
      <c r="G573" s="52" t="s">
        <v>310</v>
      </c>
      <c r="H573" s="52" t="s">
        <v>20</v>
      </c>
      <c r="I573" s="42">
        <v>0.4</v>
      </c>
    </row>
    <row r="574" spans="2:9">
      <c r="B574" s="42" t="s">
        <v>1511</v>
      </c>
      <c r="D574" s="42" t="s">
        <v>1511</v>
      </c>
      <c r="E574" s="42" t="s">
        <v>1518</v>
      </c>
      <c r="F574" s="52" t="s">
        <v>1519</v>
      </c>
      <c r="G574" s="52" t="s">
        <v>310</v>
      </c>
      <c r="H574" s="52" t="s">
        <v>20</v>
      </c>
      <c r="I574" s="42">
        <v>0.4</v>
      </c>
    </row>
    <row r="575" spans="2:9">
      <c r="B575" s="42" t="s">
        <v>1511</v>
      </c>
      <c r="D575" s="42" t="s">
        <v>1511</v>
      </c>
      <c r="E575" s="42" t="s">
        <v>1520</v>
      </c>
      <c r="F575" s="52" t="s">
        <v>1521</v>
      </c>
      <c r="G575" s="52" t="s">
        <v>310</v>
      </c>
      <c r="H575" s="52" t="s">
        <v>20</v>
      </c>
      <c r="I575" s="42">
        <v>0.4</v>
      </c>
    </row>
    <row r="576" spans="2:9">
      <c r="B576" s="42" t="s">
        <v>1511</v>
      </c>
      <c r="D576" s="42" t="s">
        <v>1511</v>
      </c>
      <c r="E576" s="42" t="s">
        <v>1522</v>
      </c>
      <c r="F576" s="52" t="s">
        <v>1523</v>
      </c>
      <c r="G576" s="52" t="s">
        <v>310</v>
      </c>
      <c r="H576" s="52" t="s">
        <v>20</v>
      </c>
      <c r="I576" s="42">
        <v>0.4</v>
      </c>
    </row>
    <row r="577" spans="2:9">
      <c r="B577" s="42" t="s">
        <v>1511</v>
      </c>
      <c r="D577" s="42" t="s">
        <v>1511</v>
      </c>
      <c r="E577" s="42" t="s">
        <v>1524</v>
      </c>
      <c r="F577" s="52" t="s">
        <v>1525</v>
      </c>
      <c r="G577" s="52" t="s">
        <v>310</v>
      </c>
      <c r="H577" s="52" t="s">
        <v>20</v>
      </c>
      <c r="I577" s="42">
        <v>0.4</v>
      </c>
    </row>
    <row r="578" spans="2:9">
      <c r="B578" s="42" t="s">
        <v>1526</v>
      </c>
      <c r="D578" s="42" t="s">
        <v>1526</v>
      </c>
      <c r="E578" s="42" t="s">
        <v>826</v>
      </c>
      <c r="F578" s="52" t="s">
        <v>827</v>
      </c>
      <c r="G578" s="52" t="s">
        <v>310</v>
      </c>
      <c r="H578" s="52" t="s">
        <v>43</v>
      </c>
      <c r="I578" s="42">
        <v>0.4</v>
      </c>
    </row>
    <row r="579" spans="2:9">
      <c r="B579" s="42" t="s">
        <v>1526</v>
      </c>
      <c r="D579" s="42" t="s">
        <v>1526</v>
      </c>
      <c r="E579" s="42" t="s">
        <v>931</v>
      </c>
      <c r="F579" s="52" t="s">
        <v>932</v>
      </c>
      <c r="G579" s="52" t="s">
        <v>310</v>
      </c>
      <c r="H579" s="52" t="s">
        <v>43</v>
      </c>
      <c r="I579" s="42">
        <v>0.4</v>
      </c>
    </row>
    <row r="580" spans="2:9">
      <c r="B580" s="42" t="s">
        <v>1526</v>
      </c>
      <c r="D580" s="42" t="s">
        <v>1526</v>
      </c>
      <c r="E580" s="42" t="s">
        <v>1527</v>
      </c>
      <c r="F580" s="52" t="s">
        <v>1528</v>
      </c>
      <c r="G580" s="52" t="s">
        <v>310</v>
      </c>
      <c r="H580" s="52" t="s">
        <v>43</v>
      </c>
      <c r="I580" s="42">
        <v>0.4</v>
      </c>
    </row>
    <row r="581" spans="2:9">
      <c r="B581" s="42" t="s">
        <v>1526</v>
      </c>
      <c r="D581" s="42" t="s">
        <v>1526</v>
      </c>
      <c r="E581" s="42" t="s">
        <v>933</v>
      </c>
      <c r="F581" s="52" t="s">
        <v>934</v>
      </c>
      <c r="G581" s="52" t="s">
        <v>310</v>
      </c>
      <c r="H581" s="52" t="s">
        <v>1010</v>
      </c>
      <c r="I581" s="42">
        <v>0.4</v>
      </c>
    </row>
    <row r="582" spans="2:9">
      <c r="B582" s="42" t="s">
        <v>1526</v>
      </c>
      <c r="D582" s="42" t="s">
        <v>1526</v>
      </c>
      <c r="E582" s="42" t="s">
        <v>936</v>
      </c>
      <c r="F582" s="52" t="s">
        <v>937</v>
      </c>
      <c r="G582" s="52" t="s">
        <v>310</v>
      </c>
      <c r="H582" s="52" t="s">
        <v>1010</v>
      </c>
      <c r="I582" s="42">
        <v>0.4</v>
      </c>
    </row>
    <row r="583" spans="2:9">
      <c r="B583" s="42" t="s">
        <v>1526</v>
      </c>
      <c r="D583" s="42" t="s">
        <v>1526</v>
      </c>
      <c r="E583" s="42" t="s">
        <v>1488</v>
      </c>
      <c r="F583" s="52" t="s">
        <v>1529</v>
      </c>
      <c r="G583" s="52" t="s">
        <v>310</v>
      </c>
      <c r="H583" s="52" t="s">
        <v>20</v>
      </c>
      <c r="I583" s="42">
        <v>0.4</v>
      </c>
    </row>
    <row r="584" spans="2:9">
      <c r="B584" s="42" t="s">
        <v>1530</v>
      </c>
      <c r="D584" s="42" t="s">
        <v>1530</v>
      </c>
      <c r="E584" s="42" t="s">
        <v>661</v>
      </c>
      <c r="F584" s="52" t="s">
        <v>1531</v>
      </c>
      <c r="G584" s="52" t="s">
        <v>333</v>
      </c>
      <c r="H584" s="52" t="s">
        <v>43</v>
      </c>
      <c r="I584" s="42">
        <v>0.4</v>
      </c>
    </row>
    <row r="585" spans="2:9">
      <c r="B585" s="42" t="s">
        <v>1530</v>
      </c>
      <c r="D585" s="42" t="s">
        <v>1530</v>
      </c>
      <c r="E585" s="42" t="s">
        <v>686</v>
      </c>
      <c r="F585" s="52" t="s">
        <v>1532</v>
      </c>
      <c r="G585" s="52" t="s">
        <v>333</v>
      </c>
      <c r="H585" s="52" t="s">
        <v>43</v>
      </c>
      <c r="I585" s="42">
        <v>0.4</v>
      </c>
    </row>
    <row r="586" spans="2:9">
      <c r="B586" s="42" t="s">
        <v>1530</v>
      </c>
      <c r="D586" s="42" t="s">
        <v>1530</v>
      </c>
      <c r="E586" s="42" t="s">
        <v>1533</v>
      </c>
      <c r="F586" s="52" t="s">
        <v>1534</v>
      </c>
      <c r="G586" s="52" t="s">
        <v>333</v>
      </c>
      <c r="H586" s="52" t="s">
        <v>43</v>
      </c>
      <c r="I586" s="42">
        <v>0.4</v>
      </c>
    </row>
    <row r="587" spans="2:9">
      <c r="B587" s="42" t="s">
        <v>1530</v>
      </c>
      <c r="D587" s="42" t="s">
        <v>1530</v>
      </c>
      <c r="E587" s="42" t="s">
        <v>694</v>
      </c>
      <c r="F587" s="52" t="s">
        <v>1535</v>
      </c>
      <c r="G587" s="52" t="s">
        <v>333</v>
      </c>
      <c r="H587" s="52" t="s">
        <v>1010</v>
      </c>
      <c r="I587" s="42">
        <v>0.4</v>
      </c>
    </row>
    <row r="588" spans="2:9">
      <c r="B588" s="42" t="s">
        <v>1530</v>
      </c>
      <c r="D588" s="42" t="s">
        <v>1530</v>
      </c>
      <c r="E588" s="42" t="s">
        <v>697</v>
      </c>
      <c r="F588" s="52" t="s">
        <v>1536</v>
      </c>
      <c r="G588" s="52" t="s">
        <v>333</v>
      </c>
      <c r="H588" s="52" t="s">
        <v>1010</v>
      </c>
      <c r="I588" s="42">
        <v>0.4</v>
      </c>
    </row>
    <row r="589" spans="2:9">
      <c r="B589" s="42" t="s">
        <v>1530</v>
      </c>
      <c r="D589" s="42" t="s">
        <v>1530</v>
      </c>
      <c r="E589" s="42" t="s">
        <v>700</v>
      </c>
      <c r="F589" s="52" t="s">
        <v>1537</v>
      </c>
      <c r="G589" s="52" t="s">
        <v>333</v>
      </c>
      <c r="H589" s="52" t="s">
        <v>1010</v>
      </c>
      <c r="I589" s="42">
        <v>0.4</v>
      </c>
    </row>
    <row r="590" spans="2:9">
      <c r="B590" s="42" t="s">
        <v>1530</v>
      </c>
      <c r="D590" s="42" t="s">
        <v>1530</v>
      </c>
      <c r="E590" s="42" t="s">
        <v>673</v>
      </c>
      <c r="F590" s="52" t="s">
        <v>1538</v>
      </c>
      <c r="G590" s="52" t="s">
        <v>333</v>
      </c>
      <c r="H590" s="52" t="s">
        <v>1010</v>
      </c>
      <c r="I590" s="42">
        <v>0.4</v>
      </c>
    </row>
    <row r="591" spans="2:9">
      <c r="B591" s="42" t="s">
        <v>1530</v>
      </c>
      <c r="D591" s="42" t="s">
        <v>1530</v>
      </c>
      <c r="E591" s="42" t="s">
        <v>677</v>
      </c>
      <c r="F591" s="52" t="s">
        <v>1539</v>
      </c>
      <c r="G591" s="52" t="s">
        <v>333</v>
      </c>
      <c r="H591" s="52" t="s">
        <v>1010</v>
      </c>
      <c r="I591" s="42">
        <v>0.4</v>
      </c>
    </row>
    <row r="592" spans="2:9">
      <c r="B592" s="42" t="s">
        <v>1540</v>
      </c>
      <c r="D592" s="42" t="s">
        <v>1540</v>
      </c>
      <c r="E592" s="42" t="s">
        <v>1541</v>
      </c>
      <c r="F592" s="52" t="s">
        <v>1542</v>
      </c>
      <c r="G592" s="52" t="s">
        <v>310</v>
      </c>
      <c r="H592" s="52" t="s">
        <v>20</v>
      </c>
      <c r="I592" s="42">
        <v>0.4</v>
      </c>
    </row>
    <row r="601" spans="8:9">
      <c r="H601" s="52" t="s">
        <v>1543</v>
      </c>
      <c r="I601" s="42" t="s">
        <v>1544</v>
      </c>
    </row>
    <row r="602" spans="8:9">
      <c r="H602" s="52" t="s">
        <v>309</v>
      </c>
      <c r="I602" s="42">
        <v>11</v>
      </c>
    </row>
    <row r="603" spans="8:9">
      <c r="H603" s="52" t="s">
        <v>20</v>
      </c>
      <c r="I603" s="42">
        <v>11</v>
      </c>
    </row>
    <row r="604" spans="8:9">
      <c r="H604" s="52" t="s">
        <v>352</v>
      </c>
      <c r="I604" s="42">
        <v>11</v>
      </c>
    </row>
    <row r="605" spans="8:9">
      <c r="H605" s="52" t="s">
        <v>16</v>
      </c>
      <c r="I605" s="42">
        <v>0.69</v>
      </c>
    </row>
    <row r="606" spans="8:9">
      <c r="H606" s="52" t="s">
        <v>1010</v>
      </c>
      <c r="I606" s="42">
        <v>0.69</v>
      </c>
    </row>
    <row r="607" spans="8:9">
      <c r="H607" s="52" t="s">
        <v>24</v>
      </c>
      <c r="I607" s="42">
        <v>0.69</v>
      </c>
    </row>
    <row r="608" spans="8:9">
      <c r="H608" s="52" t="s">
        <v>1015</v>
      </c>
      <c r="I608" s="42">
        <v>0.69</v>
      </c>
    </row>
    <row r="609" spans="8:9">
      <c r="H609" s="52" t="s">
        <v>1030</v>
      </c>
      <c r="I609" s="42">
        <v>0.69</v>
      </c>
    </row>
    <row r="610" spans="8:9">
      <c r="H610" s="52" t="s">
        <v>43</v>
      </c>
      <c r="I610" s="42">
        <v>0.69</v>
      </c>
    </row>
    <row r="611" spans="8:9">
      <c r="H611" s="52" t="s">
        <v>20</v>
      </c>
      <c r="I611" s="42">
        <v>0.69</v>
      </c>
    </row>
    <row r="612" spans="8:9">
      <c r="H612" s="52" t="s">
        <v>1061</v>
      </c>
      <c r="I612" s="42">
        <v>0.69</v>
      </c>
    </row>
    <row r="613" spans="8:9">
      <c r="H613" s="52" t="s">
        <v>41</v>
      </c>
      <c r="I613" s="42">
        <v>0.69</v>
      </c>
    </row>
    <row r="614" spans="8:9">
      <c r="H614" s="52" t="s">
        <v>1088</v>
      </c>
      <c r="I614" s="42">
        <v>0.69</v>
      </c>
    </row>
    <row r="615" spans="8:9">
      <c r="H615" s="52" t="s">
        <v>711</v>
      </c>
      <c r="I615" s="42">
        <v>0.69</v>
      </c>
    </row>
    <row r="616" spans="8:9">
      <c r="H616" s="52" t="s">
        <v>29</v>
      </c>
      <c r="I616" s="42">
        <v>0.69</v>
      </c>
    </row>
    <row r="617" spans="8:9">
      <c r="H617" s="52" t="s">
        <v>725</v>
      </c>
      <c r="I617" s="42">
        <v>0.69</v>
      </c>
    </row>
    <row r="618" spans="8:9">
      <c r="H618" s="52" t="s">
        <v>41</v>
      </c>
      <c r="I618" s="42">
        <v>0.4</v>
      </c>
    </row>
    <row r="619" spans="8:9">
      <c r="H619" s="52" t="s">
        <v>1030</v>
      </c>
      <c r="I619" s="42">
        <v>0.4</v>
      </c>
    </row>
    <row r="620" spans="8:9">
      <c r="H620" s="52" t="s">
        <v>20</v>
      </c>
      <c r="I620" s="42">
        <v>0.4</v>
      </c>
    </row>
    <row r="621" spans="8:9">
      <c r="H621" s="52" t="s">
        <v>43</v>
      </c>
      <c r="I621" s="42">
        <v>0.4</v>
      </c>
    </row>
    <row r="622" spans="8:9">
      <c r="H622" s="52" t="s">
        <v>16</v>
      </c>
      <c r="I622" s="42">
        <v>0.4</v>
      </c>
    </row>
    <row r="623" spans="8:9">
      <c r="H623" s="52" t="s">
        <v>1010</v>
      </c>
      <c r="I623" s="42">
        <v>0.4</v>
      </c>
    </row>
    <row r="624" spans="8:9">
      <c r="H624"/>
      <c r="I624"/>
    </row>
    <row r="625" spans="8:9">
      <c r="H625"/>
      <c r="I625"/>
    </row>
    <row r="626" spans="8:9">
      <c r="H626"/>
      <c r="I626"/>
    </row>
    <row r="627" spans="8:9">
      <c r="H627"/>
      <c r="I627"/>
    </row>
    <row r="628" spans="8:9">
      <c r="H628"/>
      <c r="I628"/>
    </row>
    <row r="629" spans="8:9">
      <c r="H629"/>
      <c r="I629"/>
    </row>
    <row r="630" spans="8:9">
      <c r="H630"/>
      <c r="I630"/>
    </row>
    <row r="631" spans="8:9">
      <c r="H631"/>
      <c r="I631"/>
    </row>
    <row r="632" spans="8:9">
      <c r="H632"/>
      <c r="I632"/>
    </row>
    <row r="633" spans="8:9">
      <c r="H633"/>
      <c r="I633"/>
    </row>
    <row r="634" spans="8:9">
      <c r="H634"/>
      <c r="I634"/>
    </row>
    <row r="635" spans="8:9">
      <c r="H635"/>
      <c r="I635"/>
    </row>
    <row r="636" spans="8:9">
      <c r="H636"/>
      <c r="I636"/>
    </row>
    <row r="637" spans="8:9">
      <c r="H637"/>
      <c r="I637"/>
    </row>
    <row r="638" spans="8:9">
      <c r="H638"/>
      <c r="I638"/>
    </row>
    <row r="639" spans="8:9">
      <c r="H639"/>
      <c r="I639"/>
    </row>
    <row r="640" spans="8:9">
      <c r="H640"/>
      <c r="I640"/>
    </row>
    <row r="641" spans="2:9">
      <c r="H641"/>
      <c r="I641"/>
    </row>
    <row r="642" spans="2:9">
      <c r="H642"/>
      <c r="I642"/>
    </row>
    <row r="643" spans="2:9">
      <c r="H643"/>
      <c r="I643"/>
    </row>
    <row r="644" spans="2:9">
      <c r="H644"/>
      <c r="I644"/>
    </row>
    <row r="645" spans="2:9">
      <c r="H645"/>
      <c r="I645"/>
    </row>
    <row r="646" spans="2:9">
      <c r="H646"/>
      <c r="I646"/>
    </row>
    <row r="647" spans="2:9">
      <c r="B647" s="91"/>
      <c r="H647"/>
      <c r="I647"/>
    </row>
    <row r="648" spans="2:9">
      <c r="B648" s="91"/>
      <c r="H648"/>
      <c r="I648"/>
    </row>
    <row r="649" spans="2:9">
      <c r="B649" s="91"/>
      <c r="H649"/>
      <c r="I649"/>
    </row>
    <row r="650" spans="2:9">
      <c r="B650" s="91"/>
      <c r="H650"/>
      <c r="I650"/>
    </row>
    <row r="651" spans="2:9">
      <c r="B651" s="91"/>
      <c r="H651"/>
      <c r="I651"/>
    </row>
    <row r="652" spans="2:9">
      <c r="B652" s="91"/>
      <c r="H652"/>
      <c r="I652"/>
    </row>
    <row r="653" spans="2:9">
      <c r="B653" s="91"/>
      <c r="H653"/>
      <c r="I653"/>
    </row>
    <row r="654" spans="2:9">
      <c r="B654" s="91"/>
      <c r="H654"/>
      <c r="I654"/>
    </row>
    <row r="655" spans="2:9">
      <c r="B655" s="91"/>
      <c r="H655"/>
      <c r="I655"/>
    </row>
    <row r="656" spans="2:9">
      <c r="B656" s="91"/>
      <c r="H656"/>
      <c r="I656"/>
    </row>
    <row r="657" spans="2:9">
      <c r="B657" s="91"/>
      <c r="H657"/>
      <c r="I657"/>
    </row>
    <row r="658" spans="2:9">
      <c r="B658" s="91"/>
      <c r="H658"/>
      <c r="I658"/>
    </row>
    <row r="659" spans="2:9">
      <c r="B659" s="91"/>
      <c r="H659"/>
      <c r="I659"/>
    </row>
    <row r="660" spans="2:9">
      <c r="B660" s="91"/>
      <c r="H660"/>
      <c r="I660"/>
    </row>
    <row r="661" spans="2:9">
      <c r="B661" s="91"/>
      <c r="H661"/>
      <c r="I661"/>
    </row>
    <row r="662" spans="2:9">
      <c r="B662" s="91"/>
      <c r="H662"/>
      <c r="I662"/>
    </row>
    <row r="663" spans="2:9">
      <c r="B663" s="91"/>
      <c r="H663"/>
      <c r="I663"/>
    </row>
    <row r="664" spans="2:9">
      <c r="B664" s="91"/>
      <c r="H664"/>
      <c r="I664"/>
    </row>
    <row r="665" spans="2:9">
      <c r="B665" s="91"/>
      <c r="H665"/>
      <c r="I665"/>
    </row>
    <row r="666" spans="2:9">
      <c r="B666" s="91"/>
      <c r="H666"/>
      <c r="I666"/>
    </row>
    <row r="667" spans="2:9">
      <c r="B667" s="91"/>
      <c r="H667"/>
      <c r="I667"/>
    </row>
    <row r="668" spans="2:9">
      <c r="B668" s="91"/>
      <c r="H668"/>
      <c r="I668"/>
    </row>
    <row r="669" spans="2:9">
      <c r="B669" s="91"/>
      <c r="H669"/>
      <c r="I669"/>
    </row>
    <row r="670" spans="2:9">
      <c r="B670" s="91"/>
      <c r="H670"/>
      <c r="I670"/>
    </row>
    <row r="671" spans="2:9">
      <c r="B671" s="91"/>
      <c r="H671"/>
      <c r="I671"/>
    </row>
    <row r="672" spans="2:9">
      <c r="B672" s="91"/>
      <c r="H672"/>
      <c r="I672"/>
    </row>
    <row r="673" spans="2:9">
      <c r="B673" s="91"/>
      <c r="H673"/>
      <c r="I673"/>
    </row>
    <row r="674" spans="2:9">
      <c r="B674" s="91"/>
      <c r="H674"/>
      <c r="I674"/>
    </row>
    <row r="675" spans="2:9">
      <c r="B675" s="91"/>
      <c r="H675"/>
      <c r="I675"/>
    </row>
    <row r="676" spans="2:9">
      <c r="B676" s="91"/>
      <c r="H676"/>
      <c r="I676"/>
    </row>
    <row r="677" spans="2:9">
      <c r="B677" s="91"/>
      <c r="H677"/>
      <c r="I677"/>
    </row>
    <row r="678" spans="2:9">
      <c r="B678" s="91"/>
      <c r="H678"/>
      <c r="I678"/>
    </row>
    <row r="679" spans="2:9">
      <c r="B679" s="91"/>
      <c r="H679"/>
      <c r="I679"/>
    </row>
    <row r="680" spans="2:9">
      <c r="B680" s="91"/>
      <c r="H680"/>
      <c r="I680"/>
    </row>
    <row r="681" spans="2:9">
      <c r="B681" s="91"/>
      <c r="H681"/>
      <c r="I681"/>
    </row>
    <row r="682" spans="2:9">
      <c r="B682" s="91"/>
      <c r="H682"/>
      <c r="I682"/>
    </row>
    <row r="683" spans="2:9">
      <c r="B683" s="91"/>
      <c r="H683"/>
      <c r="I683"/>
    </row>
    <row r="684" spans="2:9">
      <c r="B684" s="91"/>
      <c r="H684"/>
      <c r="I684"/>
    </row>
    <row r="685" spans="2:9">
      <c r="B685" s="91"/>
      <c r="H685"/>
      <c r="I685"/>
    </row>
    <row r="686" spans="2:9">
      <c r="B686" s="91"/>
      <c r="H686"/>
      <c r="I686"/>
    </row>
    <row r="687" spans="2:9">
      <c r="B687" s="91"/>
      <c r="H687"/>
      <c r="I687"/>
    </row>
    <row r="688" spans="2:9">
      <c r="B688" s="91"/>
      <c r="H688"/>
      <c r="I688"/>
    </row>
    <row r="689" spans="1:33">
      <c r="B689" s="91"/>
      <c r="H689"/>
      <c r="I689"/>
    </row>
    <row r="690" spans="1:33">
      <c r="A690" s="29" t="s">
        <v>1545</v>
      </c>
      <c r="B690" s="29" t="s">
        <v>1546</v>
      </c>
      <c r="C690" s="29" t="s">
        <v>1547</v>
      </c>
      <c r="D690" s="29" t="s">
        <v>985</v>
      </c>
      <c r="E690" s="29" t="s">
        <v>986</v>
      </c>
      <c r="F690" s="29" t="s">
        <v>987</v>
      </c>
      <c r="G690" s="29" t="s">
        <v>988</v>
      </c>
      <c r="H690" s="29" t="s">
        <v>989</v>
      </c>
      <c r="I690" s="29" t="s">
        <v>990</v>
      </c>
      <c r="J690" s="29" t="s">
        <v>991</v>
      </c>
      <c r="K690" s="29" t="s">
        <v>992</v>
      </c>
      <c r="L690" s="115" t="s">
        <v>8</v>
      </c>
      <c r="M690" s="29" t="s">
        <v>1548</v>
      </c>
      <c r="N690" s="29" t="s">
        <v>1549</v>
      </c>
      <c r="O690" s="29" t="s">
        <v>1550</v>
      </c>
      <c r="P690" s="29" t="s">
        <v>1551</v>
      </c>
      <c r="Q690" s="29" t="s">
        <v>1552</v>
      </c>
      <c r="R690" s="29" t="s">
        <v>1553</v>
      </c>
      <c r="S690" s="29" t="s">
        <v>1554</v>
      </c>
      <c r="T690" s="29" t="s">
        <v>1555</v>
      </c>
      <c r="U690" s="29" t="s">
        <v>1556</v>
      </c>
      <c r="V690" s="29" t="s">
        <v>1557</v>
      </c>
      <c r="W690" s="29" t="s">
        <v>1558</v>
      </c>
      <c r="X690" s="29" t="s">
        <v>1559</v>
      </c>
      <c r="Y690" s="29" t="s">
        <v>1560</v>
      </c>
      <c r="Z690" s="29" t="s">
        <v>1561</v>
      </c>
      <c r="AA690" s="29" t="s">
        <v>1562</v>
      </c>
      <c r="AB690" s="29" t="s">
        <v>1563</v>
      </c>
      <c r="AC690" s="29" t="s">
        <v>1564</v>
      </c>
      <c r="AD690" s="29" t="s">
        <v>1565</v>
      </c>
      <c r="AE690" s="29" t="s">
        <v>1566</v>
      </c>
      <c r="AF690" s="29" t="s">
        <v>1567</v>
      </c>
      <c r="AG690" s="29"/>
    </row>
    <row r="691" spans="1:33">
      <c r="A691" s="29"/>
      <c r="B691" s="29"/>
      <c r="C691" s="29"/>
      <c r="D691" s="29"/>
      <c r="E691" s="29"/>
      <c r="F691" s="29"/>
      <c r="G691" s="29"/>
      <c r="H691" s="29"/>
      <c r="I691" s="116"/>
      <c r="J691" s="117"/>
      <c r="K691" s="117"/>
      <c r="L691" s="115"/>
      <c r="M691" s="29"/>
      <c r="N691" s="29"/>
      <c r="O691" s="115"/>
      <c r="P691" s="29"/>
      <c r="Q691" s="29"/>
      <c r="R691" s="29"/>
      <c r="S691" s="29"/>
      <c r="T691" s="29"/>
      <c r="U691" s="29" t="s">
        <v>1568</v>
      </c>
      <c r="V691" s="29"/>
      <c r="W691" s="29"/>
      <c r="X691" s="29"/>
      <c r="Y691" s="29"/>
      <c r="Z691" s="29"/>
      <c r="AA691" s="29"/>
      <c r="AB691" s="29"/>
      <c r="AC691" s="29"/>
      <c r="AD691" s="29"/>
      <c r="AE691" s="29"/>
      <c r="AF691" s="29"/>
      <c r="AG691" s="29"/>
    </row>
    <row r="692" spans="1:33">
      <c r="A692" s="29"/>
      <c r="B692" s="29"/>
      <c r="C692" s="29"/>
      <c r="D692" s="29"/>
      <c r="E692" s="29"/>
      <c r="F692" s="29"/>
      <c r="G692" s="29"/>
      <c r="H692" s="29"/>
      <c r="I692" s="116"/>
      <c r="J692" s="117"/>
      <c r="K692" s="117"/>
      <c r="L692" s="115"/>
      <c r="M692" s="29"/>
      <c r="N692" s="29"/>
      <c r="O692" s="115"/>
      <c r="P692" s="29"/>
      <c r="Q692" s="29"/>
      <c r="R692" s="29"/>
      <c r="S692" s="29"/>
      <c r="T692" s="29"/>
      <c r="U692" s="29" t="s">
        <v>1569</v>
      </c>
      <c r="V692" s="29"/>
      <c r="W692" s="29" t="s">
        <v>1570</v>
      </c>
      <c r="X692" s="29"/>
      <c r="Y692" s="29" t="s">
        <v>1571</v>
      </c>
      <c r="Z692" s="29"/>
      <c r="AA692" s="29"/>
      <c r="AB692" s="29"/>
      <c r="AC692" s="29"/>
      <c r="AD692" s="29"/>
      <c r="AE692" s="29"/>
      <c r="AF692" s="29"/>
      <c r="AG692" s="29"/>
    </row>
    <row r="693" spans="1:33">
      <c r="A693" s="29"/>
      <c r="B693" s="29"/>
      <c r="C693" s="29"/>
      <c r="D693" s="29"/>
      <c r="E693" s="29"/>
      <c r="F693" s="29"/>
      <c r="G693" s="29"/>
      <c r="H693" s="115"/>
      <c r="I693" s="116"/>
      <c r="J693" s="29"/>
      <c r="K693" s="29"/>
      <c r="L693" s="115"/>
      <c r="M693" s="29"/>
      <c r="N693" s="29"/>
      <c r="O693" s="29"/>
      <c r="P693" s="115"/>
      <c r="Q693" s="29"/>
      <c r="R693" s="29"/>
      <c r="S693" s="29"/>
      <c r="T693" s="29"/>
      <c r="U693" s="29"/>
      <c r="V693" s="29"/>
      <c r="W693" s="29"/>
      <c r="X693" s="29"/>
      <c r="Y693" s="29"/>
      <c r="Z693" s="29"/>
      <c r="AA693" s="29"/>
      <c r="AB693" s="29"/>
      <c r="AC693" s="29"/>
      <c r="AD693" s="29"/>
      <c r="AE693" s="29"/>
      <c r="AF693" s="29"/>
      <c r="AG693" s="29"/>
    </row>
    <row r="694" spans="1:33">
      <c r="A694" s="29"/>
      <c r="B694" s="29"/>
      <c r="C694" s="29"/>
      <c r="D694" s="29"/>
      <c r="E694" s="29"/>
      <c r="F694" s="29"/>
      <c r="G694" s="29"/>
      <c r="H694" s="115"/>
      <c r="I694" s="116"/>
      <c r="J694" s="29"/>
      <c r="K694" s="29"/>
      <c r="L694" s="115"/>
      <c r="M694" s="29"/>
      <c r="N694" s="29"/>
      <c r="O694" s="29"/>
      <c r="P694" s="29"/>
      <c r="Q694" s="115"/>
      <c r="R694" s="29"/>
      <c r="S694" s="29"/>
      <c r="T694" s="29"/>
      <c r="U694" s="29" t="s">
        <v>1572</v>
      </c>
      <c r="V694" s="29" t="s">
        <v>1573</v>
      </c>
      <c r="W694" s="29" t="s">
        <v>1572</v>
      </c>
      <c r="X694" s="29" t="s">
        <v>1573</v>
      </c>
      <c r="Y694" s="29" t="s">
        <v>1572</v>
      </c>
      <c r="Z694" s="29" t="s">
        <v>1573</v>
      </c>
      <c r="AA694" s="29"/>
      <c r="AB694" s="29"/>
      <c r="AC694" s="29"/>
      <c r="AD694" s="29"/>
      <c r="AE694" s="29"/>
      <c r="AF694" s="29"/>
      <c r="AG694" s="29"/>
    </row>
    <row r="695" spans="1:33">
      <c r="A695" s="29"/>
      <c r="B695" s="29"/>
      <c r="C695" s="29"/>
      <c r="D695" s="29"/>
      <c r="E695" s="29"/>
      <c r="F695" s="29"/>
      <c r="G695" s="29"/>
      <c r="H695" s="29"/>
      <c r="I695" s="116"/>
      <c r="J695" s="117"/>
      <c r="K695" s="117"/>
      <c r="L695" s="115"/>
      <c r="M695" s="29"/>
      <c r="N695" s="29"/>
      <c r="O695" s="115"/>
      <c r="P695" s="29"/>
      <c r="Q695" s="29"/>
      <c r="R695" s="29"/>
      <c r="S695" s="29"/>
      <c r="T695" s="29"/>
      <c r="U695" s="29"/>
      <c r="V695" s="29"/>
      <c r="W695" s="29"/>
      <c r="X695" s="29"/>
      <c r="Y695" s="29"/>
      <c r="Z695" s="29"/>
      <c r="AA695" s="29"/>
      <c r="AB695" s="29"/>
      <c r="AC695" s="29"/>
      <c r="AD695" s="29"/>
      <c r="AE695" s="29"/>
      <c r="AF695" s="29"/>
      <c r="AG695" s="29"/>
    </row>
    <row r="696" spans="1:33">
      <c r="A696" s="29" t="s">
        <v>1574</v>
      </c>
      <c r="B696" s="29" t="s">
        <v>1575</v>
      </c>
      <c r="C696" s="29" t="s">
        <v>317</v>
      </c>
      <c r="D696" s="29" t="s">
        <v>306</v>
      </c>
      <c r="E696" s="29" t="s">
        <v>15</v>
      </c>
      <c r="F696" s="29" t="s">
        <v>993</v>
      </c>
      <c r="G696" s="29" t="s">
        <v>994</v>
      </c>
      <c r="H696" s="115" t="s">
        <v>995</v>
      </c>
      <c r="I696" s="116" t="s">
        <v>310</v>
      </c>
      <c r="J696" s="29" t="s">
        <v>309</v>
      </c>
      <c r="K696" s="29">
        <v>11</v>
      </c>
      <c r="L696" s="115" t="s">
        <v>1576</v>
      </c>
      <c r="M696" s="29" t="s">
        <v>311</v>
      </c>
      <c r="N696" s="29">
        <v>10237</v>
      </c>
      <c r="O696" s="29">
        <v>11000</v>
      </c>
      <c r="P696" s="115">
        <v>613.61491039390569</v>
      </c>
      <c r="Q696" s="29">
        <v>0.93063636363636359</v>
      </c>
      <c r="R696" s="29">
        <v>97</v>
      </c>
      <c r="S696" s="29">
        <v>0.97</v>
      </c>
      <c r="T696" s="29">
        <v>100</v>
      </c>
      <c r="U696" s="29">
        <v>10553.608247422681</v>
      </c>
      <c r="V696" s="29">
        <v>2644.9835489757279</v>
      </c>
      <c r="W696" s="29">
        <v>0</v>
      </c>
      <c r="X696" s="29">
        <v>0</v>
      </c>
      <c r="Y696" s="29">
        <v>0</v>
      </c>
      <c r="Z696" s="29">
        <v>0</v>
      </c>
      <c r="AA696" s="29" t="s">
        <v>1577</v>
      </c>
      <c r="AB696" s="29" t="s">
        <v>1578</v>
      </c>
      <c r="AC696" s="29"/>
      <c r="AD696" s="29"/>
      <c r="AE696" s="29" t="s">
        <v>1579</v>
      </c>
      <c r="AF696" s="29"/>
      <c r="AG696" s="29"/>
    </row>
    <row r="697" spans="1:33">
      <c r="A697" s="29" t="s">
        <v>1574</v>
      </c>
      <c r="B697" s="29" t="s">
        <v>1575</v>
      </c>
      <c r="C697" s="29" t="s">
        <v>317</v>
      </c>
      <c r="D697" s="29" t="s">
        <v>306</v>
      </c>
      <c r="E697" s="29" t="s">
        <v>321</v>
      </c>
      <c r="F697" s="29" t="s">
        <v>996</v>
      </c>
      <c r="G697" s="29" t="s">
        <v>997</v>
      </c>
      <c r="H697" s="29" t="s">
        <v>995</v>
      </c>
      <c r="I697" s="116" t="s">
        <v>310</v>
      </c>
      <c r="J697" s="117" t="s">
        <v>309</v>
      </c>
      <c r="K697" s="117">
        <v>11</v>
      </c>
      <c r="L697" s="115" t="s">
        <v>1576</v>
      </c>
      <c r="M697" s="115" t="s">
        <v>311</v>
      </c>
      <c r="N697" s="29">
        <v>10237</v>
      </c>
      <c r="O697" s="115">
        <v>11000</v>
      </c>
      <c r="P697" s="29">
        <v>613.61491039390569</v>
      </c>
      <c r="Q697" s="29">
        <v>0.93063636363636359</v>
      </c>
      <c r="R697" s="29">
        <v>97</v>
      </c>
      <c r="S697" s="29">
        <v>0.97</v>
      </c>
      <c r="T697" s="29">
        <v>100</v>
      </c>
      <c r="U697" s="29">
        <v>10553.608247422681</v>
      </c>
      <c r="V697" s="29">
        <v>2644.9835489757279</v>
      </c>
      <c r="W697" s="29">
        <v>0</v>
      </c>
      <c r="X697" s="29">
        <v>0</v>
      </c>
      <c r="Y697" s="29">
        <v>0</v>
      </c>
      <c r="Z697" s="29">
        <v>0</v>
      </c>
      <c r="AA697" s="29" t="s">
        <v>1577</v>
      </c>
      <c r="AB697" s="29" t="s">
        <v>1578</v>
      </c>
      <c r="AC697" s="29"/>
      <c r="AD697" s="29"/>
      <c r="AE697" s="29" t="s">
        <v>1579</v>
      </c>
      <c r="AF697" s="29"/>
      <c r="AG697" s="29"/>
    </row>
    <row r="698" spans="1:33">
      <c r="A698" s="29"/>
      <c r="B698" s="29" t="s">
        <v>1580</v>
      </c>
      <c r="C698" s="29" t="s">
        <v>1581</v>
      </c>
      <c r="D698" s="29" t="s">
        <v>306</v>
      </c>
      <c r="E698" s="29" t="s">
        <v>15</v>
      </c>
      <c r="F698" s="29" t="s">
        <v>993</v>
      </c>
      <c r="G698" s="29" t="s">
        <v>323</v>
      </c>
      <c r="H698" s="115" t="s">
        <v>324</v>
      </c>
      <c r="I698" s="116" t="s">
        <v>310</v>
      </c>
      <c r="J698" s="117" t="s">
        <v>20</v>
      </c>
      <c r="K698" s="117">
        <v>11</v>
      </c>
      <c r="L698" s="115"/>
      <c r="M698" s="115" t="s">
        <v>311</v>
      </c>
      <c r="N698" s="29"/>
      <c r="O698" s="29"/>
      <c r="P698" s="29"/>
      <c r="Q698" s="115"/>
      <c r="R698" s="29"/>
      <c r="S698" s="29"/>
      <c r="T698" s="29">
        <v>100</v>
      </c>
      <c r="U698" s="29">
        <v>352.31500000000005</v>
      </c>
      <c r="V698" s="29">
        <v>115.8003405160912</v>
      </c>
      <c r="W698" s="29">
        <v>198.13877368421052</v>
      </c>
      <c r="X698" s="29">
        <v>8.6605960925894223</v>
      </c>
      <c r="Y698" s="29">
        <v>101.12439999999999</v>
      </c>
      <c r="Z698" s="29">
        <v>43.830829053712399</v>
      </c>
      <c r="AA698" s="29"/>
      <c r="AB698" s="29"/>
      <c r="AC698" s="29"/>
      <c r="AD698" s="29" t="s">
        <v>1582</v>
      </c>
      <c r="AE698" s="29" t="s">
        <v>1583</v>
      </c>
      <c r="AF698" s="29"/>
      <c r="AG698" s="29"/>
    </row>
    <row r="699" spans="1:33">
      <c r="A699" s="29" t="s">
        <v>1584</v>
      </c>
      <c r="B699" s="29" t="s">
        <v>1580</v>
      </c>
      <c r="C699" s="29" t="s">
        <v>1581</v>
      </c>
      <c r="D699" s="29" t="s">
        <v>306</v>
      </c>
      <c r="E699" s="29" t="s">
        <v>321</v>
      </c>
      <c r="F699" s="29" t="s">
        <v>996</v>
      </c>
      <c r="G699" s="29" t="s">
        <v>328</v>
      </c>
      <c r="H699" s="115" t="s">
        <v>329</v>
      </c>
      <c r="I699" s="116" t="s">
        <v>310</v>
      </c>
      <c r="J699" s="29" t="s">
        <v>20</v>
      </c>
      <c r="K699" s="29">
        <v>11</v>
      </c>
      <c r="L699" s="115"/>
      <c r="M699" s="115" t="s">
        <v>311</v>
      </c>
      <c r="N699" s="29"/>
      <c r="O699" s="29"/>
      <c r="P699" s="115"/>
      <c r="Q699" s="29"/>
      <c r="R699" s="29"/>
      <c r="S699" s="29"/>
      <c r="T699" s="29">
        <v>100</v>
      </c>
      <c r="U699" s="29">
        <v>1718.9094966592427</v>
      </c>
      <c r="V699" s="29">
        <v>798.07925633557068</v>
      </c>
      <c r="W699" s="29">
        <v>322.13817093179489</v>
      </c>
      <c r="X699" s="29">
        <v>44.460769000427675</v>
      </c>
      <c r="Y699" s="29">
        <v>49.426913930338074</v>
      </c>
      <c r="Z699" s="29">
        <v>31.074166458857704</v>
      </c>
      <c r="AA699" s="29"/>
      <c r="AB699" s="29"/>
      <c r="AC699" s="29"/>
      <c r="AD699" s="29" t="s">
        <v>1582</v>
      </c>
      <c r="AE699" s="29" t="s">
        <v>1583</v>
      </c>
      <c r="AF699" s="29"/>
      <c r="AG699" s="29"/>
    </row>
    <row r="700" spans="1:33">
      <c r="A700" s="29"/>
      <c r="B700" s="29" t="s">
        <v>1580</v>
      </c>
      <c r="C700" s="29" t="s">
        <v>1581</v>
      </c>
      <c r="D700" s="29" t="s">
        <v>306</v>
      </c>
      <c r="E700" s="29" t="s">
        <v>15</v>
      </c>
      <c r="F700" s="29" t="s">
        <v>993</v>
      </c>
      <c r="G700" s="29" t="s">
        <v>335</v>
      </c>
      <c r="H700" s="29" t="s">
        <v>324</v>
      </c>
      <c r="I700" s="116" t="s">
        <v>310</v>
      </c>
      <c r="J700" s="29" t="s">
        <v>20</v>
      </c>
      <c r="K700" s="29">
        <v>11</v>
      </c>
      <c r="L700" s="116"/>
      <c r="M700" s="29" t="s">
        <v>311</v>
      </c>
      <c r="N700" s="29"/>
      <c r="O700" s="115"/>
      <c r="P700" s="29"/>
      <c r="Q700" s="29"/>
      <c r="R700" s="29"/>
      <c r="S700" s="29"/>
      <c r="T700" s="29">
        <v>100</v>
      </c>
      <c r="U700" s="29">
        <v>2073.7363482128321</v>
      </c>
      <c r="V700" s="29">
        <v>1061.3928809459021</v>
      </c>
      <c r="W700" s="29">
        <v>79.25719534206695</v>
      </c>
      <c r="X700" s="29">
        <v>28.358446619594488</v>
      </c>
      <c r="Y700" s="29">
        <v>9.3859707773742489</v>
      </c>
      <c r="Z700" s="29">
        <v>5.8009608435968074</v>
      </c>
      <c r="AA700" s="29"/>
      <c r="AB700" s="29"/>
      <c r="AC700" s="29"/>
      <c r="AD700" s="29" t="s">
        <v>1582</v>
      </c>
      <c r="AE700" s="29" t="s">
        <v>1583</v>
      </c>
      <c r="AF700" s="29"/>
      <c r="AG700" s="29"/>
    </row>
    <row r="701" spans="1:33">
      <c r="A701" s="29"/>
      <c r="B701" s="29" t="s">
        <v>1580</v>
      </c>
      <c r="C701" s="29" t="s">
        <v>1581</v>
      </c>
      <c r="D701" s="29" t="s">
        <v>306</v>
      </c>
      <c r="E701" s="29" t="s">
        <v>321</v>
      </c>
      <c r="F701" s="29" t="s">
        <v>996</v>
      </c>
      <c r="G701" s="29" t="s">
        <v>337</v>
      </c>
      <c r="H701" s="29" t="s">
        <v>338</v>
      </c>
      <c r="I701" s="116" t="s">
        <v>310</v>
      </c>
      <c r="J701" s="29" t="s">
        <v>20</v>
      </c>
      <c r="K701" s="29">
        <v>11</v>
      </c>
      <c r="L701" s="116"/>
      <c r="M701" s="29" t="s">
        <v>311</v>
      </c>
      <c r="N701" s="29"/>
      <c r="O701" s="115"/>
      <c r="P701" s="29"/>
      <c r="Q701" s="29"/>
      <c r="R701" s="29"/>
      <c r="S701" s="29"/>
      <c r="T701" s="29">
        <v>100</v>
      </c>
      <c r="U701" s="29">
        <v>463.49219584426027</v>
      </c>
      <c r="V701" s="29">
        <v>184.40359964254986</v>
      </c>
      <c r="W701" s="29">
        <v>70.983665517505557</v>
      </c>
      <c r="X701" s="29">
        <v>30.081990265849459</v>
      </c>
      <c r="Y701" s="29">
        <v>221.20063237185531</v>
      </c>
      <c r="Z701" s="29">
        <v>90.31083227637302</v>
      </c>
      <c r="AA701" s="29"/>
      <c r="AB701" s="29"/>
      <c r="AC701" s="29"/>
      <c r="AD701" s="29" t="s">
        <v>1582</v>
      </c>
      <c r="AE701" s="29" t="s">
        <v>1583</v>
      </c>
      <c r="AF701" s="29"/>
      <c r="AG701" s="29"/>
    </row>
    <row r="702" spans="1:33">
      <c r="A702" s="29"/>
      <c r="B702" s="29" t="s">
        <v>1580</v>
      </c>
      <c r="C702" s="29" t="s">
        <v>1581</v>
      </c>
      <c r="D702" s="29" t="s">
        <v>306</v>
      </c>
      <c r="E702" s="29" t="s">
        <v>15</v>
      </c>
      <c r="F702" s="29" t="s">
        <v>993</v>
      </c>
      <c r="G702" s="29" t="s">
        <v>340</v>
      </c>
      <c r="H702" s="29" t="s">
        <v>341</v>
      </c>
      <c r="I702" s="116" t="s">
        <v>310</v>
      </c>
      <c r="J702" s="29" t="s">
        <v>20</v>
      </c>
      <c r="K702" s="29">
        <v>11</v>
      </c>
      <c r="L702" s="116"/>
      <c r="M702" s="29" t="s">
        <v>311</v>
      </c>
      <c r="N702" s="29"/>
      <c r="O702" s="115"/>
      <c r="P702" s="29"/>
      <c r="Q702" s="29"/>
      <c r="R702" s="29"/>
      <c r="S702" s="29"/>
      <c r="T702" s="29">
        <v>100</v>
      </c>
      <c r="U702" s="29">
        <v>938.54940591722436</v>
      </c>
      <c r="V702" s="29">
        <v>586.87001353245682</v>
      </c>
      <c r="W702" s="29">
        <v>49.508957323594245</v>
      </c>
      <c r="X702" s="29">
        <v>32.780072843128394</v>
      </c>
      <c r="Y702" s="29">
        <v>72.130343875278413</v>
      </c>
      <c r="Z702" s="29">
        <v>8.1280922274827212</v>
      </c>
      <c r="AA702" s="29"/>
      <c r="AB702" s="29"/>
      <c r="AC702" s="29"/>
      <c r="AD702" s="29" t="s">
        <v>1582</v>
      </c>
      <c r="AE702" s="29" t="s">
        <v>1583</v>
      </c>
      <c r="AF702" s="29"/>
      <c r="AG702" s="29"/>
    </row>
    <row r="703" spans="1:33">
      <c r="A703" s="29"/>
      <c r="B703" s="29" t="s">
        <v>1580</v>
      </c>
      <c r="C703" s="29" t="s">
        <v>1581</v>
      </c>
      <c r="D703" s="29" t="s">
        <v>306</v>
      </c>
      <c r="E703" s="29" t="s">
        <v>321</v>
      </c>
      <c r="F703" s="29" t="s">
        <v>996</v>
      </c>
      <c r="G703" s="29" t="s">
        <v>343</v>
      </c>
      <c r="H703" s="29" t="s">
        <v>344</v>
      </c>
      <c r="I703" s="116" t="s">
        <v>310</v>
      </c>
      <c r="J703" s="29" t="s">
        <v>20</v>
      </c>
      <c r="K703" s="29">
        <v>11</v>
      </c>
      <c r="L703" s="116"/>
      <c r="M703" s="29" t="s">
        <v>311</v>
      </c>
      <c r="N703" s="29"/>
      <c r="O703" s="115"/>
      <c r="P703" s="29"/>
      <c r="Q703" s="29"/>
      <c r="R703" s="29"/>
      <c r="S703" s="29"/>
      <c r="T703" s="29">
        <v>100</v>
      </c>
      <c r="U703" s="29">
        <v>320.57475090845145</v>
      </c>
      <c r="V703" s="29">
        <v>200.29689107215194</v>
      </c>
      <c r="W703" s="29">
        <v>37.545058023678351</v>
      </c>
      <c r="X703" s="29">
        <v>24.147832895040661</v>
      </c>
      <c r="Y703" s="29">
        <v>43.200495377225209</v>
      </c>
      <c r="Z703" s="29">
        <v>28.333321429749496</v>
      </c>
      <c r="AA703" s="29"/>
      <c r="AB703" s="29"/>
      <c r="AC703" s="29"/>
      <c r="AD703" s="29" t="s">
        <v>1582</v>
      </c>
      <c r="AE703" s="29" t="s">
        <v>1583</v>
      </c>
      <c r="AF703" s="29"/>
      <c r="AG703" s="29"/>
    </row>
    <row r="704" spans="1:33">
      <c r="A704" s="29" t="s">
        <v>1585</v>
      </c>
      <c r="B704" s="29" t="s">
        <v>1575</v>
      </c>
      <c r="C704" s="29" t="s">
        <v>386</v>
      </c>
      <c r="D704" s="29" t="s">
        <v>306</v>
      </c>
      <c r="E704" s="29" t="s">
        <v>15</v>
      </c>
      <c r="F704" s="29" t="s">
        <v>993</v>
      </c>
      <c r="G704" s="29" t="s">
        <v>1000</v>
      </c>
      <c r="H704" s="29" t="s">
        <v>351</v>
      </c>
      <c r="I704" s="116" t="s">
        <v>310</v>
      </c>
      <c r="J704" s="29" t="s">
        <v>352</v>
      </c>
      <c r="K704" s="29">
        <v>11</v>
      </c>
      <c r="L704" s="116"/>
      <c r="M704" s="29" t="s">
        <v>353</v>
      </c>
      <c r="N704" s="29">
        <v>539</v>
      </c>
      <c r="O704" s="115">
        <v>720</v>
      </c>
      <c r="P704" s="29">
        <v>46.799008591785025</v>
      </c>
      <c r="Q704" s="29">
        <v>0.74861111111111112</v>
      </c>
      <c r="R704" s="29">
        <v>95</v>
      </c>
      <c r="S704" s="29">
        <v>0.85</v>
      </c>
      <c r="T704" s="29">
        <v>30</v>
      </c>
      <c r="U704" s="29">
        <v>0</v>
      </c>
      <c r="V704" s="29">
        <v>0</v>
      </c>
      <c r="W704" s="29">
        <v>170.21052631578948</v>
      </c>
      <c r="X704" s="29">
        <v>105.48701002082278</v>
      </c>
      <c r="Y704" s="29">
        <v>0</v>
      </c>
      <c r="Z704" s="29">
        <v>0</v>
      </c>
      <c r="AA704" s="29" t="s">
        <v>1586</v>
      </c>
      <c r="AB704" s="29" t="s">
        <v>1587</v>
      </c>
      <c r="AC704" s="29"/>
      <c r="AD704" s="29"/>
      <c r="AE704" s="29" t="s">
        <v>1588</v>
      </c>
      <c r="AF704" s="29"/>
      <c r="AG704" s="29"/>
    </row>
    <row r="705" spans="1:33">
      <c r="A705" s="29" t="s">
        <v>1585</v>
      </c>
      <c r="B705" s="29" t="s">
        <v>1575</v>
      </c>
      <c r="C705" s="29" t="s">
        <v>386</v>
      </c>
      <c r="D705" s="29" t="s">
        <v>306</v>
      </c>
      <c r="E705" s="29" t="s">
        <v>321</v>
      </c>
      <c r="F705" s="29" t="s">
        <v>996</v>
      </c>
      <c r="G705" s="29" t="s">
        <v>1001</v>
      </c>
      <c r="H705" s="29" t="s">
        <v>362</v>
      </c>
      <c r="I705" s="116" t="s">
        <v>310</v>
      </c>
      <c r="J705" s="29" t="s">
        <v>352</v>
      </c>
      <c r="K705" s="29">
        <v>11</v>
      </c>
      <c r="L705" s="116"/>
      <c r="M705" s="29" t="s">
        <v>363</v>
      </c>
      <c r="N705" s="29">
        <v>539</v>
      </c>
      <c r="O705" s="115">
        <v>720</v>
      </c>
      <c r="P705" s="29">
        <v>46.799008591785025</v>
      </c>
      <c r="Q705" s="29">
        <v>0.74861111111111112</v>
      </c>
      <c r="R705" s="29">
        <v>95</v>
      </c>
      <c r="S705" s="29">
        <v>0.85</v>
      </c>
      <c r="T705" s="29">
        <v>10</v>
      </c>
      <c r="U705" s="29">
        <v>0</v>
      </c>
      <c r="V705" s="29">
        <v>0</v>
      </c>
      <c r="W705" s="29">
        <v>0</v>
      </c>
      <c r="X705" s="29">
        <v>0</v>
      </c>
      <c r="Y705" s="29">
        <v>56.736842105263165</v>
      </c>
      <c r="Z705" s="29">
        <v>35.162336673607591</v>
      </c>
      <c r="AA705" s="29" t="s">
        <v>1586</v>
      </c>
      <c r="AB705" s="29" t="s">
        <v>1587</v>
      </c>
      <c r="AC705" s="29"/>
      <c r="AD705" s="29"/>
      <c r="AE705" s="29" t="s">
        <v>1588</v>
      </c>
      <c r="AF705" s="29"/>
      <c r="AG705" s="29"/>
    </row>
    <row r="706" spans="1:33">
      <c r="A706" s="29"/>
      <c r="B706" s="29" t="s">
        <v>1575</v>
      </c>
      <c r="C706" s="29" t="s">
        <v>317</v>
      </c>
      <c r="D706" s="29" t="s">
        <v>306</v>
      </c>
      <c r="E706" s="29" t="s">
        <v>15</v>
      </c>
      <c r="F706" s="29" t="s">
        <v>993</v>
      </c>
      <c r="G706" s="29" t="s">
        <v>1002</v>
      </c>
      <c r="H706" s="29" t="s">
        <v>1003</v>
      </c>
      <c r="I706" s="116" t="s">
        <v>310</v>
      </c>
      <c r="J706" s="29" t="s">
        <v>352</v>
      </c>
      <c r="K706" s="29">
        <v>11</v>
      </c>
      <c r="L706" s="116"/>
      <c r="M706" s="29" t="s">
        <v>311</v>
      </c>
      <c r="N706" s="29">
        <v>1044</v>
      </c>
      <c r="O706" s="115">
        <v>1500</v>
      </c>
      <c r="P706" s="29">
        <v>97.497934566218802</v>
      </c>
      <c r="Q706" s="29">
        <v>0.69599999999999995</v>
      </c>
      <c r="R706" s="29">
        <v>95</v>
      </c>
      <c r="S706" s="29">
        <v>0.85</v>
      </c>
      <c r="T706" s="29">
        <v>100</v>
      </c>
      <c r="U706" s="29">
        <v>1098.9473684210527</v>
      </c>
      <c r="V706" s="29">
        <v>681.06640978193559</v>
      </c>
      <c r="W706" s="29">
        <v>0</v>
      </c>
      <c r="X706" s="29">
        <v>0</v>
      </c>
      <c r="Y706" s="29">
        <v>0</v>
      </c>
      <c r="Z706" s="29">
        <v>0</v>
      </c>
      <c r="AA706" s="29" t="s">
        <v>1589</v>
      </c>
      <c r="AB706" s="29"/>
      <c r="AC706" s="29"/>
      <c r="AD706" s="29"/>
      <c r="AE706" s="29" t="s">
        <v>1590</v>
      </c>
      <c r="AF706" s="29"/>
      <c r="AG706" s="29"/>
    </row>
    <row r="707" spans="1:33">
      <c r="A707" s="29" t="s">
        <v>1584</v>
      </c>
      <c r="B707" s="29" t="s">
        <v>1575</v>
      </c>
      <c r="C707" s="29" t="s">
        <v>1581</v>
      </c>
      <c r="D707" s="29" t="s">
        <v>306</v>
      </c>
      <c r="E707" s="29" t="s">
        <v>321</v>
      </c>
      <c r="F707" s="29" t="s">
        <v>996</v>
      </c>
      <c r="G707" s="29" t="s">
        <v>1004</v>
      </c>
      <c r="H707" s="29" t="s">
        <v>1591</v>
      </c>
      <c r="I707" s="116" t="s">
        <v>310</v>
      </c>
      <c r="J707" s="29" t="s">
        <v>352</v>
      </c>
      <c r="K707" s="29">
        <v>11</v>
      </c>
      <c r="L707" s="116"/>
      <c r="M707" s="29" t="s">
        <v>353</v>
      </c>
      <c r="N707" s="29">
        <v>311</v>
      </c>
      <c r="O707" s="115">
        <v>400</v>
      </c>
      <c r="P707" s="29">
        <v>25.999449217658348</v>
      </c>
      <c r="Q707" s="29">
        <v>0.77749999999999997</v>
      </c>
      <c r="R707" s="29">
        <v>95</v>
      </c>
      <c r="S707" s="29">
        <v>0.85</v>
      </c>
      <c r="T707" s="29">
        <v>30</v>
      </c>
      <c r="U707" s="29">
        <v>0</v>
      </c>
      <c r="V707" s="29">
        <v>0</v>
      </c>
      <c r="W707" s="29">
        <v>98.21052631578948</v>
      </c>
      <c r="X707" s="29">
        <v>60.865417655799405</v>
      </c>
      <c r="Y707" s="29">
        <v>0</v>
      </c>
      <c r="Z707" s="29">
        <v>0</v>
      </c>
      <c r="AA707" s="29" t="s">
        <v>1592</v>
      </c>
      <c r="AB707" s="29" t="s">
        <v>1593</v>
      </c>
      <c r="AC707" s="29"/>
      <c r="AD707" s="29"/>
      <c r="AE707" s="29" t="s">
        <v>1594</v>
      </c>
      <c r="AF707" s="29"/>
      <c r="AG707" s="29"/>
    </row>
    <row r="708" spans="1:33">
      <c r="A708" s="29" t="s">
        <v>1585</v>
      </c>
      <c r="B708" s="29" t="s">
        <v>1595</v>
      </c>
      <c r="C708" s="29" t="s">
        <v>1596</v>
      </c>
      <c r="D708" s="29" t="s">
        <v>306</v>
      </c>
      <c r="E708" s="29" t="s">
        <v>15</v>
      </c>
      <c r="F708" s="29" t="s">
        <v>993</v>
      </c>
      <c r="G708" s="29" t="s">
        <v>381</v>
      </c>
      <c r="H708" s="29" t="s">
        <v>1597</v>
      </c>
      <c r="I708" s="116" t="s">
        <v>310</v>
      </c>
      <c r="J708" s="29" t="s">
        <v>20</v>
      </c>
      <c r="K708" s="29">
        <v>11</v>
      </c>
      <c r="L708" s="116"/>
      <c r="M708" s="29" t="s">
        <v>311</v>
      </c>
      <c r="N708" s="29">
        <v>3100</v>
      </c>
      <c r="O708" s="115">
        <v>3100</v>
      </c>
      <c r="P708" s="29">
        <v>171.27137172132439</v>
      </c>
      <c r="Q708" s="29">
        <v>1</v>
      </c>
      <c r="R708" s="29">
        <v>95</v>
      </c>
      <c r="S708" s="29">
        <v>1</v>
      </c>
      <c r="T708" s="29">
        <v>100</v>
      </c>
      <c r="U708" s="29">
        <v>3263.1578947368416</v>
      </c>
      <c r="V708" s="29">
        <v>0</v>
      </c>
      <c r="W708" s="29">
        <v>0</v>
      </c>
      <c r="X708" s="29">
        <v>0</v>
      </c>
      <c r="Y708" s="29">
        <v>0</v>
      </c>
      <c r="Z708" s="29">
        <v>0</v>
      </c>
      <c r="AA708" s="29" t="s">
        <v>1577</v>
      </c>
      <c r="AB708" s="29" t="s">
        <v>1598</v>
      </c>
      <c r="AC708" s="29" t="s">
        <v>1599</v>
      </c>
      <c r="AD708" s="29"/>
      <c r="AE708" s="29" t="s">
        <v>1600</v>
      </c>
      <c r="AF708" s="29"/>
      <c r="AG708" s="29"/>
    </row>
    <row r="709" spans="1:33">
      <c r="A709" s="29" t="s">
        <v>1585</v>
      </c>
      <c r="B709" s="29" t="s">
        <v>1595</v>
      </c>
      <c r="C709" s="29" t="s">
        <v>1596</v>
      </c>
      <c r="D709" s="29" t="s">
        <v>306</v>
      </c>
      <c r="E709" s="29" t="s">
        <v>321</v>
      </c>
      <c r="F709" s="29" t="s">
        <v>996</v>
      </c>
      <c r="G709" s="29" t="s">
        <v>1007</v>
      </c>
      <c r="H709" s="29" t="s">
        <v>1601</v>
      </c>
      <c r="I709" s="116" t="s">
        <v>310</v>
      </c>
      <c r="J709" s="29" t="s">
        <v>20</v>
      </c>
      <c r="K709" s="29">
        <v>11</v>
      </c>
      <c r="L709" s="116"/>
      <c r="M709" s="29" t="s">
        <v>363</v>
      </c>
      <c r="N709" s="29">
        <v>3100</v>
      </c>
      <c r="O709" s="115">
        <v>3100</v>
      </c>
      <c r="P709" s="29">
        <v>171.27137172132439</v>
      </c>
      <c r="Q709" s="29">
        <v>1</v>
      </c>
      <c r="R709" s="29">
        <v>95</v>
      </c>
      <c r="S709" s="29">
        <v>1</v>
      </c>
      <c r="T709" s="29">
        <v>10</v>
      </c>
      <c r="U709" s="29">
        <v>0</v>
      </c>
      <c r="V709" s="29">
        <v>0</v>
      </c>
      <c r="W709" s="29">
        <v>0</v>
      </c>
      <c r="X709" s="29">
        <v>0</v>
      </c>
      <c r="Y709" s="29">
        <v>326.31578947368416</v>
      </c>
      <c r="Z709" s="29">
        <v>0</v>
      </c>
      <c r="AA709" s="29" t="s">
        <v>1602</v>
      </c>
      <c r="AB709" s="29"/>
      <c r="AC709" s="29" t="s">
        <v>1599</v>
      </c>
      <c r="AD709" s="29"/>
      <c r="AE709" s="29" t="s">
        <v>1603</v>
      </c>
      <c r="AF709" s="29"/>
      <c r="AG709" s="29"/>
    </row>
    <row r="710" spans="1:33">
      <c r="A710" s="29" t="s">
        <v>1584</v>
      </c>
      <c r="B710" s="29" t="s">
        <v>1595</v>
      </c>
      <c r="C710" s="29" t="s">
        <v>317</v>
      </c>
      <c r="D710" s="29" t="s">
        <v>306</v>
      </c>
      <c r="E710" s="29" t="s">
        <v>321</v>
      </c>
      <c r="F710" s="29" t="s">
        <v>996</v>
      </c>
      <c r="G710" s="29" t="s">
        <v>1604</v>
      </c>
      <c r="H710" s="29" t="s">
        <v>1605</v>
      </c>
      <c r="I710" s="116" t="s">
        <v>310</v>
      </c>
      <c r="J710" s="29" t="s">
        <v>20</v>
      </c>
      <c r="K710" s="29">
        <v>11</v>
      </c>
      <c r="L710" s="116"/>
      <c r="M710" s="29" t="s">
        <v>353</v>
      </c>
      <c r="N710" s="29">
        <v>530</v>
      </c>
      <c r="O710" s="115">
        <v>750</v>
      </c>
      <c r="P710" s="29">
        <v>41.436622190642993</v>
      </c>
      <c r="Q710" s="29">
        <v>0.70666666666666667</v>
      </c>
      <c r="R710" s="29">
        <v>95</v>
      </c>
      <c r="S710" s="29">
        <v>1</v>
      </c>
      <c r="T710" s="29">
        <v>30</v>
      </c>
      <c r="U710" s="29">
        <v>0</v>
      </c>
      <c r="V710" s="29">
        <v>0</v>
      </c>
      <c r="W710" s="29">
        <v>167.36842105263156</v>
      </c>
      <c r="X710" s="29">
        <v>0</v>
      </c>
      <c r="Y710" s="29">
        <v>0</v>
      </c>
      <c r="Z710" s="29">
        <v>0</v>
      </c>
      <c r="AA710" s="29" t="s">
        <v>1589</v>
      </c>
      <c r="AB710" s="29"/>
      <c r="AC710" s="29" t="s">
        <v>1606</v>
      </c>
      <c r="AD710" s="29"/>
      <c r="AE710" s="29" t="s">
        <v>1607</v>
      </c>
      <c r="AF710" s="29"/>
      <c r="AG710" s="29"/>
    </row>
    <row r="711" spans="1:33">
      <c r="A711" s="29" t="s">
        <v>1608</v>
      </c>
      <c r="B711" s="29" t="s">
        <v>1609</v>
      </c>
      <c r="C711" s="29" t="s">
        <v>1596</v>
      </c>
      <c r="D711" s="29" t="s">
        <v>387</v>
      </c>
      <c r="E711" s="29" t="s">
        <v>311</v>
      </c>
      <c r="F711" s="29" t="s">
        <v>1009</v>
      </c>
      <c r="G711" s="29" t="s">
        <v>388</v>
      </c>
      <c r="H711" s="29" t="s">
        <v>389</v>
      </c>
      <c r="I711" s="116" t="s">
        <v>333</v>
      </c>
      <c r="J711" s="29" t="s">
        <v>16</v>
      </c>
      <c r="K711" s="29">
        <v>0.69</v>
      </c>
      <c r="L711" s="116"/>
      <c r="M711" s="29" t="s">
        <v>353</v>
      </c>
      <c r="N711" s="29">
        <v>78</v>
      </c>
      <c r="O711" s="115">
        <v>90</v>
      </c>
      <c r="P711" s="29">
        <v>94.251009825808197</v>
      </c>
      <c r="Q711" s="29">
        <v>0.8666666666666667</v>
      </c>
      <c r="R711" s="29">
        <v>94</v>
      </c>
      <c r="S711" s="29">
        <v>0.85</v>
      </c>
      <c r="T711" s="29">
        <v>30</v>
      </c>
      <c r="U711" s="29">
        <v>0</v>
      </c>
      <c r="V711" s="29">
        <v>0</v>
      </c>
      <c r="W711" s="29">
        <v>24.893617021276594</v>
      </c>
      <c r="X711" s="29">
        <v>15.427678211311267</v>
      </c>
      <c r="Y711" s="29">
        <v>0</v>
      </c>
      <c r="Z711" s="29">
        <v>0</v>
      </c>
      <c r="AA711" s="29" t="s">
        <v>1589</v>
      </c>
      <c r="AB711" s="29"/>
      <c r="AC711" s="29"/>
      <c r="AD711" s="29"/>
      <c r="AE711" s="29" t="s">
        <v>1610</v>
      </c>
      <c r="AF711" s="29"/>
      <c r="AG711" s="29"/>
    </row>
    <row r="712" spans="1:33">
      <c r="A712" s="29" t="s">
        <v>1608</v>
      </c>
      <c r="B712" s="29" t="s">
        <v>1609</v>
      </c>
      <c r="C712" s="29" t="s">
        <v>1596</v>
      </c>
      <c r="D712" s="29" t="s">
        <v>387</v>
      </c>
      <c r="E712" s="29" t="s">
        <v>311</v>
      </c>
      <c r="F712" s="29" t="s">
        <v>1009</v>
      </c>
      <c r="G712" s="29" t="s">
        <v>394</v>
      </c>
      <c r="H712" s="29" t="s">
        <v>395</v>
      </c>
      <c r="I712" s="116" t="s">
        <v>333</v>
      </c>
      <c r="J712" s="29" t="s">
        <v>16</v>
      </c>
      <c r="K712" s="29">
        <v>0.69</v>
      </c>
      <c r="L712" s="116"/>
      <c r="M712" s="29" t="s">
        <v>363</v>
      </c>
      <c r="N712" s="29">
        <v>78</v>
      </c>
      <c r="O712" s="115">
        <v>90</v>
      </c>
      <c r="P712" s="29">
        <v>94.251009825808197</v>
      </c>
      <c r="Q712" s="29">
        <v>0.8666666666666667</v>
      </c>
      <c r="R712" s="29">
        <v>94</v>
      </c>
      <c r="S712" s="29">
        <v>0.85</v>
      </c>
      <c r="T712" s="29">
        <v>10</v>
      </c>
      <c r="U712" s="29">
        <v>0</v>
      </c>
      <c r="V712" s="29">
        <v>0</v>
      </c>
      <c r="W712" s="29">
        <v>0</v>
      </c>
      <c r="X712" s="29">
        <v>0</v>
      </c>
      <c r="Y712" s="29">
        <v>8.2978723404255312</v>
      </c>
      <c r="Z712" s="29">
        <v>5.1425594037704236</v>
      </c>
      <c r="AA712" s="29" t="s">
        <v>1589</v>
      </c>
      <c r="AB712" s="29"/>
      <c r="AC712" s="29"/>
      <c r="AD712" s="29"/>
      <c r="AE712" s="29" t="s">
        <v>1610</v>
      </c>
      <c r="AF712" s="29"/>
      <c r="AG712" s="29"/>
    </row>
    <row r="713" spans="1:33">
      <c r="A713" s="29" t="s">
        <v>1608</v>
      </c>
      <c r="B713" s="29" t="s">
        <v>1580</v>
      </c>
      <c r="C713" s="29" t="s">
        <v>1581</v>
      </c>
      <c r="D713" s="29" t="s">
        <v>387</v>
      </c>
      <c r="E713" s="29" t="s">
        <v>311</v>
      </c>
      <c r="F713" s="29" t="s">
        <v>1009</v>
      </c>
      <c r="G713" s="29" t="s">
        <v>396</v>
      </c>
      <c r="H713" s="29" t="s">
        <v>397</v>
      </c>
      <c r="I713" s="116" t="s">
        <v>333</v>
      </c>
      <c r="J713" s="29" t="s">
        <v>1010</v>
      </c>
      <c r="K713" s="29">
        <v>0.69</v>
      </c>
      <c r="L713" s="116"/>
      <c r="M713" s="29" t="s">
        <v>311</v>
      </c>
      <c r="N713" s="29">
        <v>13.5</v>
      </c>
      <c r="O713" s="115">
        <v>65</v>
      </c>
      <c r="P713" s="29">
        <v>63.985963337298678</v>
      </c>
      <c r="Q713" s="29">
        <v>0.2076923076923077</v>
      </c>
      <c r="R713" s="29">
        <v>100</v>
      </c>
      <c r="S713" s="29">
        <v>0.85</v>
      </c>
      <c r="T713" s="29">
        <v>100</v>
      </c>
      <c r="U713" s="29">
        <v>13.5</v>
      </c>
      <c r="V713" s="29">
        <v>8.3665485684418801</v>
      </c>
      <c r="W713" s="29">
        <v>0</v>
      </c>
      <c r="X713" s="29">
        <v>0</v>
      </c>
      <c r="Y713" s="29">
        <v>0</v>
      </c>
      <c r="Z713" s="29">
        <v>0</v>
      </c>
      <c r="AA713" s="29" t="s">
        <v>1577</v>
      </c>
      <c r="AB713" s="29" t="s">
        <v>1611</v>
      </c>
      <c r="AC713" s="29"/>
      <c r="AD713" s="29" t="s">
        <v>1582</v>
      </c>
      <c r="AE713" s="29" t="s">
        <v>1612</v>
      </c>
      <c r="AF713" s="29"/>
      <c r="AG713" s="29"/>
    </row>
    <row r="714" spans="1:33">
      <c r="A714" s="29" t="s">
        <v>1608</v>
      </c>
      <c r="B714" s="29" t="s">
        <v>1580</v>
      </c>
      <c r="C714" s="29" t="s">
        <v>1581</v>
      </c>
      <c r="D714" s="29" t="s">
        <v>387</v>
      </c>
      <c r="E714" s="29" t="s">
        <v>311</v>
      </c>
      <c r="F714" s="29" t="s">
        <v>1009</v>
      </c>
      <c r="G714" s="29" t="s">
        <v>399</v>
      </c>
      <c r="H714" s="29" t="s">
        <v>400</v>
      </c>
      <c r="I714" s="116" t="s">
        <v>333</v>
      </c>
      <c r="J714" s="29" t="s">
        <v>1010</v>
      </c>
      <c r="K714" s="29">
        <v>0.69</v>
      </c>
      <c r="L714" s="116"/>
      <c r="M714" s="29" t="s">
        <v>363</v>
      </c>
      <c r="N714" s="29">
        <v>13.5</v>
      </c>
      <c r="O714" s="115">
        <v>65</v>
      </c>
      <c r="P714" s="29">
        <v>63.985963337298678</v>
      </c>
      <c r="Q714" s="29">
        <v>0.2076923076923077</v>
      </c>
      <c r="R714" s="29">
        <v>100</v>
      </c>
      <c r="S714" s="29">
        <v>0.85</v>
      </c>
      <c r="T714" s="29">
        <v>0</v>
      </c>
      <c r="U714" s="29">
        <v>0</v>
      </c>
      <c r="V714" s="29">
        <v>0</v>
      </c>
      <c r="W714" s="29">
        <v>0</v>
      </c>
      <c r="X714" s="29">
        <v>0</v>
      </c>
      <c r="Y714" s="29">
        <v>0</v>
      </c>
      <c r="Z714" s="29">
        <v>0</v>
      </c>
      <c r="AA714" s="29" t="s">
        <v>1577</v>
      </c>
      <c r="AB714" s="29" t="s">
        <v>1611</v>
      </c>
      <c r="AC714" s="29"/>
      <c r="AD714" s="29" t="s">
        <v>1582</v>
      </c>
      <c r="AE714" s="29" t="s">
        <v>1612</v>
      </c>
      <c r="AF714" s="29"/>
      <c r="AG714" s="29"/>
    </row>
    <row r="715" spans="1:33">
      <c r="A715" s="29"/>
      <c r="B715" s="29" t="s">
        <v>1580</v>
      </c>
      <c r="C715" s="29" t="s">
        <v>1581</v>
      </c>
      <c r="D715" s="29" t="s">
        <v>387</v>
      </c>
      <c r="E715" s="29" t="s">
        <v>15</v>
      </c>
      <c r="F715" s="29" t="s">
        <v>1011</v>
      </c>
      <c r="G715" s="29" t="s">
        <v>401</v>
      </c>
      <c r="H715" s="29" t="s">
        <v>402</v>
      </c>
      <c r="I715" s="116" t="s">
        <v>333</v>
      </c>
      <c r="J715" s="29" t="s">
        <v>24</v>
      </c>
      <c r="K715" s="29">
        <v>0.69</v>
      </c>
      <c r="L715" s="116"/>
      <c r="M715" s="29" t="s">
        <v>363</v>
      </c>
      <c r="N715" s="29">
        <v>5</v>
      </c>
      <c r="O715" s="115">
        <v>5</v>
      </c>
      <c r="P715" s="29">
        <v>4.9219971797922062</v>
      </c>
      <c r="Q715" s="29">
        <v>1</v>
      </c>
      <c r="R715" s="29">
        <v>100</v>
      </c>
      <c r="S715" s="29">
        <v>0.85</v>
      </c>
      <c r="T715" s="29">
        <v>10</v>
      </c>
      <c r="U715" s="29">
        <v>0</v>
      </c>
      <c r="V715" s="29">
        <v>0</v>
      </c>
      <c r="W715" s="29">
        <v>0</v>
      </c>
      <c r="X715" s="29">
        <v>0</v>
      </c>
      <c r="Y715" s="29">
        <v>0.5</v>
      </c>
      <c r="Z715" s="29">
        <v>0.30987216920155114</v>
      </c>
      <c r="AA715" s="29" t="s">
        <v>1589</v>
      </c>
      <c r="AB715" s="29"/>
      <c r="AC715" s="29"/>
      <c r="AD715" s="29" t="s">
        <v>1582</v>
      </c>
      <c r="AE715" s="29" t="s">
        <v>1583</v>
      </c>
      <c r="AF715" s="29"/>
      <c r="AG715" s="29"/>
    </row>
    <row r="716" spans="1:33">
      <c r="A716" s="29"/>
      <c r="B716" s="29" t="s">
        <v>1580</v>
      </c>
      <c r="C716" s="29" t="s">
        <v>1581</v>
      </c>
      <c r="D716" s="29" t="s">
        <v>387</v>
      </c>
      <c r="E716" s="29" t="s">
        <v>311</v>
      </c>
      <c r="F716" s="29" t="s">
        <v>1009</v>
      </c>
      <c r="G716" s="29" t="s">
        <v>404</v>
      </c>
      <c r="H716" s="29" t="s">
        <v>405</v>
      </c>
      <c r="I716" s="116" t="s">
        <v>333</v>
      </c>
      <c r="J716" s="29" t="s">
        <v>24</v>
      </c>
      <c r="K716" s="29">
        <v>0.69</v>
      </c>
      <c r="L716" s="116"/>
      <c r="M716" s="29" t="s">
        <v>311</v>
      </c>
      <c r="N716" s="29">
        <v>5</v>
      </c>
      <c r="O716" s="115">
        <v>5</v>
      </c>
      <c r="P716" s="29">
        <v>4.9219971797922062</v>
      </c>
      <c r="Q716" s="29">
        <v>1</v>
      </c>
      <c r="R716" s="29">
        <v>100</v>
      </c>
      <c r="S716" s="29">
        <v>0.85</v>
      </c>
      <c r="T716" s="29">
        <v>100</v>
      </c>
      <c r="U716" s="29">
        <v>5</v>
      </c>
      <c r="V716" s="29">
        <v>3.0987216920155114</v>
      </c>
      <c r="W716" s="29">
        <v>0</v>
      </c>
      <c r="X716" s="29">
        <v>0</v>
      </c>
      <c r="Y716" s="29">
        <v>0</v>
      </c>
      <c r="Z716" s="29">
        <v>0</v>
      </c>
      <c r="AA716" s="29" t="s">
        <v>1589</v>
      </c>
      <c r="AB716" s="29"/>
      <c r="AC716" s="29"/>
      <c r="AD716" s="29" t="s">
        <v>1582</v>
      </c>
      <c r="AE716" s="29" t="s">
        <v>1583</v>
      </c>
      <c r="AF716" s="29"/>
      <c r="AG716" s="29"/>
    </row>
    <row r="717" spans="1:33">
      <c r="A717" s="29" t="s">
        <v>1585</v>
      </c>
      <c r="B717" s="29" t="s">
        <v>1580</v>
      </c>
      <c r="C717" s="29" t="s">
        <v>1581</v>
      </c>
      <c r="D717" s="29" t="s">
        <v>387</v>
      </c>
      <c r="E717" s="29" t="s">
        <v>15</v>
      </c>
      <c r="F717" s="29" t="s">
        <v>1011</v>
      </c>
      <c r="G717" s="29" t="s">
        <v>406</v>
      </c>
      <c r="H717" s="29" t="s">
        <v>407</v>
      </c>
      <c r="I717" s="116" t="s">
        <v>333</v>
      </c>
      <c r="J717" s="29" t="s">
        <v>24</v>
      </c>
      <c r="K717" s="29">
        <v>0.69</v>
      </c>
      <c r="L717" s="116"/>
      <c r="M717" s="29" t="s">
        <v>363</v>
      </c>
      <c r="N717" s="29">
        <v>5.35</v>
      </c>
      <c r="O717" s="115">
        <v>10</v>
      </c>
      <c r="P717" s="29">
        <v>9.8439943595844124</v>
      </c>
      <c r="Q717" s="29">
        <v>0.53499999999999992</v>
      </c>
      <c r="R717" s="29">
        <v>100</v>
      </c>
      <c r="S717" s="29">
        <v>0.85</v>
      </c>
      <c r="T717" s="29">
        <v>10</v>
      </c>
      <c r="U717" s="29">
        <v>0</v>
      </c>
      <c r="V717" s="29">
        <v>0</v>
      </c>
      <c r="W717" s="29">
        <v>0</v>
      </c>
      <c r="X717" s="29">
        <v>0</v>
      </c>
      <c r="Y717" s="29">
        <v>0.53500000000000003</v>
      </c>
      <c r="Z717" s="29">
        <v>0.33156322104565972</v>
      </c>
      <c r="AA717" s="29" t="s">
        <v>1589</v>
      </c>
      <c r="AB717" s="29"/>
      <c r="AC717" s="29"/>
      <c r="AD717" s="29" t="s">
        <v>1582</v>
      </c>
      <c r="AE717" s="29" t="s">
        <v>1613</v>
      </c>
      <c r="AF717" s="29"/>
      <c r="AG717" s="29"/>
    </row>
    <row r="718" spans="1:33">
      <c r="A718" s="29" t="s">
        <v>1585</v>
      </c>
      <c r="B718" s="29" t="s">
        <v>1580</v>
      </c>
      <c r="C718" s="29" t="s">
        <v>1581</v>
      </c>
      <c r="D718" s="29" t="s">
        <v>387</v>
      </c>
      <c r="E718" s="29" t="s">
        <v>311</v>
      </c>
      <c r="F718" s="29" t="s">
        <v>1009</v>
      </c>
      <c r="G718" s="29" t="s">
        <v>410</v>
      </c>
      <c r="H718" s="29" t="s">
        <v>411</v>
      </c>
      <c r="I718" s="116" t="s">
        <v>333</v>
      </c>
      <c r="J718" s="29" t="s">
        <v>24</v>
      </c>
      <c r="K718" s="29">
        <v>0.69</v>
      </c>
      <c r="L718" s="116"/>
      <c r="M718" s="29" t="s">
        <v>311</v>
      </c>
      <c r="N718" s="29">
        <v>5.35</v>
      </c>
      <c r="O718" s="115">
        <v>10</v>
      </c>
      <c r="P718" s="29">
        <v>9.8439943595844124</v>
      </c>
      <c r="Q718" s="29">
        <v>0.53499999999999992</v>
      </c>
      <c r="R718" s="29">
        <v>100</v>
      </c>
      <c r="S718" s="29">
        <v>0.85</v>
      </c>
      <c r="T718" s="29">
        <v>80</v>
      </c>
      <c r="U718" s="29">
        <v>4.28</v>
      </c>
      <c r="V718" s="29">
        <v>2.6525057683652777</v>
      </c>
      <c r="W718" s="29">
        <v>0</v>
      </c>
      <c r="X718" s="29">
        <v>0</v>
      </c>
      <c r="Y718" s="29">
        <v>0</v>
      </c>
      <c r="Z718" s="29">
        <v>0</v>
      </c>
      <c r="AA718" s="29" t="s">
        <v>1589</v>
      </c>
      <c r="AB718" s="29"/>
      <c r="AC718" s="29"/>
      <c r="AD718" s="29" t="s">
        <v>1582</v>
      </c>
      <c r="AE718" s="29" t="s">
        <v>1613</v>
      </c>
      <c r="AF718" s="29"/>
      <c r="AG718" s="29"/>
    </row>
    <row r="719" spans="1:33">
      <c r="A719" s="29" t="s">
        <v>1585</v>
      </c>
      <c r="B719" s="29" t="s">
        <v>1580</v>
      </c>
      <c r="C719" s="29" t="s">
        <v>1581</v>
      </c>
      <c r="D719" s="29" t="s">
        <v>387</v>
      </c>
      <c r="E719" s="29" t="s">
        <v>321</v>
      </c>
      <c r="F719" s="29" t="s">
        <v>1012</v>
      </c>
      <c r="G719" s="29" t="s">
        <v>413</v>
      </c>
      <c r="H719" s="29" t="s">
        <v>414</v>
      </c>
      <c r="I719" s="116" t="s">
        <v>333</v>
      </c>
      <c r="J719" s="29" t="s">
        <v>24</v>
      </c>
      <c r="K719" s="29">
        <v>0.69</v>
      </c>
      <c r="L719" s="116"/>
      <c r="M719" s="29" t="s">
        <v>363</v>
      </c>
      <c r="N719" s="29">
        <v>5.35</v>
      </c>
      <c r="O719" s="115">
        <v>10</v>
      </c>
      <c r="P719" s="29">
        <v>9.8439943595844124</v>
      </c>
      <c r="Q719" s="29">
        <v>0.53499999999999992</v>
      </c>
      <c r="R719" s="29">
        <v>100</v>
      </c>
      <c r="S719" s="29">
        <v>0.85</v>
      </c>
      <c r="T719" s="29">
        <v>10</v>
      </c>
      <c r="U719" s="29">
        <v>0</v>
      </c>
      <c r="V719" s="29">
        <v>0</v>
      </c>
      <c r="W719" s="29">
        <v>0</v>
      </c>
      <c r="X719" s="29">
        <v>0</v>
      </c>
      <c r="Y719" s="29">
        <v>0.53500000000000003</v>
      </c>
      <c r="Z719" s="29">
        <v>0.33156322104565972</v>
      </c>
      <c r="AA719" s="29" t="s">
        <v>1589</v>
      </c>
      <c r="AB719" s="29"/>
      <c r="AC719" s="29"/>
      <c r="AD719" s="29" t="s">
        <v>1582</v>
      </c>
      <c r="AE719" s="29" t="s">
        <v>1613</v>
      </c>
      <c r="AF719" s="29"/>
      <c r="AG719" s="29"/>
    </row>
    <row r="720" spans="1:33">
      <c r="A720" s="29" t="s">
        <v>1585</v>
      </c>
      <c r="B720" s="29" t="s">
        <v>1580</v>
      </c>
      <c r="C720" s="29" t="s">
        <v>1581</v>
      </c>
      <c r="D720" s="29" t="s">
        <v>387</v>
      </c>
      <c r="E720" s="29" t="s">
        <v>15</v>
      </c>
      <c r="F720" s="29" t="s">
        <v>1011</v>
      </c>
      <c r="G720" s="29" t="s">
        <v>415</v>
      </c>
      <c r="H720" s="29" t="s">
        <v>416</v>
      </c>
      <c r="I720" s="116" t="s">
        <v>333</v>
      </c>
      <c r="J720" s="29" t="s">
        <v>24</v>
      </c>
      <c r="K720" s="29">
        <v>0.69</v>
      </c>
      <c r="L720" s="116"/>
      <c r="M720" s="29" t="s">
        <v>363</v>
      </c>
      <c r="N720" s="29">
        <v>15.36</v>
      </c>
      <c r="O720" s="115">
        <v>20</v>
      </c>
      <c r="P720" s="29">
        <v>19.687988719168825</v>
      </c>
      <c r="Q720" s="29">
        <v>0.76800000000000002</v>
      </c>
      <c r="R720" s="29">
        <v>100</v>
      </c>
      <c r="S720" s="29">
        <v>0.85</v>
      </c>
      <c r="T720" s="29">
        <v>10</v>
      </c>
      <c r="U720" s="29">
        <v>0</v>
      </c>
      <c r="V720" s="29">
        <v>0</v>
      </c>
      <c r="W720" s="29">
        <v>0</v>
      </c>
      <c r="X720" s="29">
        <v>0</v>
      </c>
      <c r="Y720" s="29">
        <v>1.5359999999999998</v>
      </c>
      <c r="Z720" s="29">
        <v>0.95192730378716517</v>
      </c>
      <c r="AA720" s="29" t="s">
        <v>1577</v>
      </c>
      <c r="AB720" s="29" t="s">
        <v>1614</v>
      </c>
      <c r="AC720" s="29"/>
      <c r="AD720" s="29" t="s">
        <v>1582</v>
      </c>
      <c r="AE720" s="29" t="s">
        <v>1613</v>
      </c>
      <c r="AF720" s="29"/>
      <c r="AG720" s="29"/>
    </row>
    <row r="721" spans="1:33">
      <c r="A721" s="29" t="s">
        <v>1585</v>
      </c>
      <c r="B721" s="29" t="s">
        <v>1580</v>
      </c>
      <c r="C721" s="29" t="s">
        <v>1581</v>
      </c>
      <c r="D721" s="29" t="s">
        <v>387</v>
      </c>
      <c r="E721" s="29" t="s">
        <v>311</v>
      </c>
      <c r="F721" s="29" t="s">
        <v>1009</v>
      </c>
      <c r="G721" s="29" t="s">
        <v>418</v>
      </c>
      <c r="H721" s="29" t="s">
        <v>419</v>
      </c>
      <c r="I721" s="116" t="s">
        <v>333</v>
      </c>
      <c r="J721" s="29" t="s">
        <v>24</v>
      </c>
      <c r="K721" s="29">
        <v>0.69</v>
      </c>
      <c r="L721" s="116"/>
      <c r="M721" s="29" t="s">
        <v>311</v>
      </c>
      <c r="N721" s="29">
        <v>15.36</v>
      </c>
      <c r="O721" s="115">
        <v>20</v>
      </c>
      <c r="P721" s="29">
        <v>19.687988719168825</v>
      </c>
      <c r="Q721" s="29">
        <v>0.76800000000000002</v>
      </c>
      <c r="R721" s="29">
        <v>100</v>
      </c>
      <c r="S721" s="29">
        <v>0.85</v>
      </c>
      <c r="T721" s="29">
        <v>80</v>
      </c>
      <c r="U721" s="29">
        <v>12.287999999999998</v>
      </c>
      <c r="V721" s="29">
        <v>7.6154184302973214</v>
      </c>
      <c r="W721" s="29">
        <v>0</v>
      </c>
      <c r="X721" s="29">
        <v>0</v>
      </c>
      <c r="Y721" s="29">
        <v>0</v>
      </c>
      <c r="Z721" s="29">
        <v>0</v>
      </c>
      <c r="AA721" s="29" t="s">
        <v>1577</v>
      </c>
      <c r="AB721" s="29" t="s">
        <v>1614</v>
      </c>
      <c r="AC721" s="29"/>
      <c r="AD721" s="29" t="s">
        <v>1582</v>
      </c>
      <c r="AE721" s="29" t="s">
        <v>1613</v>
      </c>
      <c r="AF721" s="29"/>
      <c r="AG721" s="29"/>
    </row>
    <row r="722" spans="1:33">
      <c r="A722" s="29" t="s">
        <v>1585</v>
      </c>
      <c r="B722" s="29" t="s">
        <v>1580</v>
      </c>
      <c r="C722" s="29" t="s">
        <v>1581</v>
      </c>
      <c r="D722" s="29" t="s">
        <v>387</v>
      </c>
      <c r="E722" s="29" t="s">
        <v>321</v>
      </c>
      <c r="F722" s="29" t="s">
        <v>1012</v>
      </c>
      <c r="G722" s="29" t="s">
        <v>420</v>
      </c>
      <c r="H722" s="29" t="s">
        <v>421</v>
      </c>
      <c r="I722" s="116" t="s">
        <v>333</v>
      </c>
      <c r="J722" s="29" t="s">
        <v>24</v>
      </c>
      <c r="K722" s="29">
        <v>0.69</v>
      </c>
      <c r="L722" s="116"/>
      <c r="M722" s="29" t="s">
        <v>363</v>
      </c>
      <c r="N722" s="29">
        <v>15.36</v>
      </c>
      <c r="O722" s="115">
        <v>20</v>
      </c>
      <c r="P722" s="29">
        <v>19.687988719168825</v>
      </c>
      <c r="Q722" s="29">
        <v>0.76800000000000002</v>
      </c>
      <c r="R722" s="29">
        <v>100</v>
      </c>
      <c r="S722" s="29">
        <v>0.85</v>
      </c>
      <c r="T722" s="29">
        <v>10</v>
      </c>
      <c r="U722" s="29">
        <v>0</v>
      </c>
      <c r="V722" s="29">
        <v>0</v>
      </c>
      <c r="W722" s="29">
        <v>0</v>
      </c>
      <c r="X722" s="29">
        <v>0</v>
      </c>
      <c r="Y722" s="29">
        <v>1.5359999999999998</v>
      </c>
      <c r="Z722" s="29">
        <v>0.95192730378716517</v>
      </c>
      <c r="AA722" s="29" t="s">
        <v>1577</v>
      </c>
      <c r="AB722" s="29" t="s">
        <v>1614</v>
      </c>
      <c r="AC722" s="29"/>
      <c r="AD722" s="29" t="s">
        <v>1582</v>
      </c>
      <c r="AE722" s="29" t="s">
        <v>1613</v>
      </c>
      <c r="AF722" s="29"/>
      <c r="AG722" s="29"/>
    </row>
    <row r="723" spans="1:33">
      <c r="A723" s="29" t="s">
        <v>1615</v>
      </c>
      <c r="B723" s="29" t="s">
        <v>1580</v>
      </c>
      <c r="C723" s="29" t="s">
        <v>1581</v>
      </c>
      <c r="D723" s="29" t="s">
        <v>387</v>
      </c>
      <c r="E723" s="29" t="s">
        <v>15</v>
      </c>
      <c r="F723" s="29" t="s">
        <v>1011</v>
      </c>
      <c r="G723" s="29" t="s">
        <v>422</v>
      </c>
      <c r="H723" s="29" t="s">
        <v>423</v>
      </c>
      <c r="I723" s="116" t="s">
        <v>333</v>
      </c>
      <c r="J723" s="29" t="s">
        <v>24</v>
      </c>
      <c r="K723" s="29">
        <v>0.69</v>
      </c>
      <c r="L723" s="116"/>
      <c r="M723" s="29" t="s">
        <v>363</v>
      </c>
      <c r="N723" s="29">
        <v>74.38</v>
      </c>
      <c r="O723" s="115">
        <v>90</v>
      </c>
      <c r="P723" s="29">
        <v>88.595949236259713</v>
      </c>
      <c r="Q723" s="29">
        <v>0.82644444444444443</v>
      </c>
      <c r="R723" s="29">
        <v>100</v>
      </c>
      <c r="S723" s="29">
        <v>0.85</v>
      </c>
      <c r="T723" s="29">
        <v>10</v>
      </c>
      <c r="U723" s="29">
        <v>0</v>
      </c>
      <c r="V723" s="29">
        <v>0</v>
      </c>
      <c r="W723" s="29">
        <v>0</v>
      </c>
      <c r="X723" s="29">
        <v>0</v>
      </c>
      <c r="Y723" s="29">
        <v>7.4379999999999988</v>
      </c>
      <c r="Z723" s="29">
        <v>4.6096583890422744</v>
      </c>
      <c r="AA723" s="29" t="s">
        <v>1577</v>
      </c>
      <c r="AB723" s="29" t="s">
        <v>1616</v>
      </c>
      <c r="AC723" s="29"/>
      <c r="AD723" s="29" t="s">
        <v>1582</v>
      </c>
      <c r="AE723" s="29" t="s">
        <v>1613</v>
      </c>
      <c r="AF723" s="29"/>
      <c r="AG723" s="29"/>
    </row>
    <row r="724" spans="1:33">
      <c r="A724" s="29" t="s">
        <v>1615</v>
      </c>
      <c r="B724" s="29" t="s">
        <v>1580</v>
      </c>
      <c r="C724" s="29" t="s">
        <v>1581</v>
      </c>
      <c r="D724" s="29" t="s">
        <v>387</v>
      </c>
      <c r="E724" s="29" t="s">
        <v>311</v>
      </c>
      <c r="F724" s="29" t="s">
        <v>1009</v>
      </c>
      <c r="G724" s="29" t="s">
        <v>426</v>
      </c>
      <c r="H724" s="29" t="s">
        <v>427</v>
      </c>
      <c r="I724" s="116" t="s">
        <v>333</v>
      </c>
      <c r="J724" s="29" t="s">
        <v>24</v>
      </c>
      <c r="K724" s="29">
        <v>0.69</v>
      </c>
      <c r="L724" s="116"/>
      <c r="M724" s="29" t="s">
        <v>311</v>
      </c>
      <c r="N724" s="29">
        <v>74.38</v>
      </c>
      <c r="O724" s="115">
        <v>90</v>
      </c>
      <c r="P724" s="29">
        <v>88.595949236259713</v>
      </c>
      <c r="Q724" s="29">
        <v>0.82644444444444443</v>
      </c>
      <c r="R724" s="29">
        <v>100</v>
      </c>
      <c r="S724" s="29">
        <v>0.85</v>
      </c>
      <c r="T724" s="29">
        <v>100</v>
      </c>
      <c r="U724" s="29">
        <v>74.38</v>
      </c>
      <c r="V724" s="29">
        <v>46.096583890422743</v>
      </c>
      <c r="W724" s="29">
        <v>0</v>
      </c>
      <c r="X724" s="29">
        <v>0</v>
      </c>
      <c r="Y724" s="29">
        <v>0</v>
      </c>
      <c r="Z724" s="29">
        <v>0</v>
      </c>
      <c r="AA724" s="29" t="s">
        <v>1577</v>
      </c>
      <c r="AB724" s="29" t="s">
        <v>1616</v>
      </c>
      <c r="AC724" s="29"/>
      <c r="AD724" s="29" t="s">
        <v>1582</v>
      </c>
      <c r="AE724" s="29" t="s">
        <v>1613</v>
      </c>
      <c r="AF724" s="29"/>
      <c r="AG724" s="29"/>
    </row>
    <row r="725" spans="1:33">
      <c r="A725" s="29" t="s">
        <v>1615</v>
      </c>
      <c r="B725" s="29" t="s">
        <v>1580</v>
      </c>
      <c r="C725" s="29" t="s">
        <v>1581</v>
      </c>
      <c r="D725" s="29" t="s">
        <v>387</v>
      </c>
      <c r="E725" s="29" t="s">
        <v>321</v>
      </c>
      <c r="F725" s="29" t="s">
        <v>1012</v>
      </c>
      <c r="G725" s="29" t="s">
        <v>428</v>
      </c>
      <c r="H725" s="29" t="s">
        <v>429</v>
      </c>
      <c r="I725" s="116" t="s">
        <v>333</v>
      </c>
      <c r="J725" s="29" t="s">
        <v>24</v>
      </c>
      <c r="K725" s="29">
        <v>0.69</v>
      </c>
      <c r="L725" s="116"/>
      <c r="M725" s="29" t="s">
        <v>363</v>
      </c>
      <c r="N725" s="29">
        <v>74.38</v>
      </c>
      <c r="O725" s="115">
        <v>90</v>
      </c>
      <c r="P725" s="29">
        <v>88.595949236259713</v>
      </c>
      <c r="Q725" s="29">
        <v>0.82644444444444443</v>
      </c>
      <c r="R725" s="29">
        <v>100</v>
      </c>
      <c r="S725" s="29">
        <v>0.85</v>
      </c>
      <c r="T725" s="29">
        <v>10</v>
      </c>
      <c r="U725" s="29">
        <v>0</v>
      </c>
      <c r="V725" s="29">
        <v>0</v>
      </c>
      <c r="W725" s="29">
        <v>0</v>
      </c>
      <c r="X725" s="29">
        <v>0</v>
      </c>
      <c r="Y725" s="29">
        <v>7.4379999999999988</v>
      </c>
      <c r="Z725" s="29">
        <v>4.6096583890422744</v>
      </c>
      <c r="AA725" s="29" t="s">
        <v>1577</v>
      </c>
      <c r="AB725" s="29" t="s">
        <v>1616</v>
      </c>
      <c r="AC725" s="29"/>
      <c r="AD725" s="29" t="s">
        <v>1582</v>
      </c>
      <c r="AE725" s="29" t="s">
        <v>1613</v>
      </c>
      <c r="AF725" s="29"/>
      <c r="AG725" s="29"/>
    </row>
    <row r="726" spans="1:33">
      <c r="A726" s="29" t="s">
        <v>1585</v>
      </c>
      <c r="B726" s="29" t="s">
        <v>1580</v>
      </c>
      <c r="C726" s="29" t="s">
        <v>1581</v>
      </c>
      <c r="D726" s="29" t="s">
        <v>387</v>
      </c>
      <c r="E726" s="29" t="s">
        <v>15</v>
      </c>
      <c r="F726" s="29" t="s">
        <v>1011</v>
      </c>
      <c r="G726" s="29" t="s">
        <v>430</v>
      </c>
      <c r="H726" s="29" t="s">
        <v>431</v>
      </c>
      <c r="I726" s="116" t="s">
        <v>333</v>
      </c>
      <c r="J726" s="29" t="s">
        <v>24</v>
      </c>
      <c r="K726" s="29">
        <v>0.69</v>
      </c>
      <c r="L726" s="116"/>
      <c r="M726" s="29" t="s">
        <v>363</v>
      </c>
      <c r="N726" s="29">
        <v>8</v>
      </c>
      <c r="O726" s="115">
        <v>10</v>
      </c>
      <c r="P726" s="29">
        <v>9.8439943595844124</v>
      </c>
      <c r="Q726" s="29">
        <v>0.8</v>
      </c>
      <c r="R726" s="29">
        <v>100</v>
      </c>
      <c r="S726" s="29">
        <v>0.85</v>
      </c>
      <c r="T726" s="29">
        <v>10</v>
      </c>
      <c r="U726" s="29">
        <v>0</v>
      </c>
      <c r="V726" s="29">
        <v>0</v>
      </c>
      <c r="W726" s="29">
        <v>0</v>
      </c>
      <c r="X726" s="29">
        <v>0</v>
      </c>
      <c r="Y726" s="29">
        <v>0.8</v>
      </c>
      <c r="Z726" s="29">
        <v>0.49579547072248187</v>
      </c>
      <c r="AA726" s="29" t="s">
        <v>1577</v>
      </c>
      <c r="AB726" s="29" t="s">
        <v>1617</v>
      </c>
      <c r="AC726" s="29"/>
      <c r="AD726" s="29" t="s">
        <v>1582</v>
      </c>
      <c r="AE726" s="29" t="s">
        <v>1613</v>
      </c>
      <c r="AF726" s="29"/>
      <c r="AG726" s="29"/>
    </row>
    <row r="727" spans="1:33">
      <c r="A727" s="29" t="s">
        <v>1585</v>
      </c>
      <c r="B727" s="29" t="s">
        <v>1580</v>
      </c>
      <c r="C727" s="29" t="s">
        <v>1581</v>
      </c>
      <c r="D727" s="29" t="s">
        <v>387</v>
      </c>
      <c r="E727" s="29" t="s">
        <v>311</v>
      </c>
      <c r="F727" s="29" t="s">
        <v>1009</v>
      </c>
      <c r="G727" s="29" t="s">
        <v>433</v>
      </c>
      <c r="H727" s="29" t="s">
        <v>434</v>
      </c>
      <c r="I727" s="116" t="s">
        <v>333</v>
      </c>
      <c r="J727" s="29" t="s">
        <v>24</v>
      </c>
      <c r="K727" s="29">
        <v>0.69</v>
      </c>
      <c r="L727" s="116"/>
      <c r="M727" s="29" t="s">
        <v>311</v>
      </c>
      <c r="N727" s="29">
        <v>8</v>
      </c>
      <c r="O727" s="115">
        <v>10</v>
      </c>
      <c r="P727" s="29">
        <v>9.8439943595844124</v>
      </c>
      <c r="Q727" s="29">
        <v>0.8</v>
      </c>
      <c r="R727" s="29">
        <v>100</v>
      </c>
      <c r="S727" s="29">
        <v>0.85</v>
      </c>
      <c r="T727" s="29">
        <v>80</v>
      </c>
      <c r="U727" s="29">
        <v>6.4</v>
      </c>
      <c r="V727" s="29">
        <v>3.9663637657798549</v>
      </c>
      <c r="W727" s="29">
        <v>0</v>
      </c>
      <c r="X727" s="29">
        <v>0</v>
      </c>
      <c r="Y727" s="29">
        <v>0</v>
      </c>
      <c r="Z727" s="29">
        <v>0</v>
      </c>
      <c r="AA727" s="29" t="s">
        <v>1577</v>
      </c>
      <c r="AB727" s="29" t="s">
        <v>1617</v>
      </c>
      <c r="AC727" s="29"/>
      <c r="AD727" s="29" t="s">
        <v>1582</v>
      </c>
      <c r="AE727" s="29" t="s">
        <v>1613</v>
      </c>
      <c r="AF727" s="29"/>
      <c r="AG727" s="29"/>
    </row>
    <row r="728" spans="1:33">
      <c r="A728" s="29" t="s">
        <v>1585</v>
      </c>
      <c r="B728" s="29" t="s">
        <v>1580</v>
      </c>
      <c r="C728" s="29" t="s">
        <v>1581</v>
      </c>
      <c r="D728" s="29" t="s">
        <v>387</v>
      </c>
      <c r="E728" s="29" t="s">
        <v>321</v>
      </c>
      <c r="F728" s="29" t="s">
        <v>1012</v>
      </c>
      <c r="G728" s="29" t="s">
        <v>436</v>
      </c>
      <c r="H728" s="29" t="s">
        <v>437</v>
      </c>
      <c r="I728" s="116" t="s">
        <v>333</v>
      </c>
      <c r="J728" s="29" t="s">
        <v>24</v>
      </c>
      <c r="K728" s="29">
        <v>0.69</v>
      </c>
      <c r="L728" s="116"/>
      <c r="M728" s="29" t="s">
        <v>363</v>
      </c>
      <c r="N728" s="29">
        <v>8</v>
      </c>
      <c r="O728" s="115">
        <v>10</v>
      </c>
      <c r="P728" s="29">
        <v>9.8439943595844124</v>
      </c>
      <c r="Q728" s="29">
        <v>0.8</v>
      </c>
      <c r="R728" s="29">
        <v>100</v>
      </c>
      <c r="S728" s="29">
        <v>0.85</v>
      </c>
      <c r="T728" s="29">
        <v>10</v>
      </c>
      <c r="U728" s="29">
        <v>0</v>
      </c>
      <c r="V728" s="29">
        <v>0</v>
      </c>
      <c r="W728" s="29">
        <v>0</v>
      </c>
      <c r="X728" s="29">
        <v>0</v>
      </c>
      <c r="Y728" s="29">
        <v>0.8</v>
      </c>
      <c r="Z728" s="29">
        <v>0.49579547072248187</v>
      </c>
      <c r="AA728" s="29" t="s">
        <v>1577</v>
      </c>
      <c r="AB728" s="29" t="s">
        <v>1617</v>
      </c>
      <c r="AC728" s="29"/>
      <c r="AD728" s="29" t="s">
        <v>1582</v>
      </c>
      <c r="AE728" s="29" t="s">
        <v>1613</v>
      </c>
      <c r="AF728" s="29"/>
      <c r="AG728" s="29"/>
    </row>
    <row r="729" spans="1:33">
      <c r="A729" s="29" t="s">
        <v>1615</v>
      </c>
      <c r="B729" s="29" t="s">
        <v>1580</v>
      </c>
      <c r="C729" s="29" t="s">
        <v>1581</v>
      </c>
      <c r="D729" s="29" t="s">
        <v>387</v>
      </c>
      <c r="E729" s="29" t="s">
        <v>15</v>
      </c>
      <c r="F729" s="29" t="s">
        <v>1011</v>
      </c>
      <c r="G729" s="29" t="s">
        <v>439</v>
      </c>
      <c r="H729" s="29" t="s">
        <v>440</v>
      </c>
      <c r="I729" s="116" t="s">
        <v>333</v>
      </c>
      <c r="J729" s="29" t="s">
        <v>24</v>
      </c>
      <c r="K729" s="29">
        <v>0.69</v>
      </c>
      <c r="L729" s="116"/>
      <c r="M729" s="29" t="s">
        <v>363</v>
      </c>
      <c r="N729" s="29">
        <v>64.2</v>
      </c>
      <c r="O729" s="115">
        <v>80</v>
      </c>
      <c r="P729" s="29">
        <v>78.751954876675299</v>
      </c>
      <c r="Q729" s="29">
        <v>0.80249999999999999</v>
      </c>
      <c r="R729" s="29">
        <v>100</v>
      </c>
      <c r="S729" s="29">
        <v>0.85</v>
      </c>
      <c r="T729" s="29">
        <v>10</v>
      </c>
      <c r="U729" s="29">
        <v>0</v>
      </c>
      <c r="V729" s="29">
        <v>0</v>
      </c>
      <c r="W729" s="29">
        <v>0</v>
      </c>
      <c r="X729" s="29">
        <v>0</v>
      </c>
      <c r="Y729" s="29">
        <v>6.42</v>
      </c>
      <c r="Z729" s="29">
        <v>3.9787586525479171</v>
      </c>
      <c r="AA729" s="29" t="s">
        <v>1577</v>
      </c>
      <c r="AB729" s="29" t="s">
        <v>1618</v>
      </c>
      <c r="AC729" s="29"/>
      <c r="AD729" s="29" t="s">
        <v>1582</v>
      </c>
      <c r="AE729" s="29" t="s">
        <v>1613</v>
      </c>
      <c r="AF729" s="29"/>
      <c r="AG729" s="29"/>
    </row>
    <row r="730" spans="1:33">
      <c r="A730" s="29" t="s">
        <v>1615</v>
      </c>
      <c r="B730" s="29" t="s">
        <v>1580</v>
      </c>
      <c r="C730" s="29" t="s">
        <v>1581</v>
      </c>
      <c r="D730" s="29" t="s">
        <v>387</v>
      </c>
      <c r="E730" s="29" t="s">
        <v>311</v>
      </c>
      <c r="F730" s="29" t="s">
        <v>1009</v>
      </c>
      <c r="G730" s="29" t="s">
        <v>443</v>
      </c>
      <c r="H730" s="29" t="s">
        <v>444</v>
      </c>
      <c r="I730" s="116" t="s">
        <v>333</v>
      </c>
      <c r="J730" s="29" t="s">
        <v>24</v>
      </c>
      <c r="K730" s="29">
        <v>0.69</v>
      </c>
      <c r="L730" s="116"/>
      <c r="M730" s="29" t="s">
        <v>311</v>
      </c>
      <c r="N730" s="29">
        <v>64.2</v>
      </c>
      <c r="O730" s="115">
        <v>80</v>
      </c>
      <c r="P730" s="29">
        <v>78.751954876675299</v>
      </c>
      <c r="Q730" s="29">
        <v>0.80249999999999999</v>
      </c>
      <c r="R730" s="29">
        <v>100</v>
      </c>
      <c r="S730" s="29">
        <v>0.85</v>
      </c>
      <c r="T730" s="29">
        <v>100</v>
      </c>
      <c r="U730" s="29">
        <v>64.2</v>
      </c>
      <c r="V730" s="29">
        <v>39.787586525479171</v>
      </c>
      <c r="W730" s="29">
        <v>0</v>
      </c>
      <c r="X730" s="29">
        <v>0</v>
      </c>
      <c r="Y730" s="29">
        <v>0</v>
      </c>
      <c r="Z730" s="29">
        <v>0</v>
      </c>
      <c r="AA730" s="29" t="s">
        <v>1577</v>
      </c>
      <c r="AB730" s="29" t="s">
        <v>1618</v>
      </c>
      <c r="AC730" s="29"/>
      <c r="AD730" s="29" t="s">
        <v>1582</v>
      </c>
      <c r="AE730" s="29" t="s">
        <v>1613</v>
      </c>
      <c r="AF730" s="29"/>
      <c r="AG730" s="29"/>
    </row>
    <row r="731" spans="1:33">
      <c r="A731" s="29" t="s">
        <v>1615</v>
      </c>
      <c r="B731" s="29" t="s">
        <v>1580</v>
      </c>
      <c r="C731" s="29" t="s">
        <v>1581</v>
      </c>
      <c r="D731" s="29" t="s">
        <v>387</v>
      </c>
      <c r="E731" s="29" t="s">
        <v>321</v>
      </c>
      <c r="F731" s="29" t="s">
        <v>1012</v>
      </c>
      <c r="G731" s="29" t="s">
        <v>446</v>
      </c>
      <c r="H731" s="29" t="s">
        <v>447</v>
      </c>
      <c r="I731" s="116" t="s">
        <v>333</v>
      </c>
      <c r="J731" s="29" t="s">
        <v>24</v>
      </c>
      <c r="K731" s="29">
        <v>0.69</v>
      </c>
      <c r="L731" s="116"/>
      <c r="M731" s="29" t="s">
        <v>363</v>
      </c>
      <c r="N731" s="29">
        <v>64.2</v>
      </c>
      <c r="O731" s="115">
        <v>80</v>
      </c>
      <c r="P731" s="29">
        <v>78.751954876675299</v>
      </c>
      <c r="Q731" s="29">
        <v>0.80249999999999999</v>
      </c>
      <c r="R731" s="29">
        <v>100</v>
      </c>
      <c r="S731" s="29">
        <v>0.85</v>
      </c>
      <c r="T731" s="29">
        <v>10</v>
      </c>
      <c r="U731" s="29">
        <v>0</v>
      </c>
      <c r="V731" s="29">
        <v>0</v>
      </c>
      <c r="W731" s="29">
        <v>0</v>
      </c>
      <c r="X731" s="29">
        <v>0</v>
      </c>
      <c r="Y731" s="29">
        <v>6.42</v>
      </c>
      <c r="Z731" s="29">
        <v>3.9787586525479171</v>
      </c>
      <c r="AA731" s="29" t="s">
        <v>1577</v>
      </c>
      <c r="AB731" s="29" t="s">
        <v>1618</v>
      </c>
      <c r="AC731" s="29"/>
      <c r="AD731" s="29" t="s">
        <v>1582</v>
      </c>
      <c r="AE731" s="29" t="s">
        <v>1613</v>
      </c>
      <c r="AF731" s="29"/>
      <c r="AG731" s="29"/>
    </row>
    <row r="732" spans="1:33">
      <c r="A732" s="29" t="s">
        <v>1585</v>
      </c>
      <c r="B732" s="29" t="s">
        <v>1580</v>
      </c>
      <c r="C732" s="29" t="s">
        <v>1581</v>
      </c>
      <c r="D732" s="29" t="s">
        <v>387</v>
      </c>
      <c r="E732" s="29" t="s">
        <v>15</v>
      </c>
      <c r="F732" s="29" t="s">
        <v>1011</v>
      </c>
      <c r="G732" s="29" t="s">
        <v>449</v>
      </c>
      <c r="H732" s="29" t="s">
        <v>450</v>
      </c>
      <c r="I732" s="116" t="s">
        <v>333</v>
      </c>
      <c r="J732" s="29" t="s">
        <v>24</v>
      </c>
      <c r="K732" s="29">
        <v>0.69</v>
      </c>
      <c r="L732" s="116"/>
      <c r="M732" s="29" t="s">
        <v>363</v>
      </c>
      <c r="N732" s="29">
        <v>51.9</v>
      </c>
      <c r="O732" s="115">
        <v>70</v>
      </c>
      <c r="P732" s="29">
        <v>68.907960517090885</v>
      </c>
      <c r="Q732" s="29">
        <v>0.74142857142857144</v>
      </c>
      <c r="R732" s="29">
        <v>100</v>
      </c>
      <c r="S732" s="29">
        <v>0.85</v>
      </c>
      <c r="T732" s="29">
        <v>10</v>
      </c>
      <c r="U732" s="29">
        <v>0</v>
      </c>
      <c r="V732" s="29">
        <v>0</v>
      </c>
      <c r="W732" s="29">
        <v>0</v>
      </c>
      <c r="X732" s="29">
        <v>0</v>
      </c>
      <c r="Y732" s="29">
        <v>5.19</v>
      </c>
      <c r="Z732" s="29">
        <v>3.2164731163121005</v>
      </c>
      <c r="AA732" s="29" t="s">
        <v>1577</v>
      </c>
      <c r="AB732" s="29" t="s">
        <v>1619</v>
      </c>
      <c r="AC732" s="29"/>
      <c r="AD732" s="29" t="s">
        <v>1582</v>
      </c>
      <c r="AE732" s="29" t="s">
        <v>1613</v>
      </c>
      <c r="AF732" s="29"/>
      <c r="AG732" s="29"/>
    </row>
    <row r="733" spans="1:33">
      <c r="A733" s="29" t="s">
        <v>1585</v>
      </c>
      <c r="B733" s="29" t="s">
        <v>1580</v>
      </c>
      <c r="C733" s="29" t="s">
        <v>1581</v>
      </c>
      <c r="D733" s="29" t="s">
        <v>387</v>
      </c>
      <c r="E733" s="29" t="s">
        <v>311</v>
      </c>
      <c r="F733" s="29" t="s">
        <v>1009</v>
      </c>
      <c r="G733" s="29" t="s">
        <v>453</v>
      </c>
      <c r="H733" s="29" t="s">
        <v>454</v>
      </c>
      <c r="I733" s="116" t="s">
        <v>333</v>
      </c>
      <c r="J733" s="29" t="s">
        <v>24</v>
      </c>
      <c r="K733" s="29">
        <v>0.69</v>
      </c>
      <c r="L733" s="116"/>
      <c r="M733" s="29" t="s">
        <v>311</v>
      </c>
      <c r="N733" s="29">
        <v>51.9</v>
      </c>
      <c r="O733" s="115">
        <v>70</v>
      </c>
      <c r="P733" s="29">
        <v>68.907960517090885</v>
      </c>
      <c r="Q733" s="29">
        <v>0.74142857142857144</v>
      </c>
      <c r="R733" s="29">
        <v>100</v>
      </c>
      <c r="S733" s="29">
        <v>0.85</v>
      </c>
      <c r="T733" s="29">
        <v>80</v>
      </c>
      <c r="U733" s="29">
        <v>41.52</v>
      </c>
      <c r="V733" s="29">
        <v>25.731784930496804</v>
      </c>
      <c r="W733" s="29">
        <v>0</v>
      </c>
      <c r="X733" s="29">
        <v>0</v>
      </c>
      <c r="Y733" s="29">
        <v>0</v>
      </c>
      <c r="Z733" s="29">
        <v>0</v>
      </c>
      <c r="AA733" s="29" t="s">
        <v>1577</v>
      </c>
      <c r="AB733" s="29" t="s">
        <v>1619</v>
      </c>
      <c r="AC733" s="29"/>
      <c r="AD733" s="29" t="s">
        <v>1582</v>
      </c>
      <c r="AE733" s="29" t="s">
        <v>1613</v>
      </c>
      <c r="AF733" s="29"/>
      <c r="AG733" s="29"/>
    </row>
    <row r="734" spans="1:33">
      <c r="A734" s="29" t="s">
        <v>1585</v>
      </c>
      <c r="B734" s="29" t="s">
        <v>1580</v>
      </c>
      <c r="C734" s="29" t="s">
        <v>1581</v>
      </c>
      <c r="D734" s="29" t="s">
        <v>387</v>
      </c>
      <c r="E734" s="29" t="s">
        <v>321</v>
      </c>
      <c r="F734" s="29" t="s">
        <v>1012</v>
      </c>
      <c r="G734" s="29" t="s">
        <v>456</v>
      </c>
      <c r="H734" s="29" t="s">
        <v>457</v>
      </c>
      <c r="I734" s="116" t="s">
        <v>333</v>
      </c>
      <c r="J734" s="29" t="s">
        <v>24</v>
      </c>
      <c r="K734" s="29">
        <v>0.69</v>
      </c>
      <c r="L734" s="116"/>
      <c r="M734" s="29" t="s">
        <v>363</v>
      </c>
      <c r="N734" s="29">
        <v>51.9</v>
      </c>
      <c r="O734" s="115">
        <v>70</v>
      </c>
      <c r="P734" s="29">
        <v>68.907960517090885</v>
      </c>
      <c r="Q734" s="29">
        <v>0.74142857142857144</v>
      </c>
      <c r="R734" s="29">
        <v>100</v>
      </c>
      <c r="S734" s="29">
        <v>0.85</v>
      </c>
      <c r="T734" s="29">
        <v>10</v>
      </c>
      <c r="U734" s="29">
        <v>0</v>
      </c>
      <c r="V734" s="29">
        <v>0</v>
      </c>
      <c r="W734" s="29">
        <v>0</v>
      </c>
      <c r="X734" s="29">
        <v>0</v>
      </c>
      <c r="Y734" s="29">
        <v>5.19</v>
      </c>
      <c r="Z734" s="29">
        <v>3.2164731163121005</v>
      </c>
      <c r="AA734" s="29" t="s">
        <v>1577</v>
      </c>
      <c r="AB734" s="29" t="s">
        <v>1619</v>
      </c>
      <c r="AC734" s="29"/>
      <c r="AD734" s="29" t="s">
        <v>1582</v>
      </c>
      <c r="AE734" s="29" t="s">
        <v>1613</v>
      </c>
      <c r="AF734" s="29"/>
      <c r="AG734" s="29"/>
    </row>
    <row r="735" spans="1:33">
      <c r="A735" s="29" t="s">
        <v>1615</v>
      </c>
      <c r="B735" s="29" t="s">
        <v>1580</v>
      </c>
      <c r="C735" s="29" t="s">
        <v>1581</v>
      </c>
      <c r="D735" s="29" t="s">
        <v>387</v>
      </c>
      <c r="E735" s="29" t="s">
        <v>15</v>
      </c>
      <c r="F735" s="29" t="s">
        <v>1011</v>
      </c>
      <c r="G735" s="29" t="s">
        <v>459</v>
      </c>
      <c r="H735" s="29" t="s">
        <v>460</v>
      </c>
      <c r="I735" s="116" t="s">
        <v>333</v>
      </c>
      <c r="J735" s="29" t="s">
        <v>24</v>
      </c>
      <c r="K735" s="29">
        <v>0.69</v>
      </c>
      <c r="L735" s="116"/>
      <c r="M735" s="29" t="s">
        <v>363</v>
      </c>
      <c r="N735" s="29">
        <v>94.79</v>
      </c>
      <c r="O735" s="115">
        <v>130</v>
      </c>
      <c r="P735" s="29">
        <v>127.97192667459736</v>
      </c>
      <c r="Q735" s="29">
        <v>0.72915384615384615</v>
      </c>
      <c r="R735" s="29">
        <v>100</v>
      </c>
      <c r="S735" s="29">
        <v>0.85</v>
      </c>
      <c r="T735" s="29">
        <v>10</v>
      </c>
      <c r="U735" s="29">
        <v>0</v>
      </c>
      <c r="V735" s="29">
        <v>0</v>
      </c>
      <c r="W735" s="29">
        <v>0</v>
      </c>
      <c r="X735" s="29">
        <v>0</v>
      </c>
      <c r="Y735" s="29">
        <v>9.479000000000001</v>
      </c>
      <c r="Z735" s="29">
        <v>5.8745565837230069</v>
      </c>
      <c r="AA735" s="29" t="s">
        <v>1577</v>
      </c>
      <c r="AB735" s="29" t="s">
        <v>1620</v>
      </c>
      <c r="AC735" s="29"/>
      <c r="AD735" s="29" t="s">
        <v>1582</v>
      </c>
      <c r="AE735" s="29" t="s">
        <v>1613</v>
      </c>
      <c r="AF735" s="29"/>
      <c r="AG735" s="29"/>
    </row>
    <row r="736" spans="1:33">
      <c r="A736" s="29" t="s">
        <v>1615</v>
      </c>
      <c r="B736" s="29" t="s">
        <v>1580</v>
      </c>
      <c r="C736" s="29" t="s">
        <v>1581</v>
      </c>
      <c r="D736" s="29" t="s">
        <v>387</v>
      </c>
      <c r="E736" s="29" t="s">
        <v>311</v>
      </c>
      <c r="F736" s="29" t="s">
        <v>1009</v>
      </c>
      <c r="G736" s="29" t="s">
        <v>463</v>
      </c>
      <c r="H736" s="29" t="s">
        <v>464</v>
      </c>
      <c r="I736" s="116" t="s">
        <v>333</v>
      </c>
      <c r="J736" s="29" t="s">
        <v>24</v>
      </c>
      <c r="K736" s="29">
        <v>0.69</v>
      </c>
      <c r="L736" s="116"/>
      <c r="M736" s="29" t="s">
        <v>311</v>
      </c>
      <c r="N736" s="29">
        <v>94.79</v>
      </c>
      <c r="O736" s="115">
        <v>130</v>
      </c>
      <c r="P736" s="29">
        <v>127.97192667459736</v>
      </c>
      <c r="Q736" s="29">
        <v>0.72915384615384615</v>
      </c>
      <c r="R736" s="29">
        <v>100</v>
      </c>
      <c r="S736" s="29">
        <v>0.85</v>
      </c>
      <c r="T736" s="29">
        <v>100</v>
      </c>
      <c r="U736" s="29">
        <v>94.79</v>
      </c>
      <c r="V736" s="29">
        <v>58.745565837230068</v>
      </c>
      <c r="W736" s="29">
        <v>0</v>
      </c>
      <c r="X736" s="29">
        <v>0</v>
      </c>
      <c r="Y736" s="29">
        <v>0</v>
      </c>
      <c r="Z736" s="29">
        <v>0</v>
      </c>
      <c r="AA736" s="29" t="s">
        <v>1577</v>
      </c>
      <c r="AB736" s="29" t="s">
        <v>1620</v>
      </c>
      <c r="AC736" s="29"/>
      <c r="AD736" s="29" t="s">
        <v>1582</v>
      </c>
      <c r="AE736" s="29" t="s">
        <v>1613</v>
      </c>
      <c r="AF736" s="29"/>
      <c r="AG736" s="29"/>
    </row>
    <row r="737" spans="1:33">
      <c r="A737" s="29" t="s">
        <v>1615</v>
      </c>
      <c r="B737" s="29" t="s">
        <v>1580</v>
      </c>
      <c r="C737" s="29" t="s">
        <v>1581</v>
      </c>
      <c r="D737" s="29" t="s">
        <v>387</v>
      </c>
      <c r="E737" s="29" t="s">
        <v>321</v>
      </c>
      <c r="F737" s="29" t="s">
        <v>1012</v>
      </c>
      <c r="G737" s="29" t="s">
        <v>466</v>
      </c>
      <c r="H737" s="29" t="s">
        <v>467</v>
      </c>
      <c r="I737" s="116" t="s">
        <v>333</v>
      </c>
      <c r="J737" s="29" t="s">
        <v>24</v>
      </c>
      <c r="K737" s="29">
        <v>0.69</v>
      </c>
      <c r="L737" s="116"/>
      <c r="M737" s="29" t="s">
        <v>363</v>
      </c>
      <c r="N737" s="29">
        <v>94.79</v>
      </c>
      <c r="O737" s="115">
        <v>130</v>
      </c>
      <c r="P737" s="29">
        <v>127.97192667459736</v>
      </c>
      <c r="Q737" s="29">
        <v>0.72915384615384615</v>
      </c>
      <c r="R737" s="29">
        <v>100</v>
      </c>
      <c r="S737" s="29">
        <v>0.85</v>
      </c>
      <c r="T737" s="29">
        <v>10</v>
      </c>
      <c r="U737" s="29">
        <v>0</v>
      </c>
      <c r="V737" s="29">
        <v>0</v>
      </c>
      <c r="W737" s="29">
        <v>0</v>
      </c>
      <c r="X737" s="29">
        <v>0</v>
      </c>
      <c r="Y737" s="29">
        <v>9.479000000000001</v>
      </c>
      <c r="Z737" s="29">
        <v>5.8745565837230069</v>
      </c>
      <c r="AA737" s="29" t="s">
        <v>1577</v>
      </c>
      <c r="AB737" s="29" t="s">
        <v>1620</v>
      </c>
      <c r="AC737" s="29"/>
      <c r="AD737" s="29" t="s">
        <v>1582</v>
      </c>
      <c r="AE737" s="29" t="s">
        <v>1613</v>
      </c>
      <c r="AF737" s="29"/>
      <c r="AG737" s="29"/>
    </row>
    <row r="738" spans="1:33">
      <c r="A738" s="29" t="s">
        <v>1585</v>
      </c>
      <c r="B738" s="29" t="s">
        <v>1580</v>
      </c>
      <c r="C738" s="29" t="s">
        <v>1581</v>
      </c>
      <c r="D738" s="29" t="s">
        <v>387</v>
      </c>
      <c r="E738" s="29" t="s">
        <v>15</v>
      </c>
      <c r="F738" s="29" t="s">
        <v>1011</v>
      </c>
      <c r="G738" s="29" t="s">
        <v>477</v>
      </c>
      <c r="H738" s="29" t="s">
        <v>478</v>
      </c>
      <c r="I738" s="116" t="s">
        <v>333</v>
      </c>
      <c r="J738" s="29" t="s">
        <v>24</v>
      </c>
      <c r="K738" s="29">
        <v>0.69</v>
      </c>
      <c r="L738" s="116"/>
      <c r="M738" s="29" t="s">
        <v>363</v>
      </c>
      <c r="N738" s="29">
        <v>9.98</v>
      </c>
      <c r="O738" s="115">
        <v>15</v>
      </c>
      <c r="P738" s="29">
        <v>14.765991539376618</v>
      </c>
      <c r="Q738" s="29">
        <v>0.66533333333333333</v>
      </c>
      <c r="R738" s="29">
        <v>100</v>
      </c>
      <c r="S738" s="29">
        <v>0.85</v>
      </c>
      <c r="T738" s="29">
        <v>10</v>
      </c>
      <c r="U738" s="29">
        <v>0</v>
      </c>
      <c r="V738" s="29">
        <v>0</v>
      </c>
      <c r="W738" s="29">
        <v>0</v>
      </c>
      <c r="X738" s="29">
        <v>0</v>
      </c>
      <c r="Y738" s="29">
        <v>0.998</v>
      </c>
      <c r="Z738" s="29">
        <v>0.61850484972629616</v>
      </c>
      <c r="AA738" s="29" t="s">
        <v>1577</v>
      </c>
      <c r="AB738" s="29" t="s">
        <v>1621</v>
      </c>
      <c r="AC738" s="29"/>
      <c r="AD738" s="29" t="s">
        <v>1582</v>
      </c>
      <c r="AE738" s="29" t="s">
        <v>1613</v>
      </c>
      <c r="AF738" s="29"/>
      <c r="AG738" s="29"/>
    </row>
    <row r="739" spans="1:33">
      <c r="A739" s="29" t="s">
        <v>1585</v>
      </c>
      <c r="B739" s="29" t="s">
        <v>1580</v>
      </c>
      <c r="C739" s="29" t="s">
        <v>1581</v>
      </c>
      <c r="D739" s="29" t="s">
        <v>387</v>
      </c>
      <c r="E739" s="29" t="s">
        <v>311</v>
      </c>
      <c r="F739" s="29" t="s">
        <v>1009</v>
      </c>
      <c r="G739" s="29" t="s">
        <v>480</v>
      </c>
      <c r="H739" s="29" t="s">
        <v>481</v>
      </c>
      <c r="I739" s="116" t="s">
        <v>333</v>
      </c>
      <c r="J739" s="29" t="s">
        <v>24</v>
      </c>
      <c r="K739" s="29">
        <v>0.69</v>
      </c>
      <c r="L739" s="116"/>
      <c r="M739" s="29" t="s">
        <v>311</v>
      </c>
      <c r="N739" s="29">
        <v>9.98</v>
      </c>
      <c r="O739" s="115">
        <v>15</v>
      </c>
      <c r="P739" s="29">
        <v>14.765991539376618</v>
      </c>
      <c r="Q739" s="29">
        <v>0.66533333333333333</v>
      </c>
      <c r="R739" s="29">
        <v>100</v>
      </c>
      <c r="S739" s="29">
        <v>0.85</v>
      </c>
      <c r="T739" s="29">
        <v>80</v>
      </c>
      <c r="U739" s="29">
        <v>7.984</v>
      </c>
      <c r="V739" s="29">
        <v>4.9480387978103693</v>
      </c>
      <c r="W739" s="29">
        <v>0</v>
      </c>
      <c r="X739" s="29">
        <v>0</v>
      </c>
      <c r="Y739" s="29">
        <v>0</v>
      </c>
      <c r="Z739" s="29">
        <v>0</v>
      </c>
      <c r="AA739" s="29" t="s">
        <v>1577</v>
      </c>
      <c r="AB739" s="29" t="s">
        <v>1621</v>
      </c>
      <c r="AC739" s="29"/>
      <c r="AD739" s="29" t="s">
        <v>1582</v>
      </c>
      <c r="AE739" s="29" t="s">
        <v>1613</v>
      </c>
      <c r="AF739" s="29"/>
      <c r="AG739" s="29"/>
    </row>
    <row r="740" spans="1:33">
      <c r="A740" s="29" t="s">
        <v>1585</v>
      </c>
      <c r="B740" s="29" t="s">
        <v>1580</v>
      </c>
      <c r="C740" s="29" t="s">
        <v>1581</v>
      </c>
      <c r="D740" s="29" t="s">
        <v>387</v>
      </c>
      <c r="E740" s="29" t="s">
        <v>321</v>
      </c>
      <c r="F740" s="29" t="s">
        <v>1012</v>
      </c>
      <c r="G740" s="29" t="s">
        <v>483</v>
      </c>
      <c r="H740" s="29" t="s">
        <v>484</v>
      </c>
      <c r="I740" s="116" t="s">
        <v>333</v>
      </c>
      <c r="J740" s="29" t="s">
        <v>24</v>
      </c>
      <c r="K740" s="29">
        <v>0.69</v>
      </c>
      <c r="L740" s="116"/>
      <c r="M740" s="29" t="s">
        <v>363</v>
      </c>
      <c r="N740" s="29">
        <v>9.98</v>
      </c>
      <c r="O740" s="115">
        <v>15</v>
      </c>
      <c r="P740" s="29">
        <v>14.765991539376618</v>
      </c>
      <c r="Q740" s="29">
        <v>0.66533333333333333</v>
      </c>
      <c r="R740" s="29">
        <v>100</v>
      </c>
      <c r="S740" s="29">
        <v>0.85</v>
      </c>
      <c r="T740" s="29">
        <v>10</v>
      </c>
      <c r="U740" s="29">
        <v>0</v>
      </c>
      <c r="V740" s="29">
        <v>0</v>
      </c>
      <c r="W740" s="29">
        <v>0</v>
      </c>
      <c r="X740" s="29">
        <v>0</v>
      </c>
      <c r="Y740" s="29">
        <v>0.998</v>
      </c>
      <c r="Z740" s="29">
        <v>0.61850484972629616</v>
      </c>
      <c r="AA740" s="29" t="s">
        <v>1577</v>
      </c>
      <c r="AB740" s="29" t="s">
        <v>1621</v>
      </c>
      <c r="AC740" s="29"/>
      <c r="AD740" s="29" t="s">
        <v>1582</v>
      </c>
      <c r="AE740" s="29" t="s">
        <v>1613</v>
      </c>
      <c r="AF740" s="29"/>
      <c r="AG740" s="29"/>
    </row>
    <row r="741" spans="1:33">
      <c r="A741" s="29" t="s">
        <v>1585</v>
      </c>
      <c r="B741" s="29" t="s">
        <v>1580</v>
      </c>
      <c r="C741" s="29" t="s">
        <v>1581</v>
      </c>
      <c r="D741" s="29" t="s">
        <v>387</v>
      </c>
      <c r="E741" s="29" t="s">
        <v>15</v>
      </c>
      <c r="F741" s="29" t="s">
        <v>1011</v>
      </c>
      <c r="G741" s="29" t="s">
        <v>486</v>
      </c>
      <c r="H741" s="29" t="s">
        <v>487</v>
      </c>
      <c r="I741" s="116" t="s">
        <v>333</v>
      </c>
      <c r="J741" s="29" t="s">
        <v>24</v>
      </c>
      <c r="K741" s="29">
        <v>0.69</v>
      </c>
      <c r="L741" s="116"/>
      <c r="M741" s="29" t="s">
        <v>363</v>
      </c>
      <c r="N741" s="29">
        <v>34.979999999999997</v>
      </c>
      <c r="O741" s="115">
        <v>50</v>
      </c>
      <c r="P741" s="29">
        <v>49.219971797922057</v>
      </c>
      <c r="Q741" s="29">
        <v>0.69959999999999989</v>
      </c>
      <c r="R741" s="29">
        <v>100</v>
      </c>
      <c r="S741" s="29">
        <v>0.85</v>
      </c>
      <c r="T741" s="29">
        <v>10</v>
      </c>
      <c r="U741" s="29">
        <v>0</v>
      </c>
      <c r="V741" s="29">
        <v>0</v>
      </c>
      <c r="W741" s="29">
        <v>0</v>
      </c>
      <c r="X741" s="29">
        <v>0</v>
      </c>
      <c r="Y741" s="29">
        <v>3.4979999999999993</v>
      </c>
      <c r="Z741" s="29">
        <v>2.1678656957340516</v>
      </c>
      <c r="AA741" s="29" t="s">
        <v>1577</v>
      </c>
      <c r="AB741" s="29" t="s">
        <v>1622</v>
      </c>
      <c r="AC741" s="29"/>
      <c r="AD741" s="29" t="s">
        <v>1582</v>
      </c>
      <c r="AE741" s="29" t="s">
        <v>1613</v>
      </c>
      <c r="AF741" s="29"/>
      <c r="AG741" s="29"/>
    </row>
    <row r="742" spans="1:33">
      <c r="A742" s="29" t="s">
        <v>1585</v>
      </c>
      <c r="B742" s="29" t="s">
        <v>1580</v>
      </c>
      <c r="C742" s="29" t="s">
        <v>1581</v>
      </c>
      <c r="D742" s="29" t="s">
        <v>387</v>
      </c>
      <c r="E742" s="29" t="s">
        <v>311</v>
      </c>
      <c r="F742" s="29" t="s">
        <v>1009</v>
      </c>
      <c r="G742" s="29" t="s">
        <v>491</v>
      </c>
      <c r="H742" s="29" t="s">
        <v>492</v>
      </c>
      <c r="I742" s="116" t="s">
        <v>333</v>
      </c>
      <c r="J742" s="29" t="s">
        <v>24</v>
      </c>
      <c r="K742" s="29">
        <v>0.69</v>
      </c>
      <c r="L742" s="116"/>
      <c r="M742" s="29" t="s">
        <v>311</v>
      </c>
      <c r="N742" s="29">
        <v>34.979999999999997</v>
      </c>
      <c r="O742" s="115">
        <v>50</v>
      </c>
      <c r="P742" s="29">
        <v>49.219971797922057</v>
      </c>
      <c r="Q742" s="29">
        <v>0.69959999999999989</v>
      </c>
      <c r="R742" s="29">
        <v>100</v>
      </c>
      <c r="S742" s="29">
        <v>0.85</v>
      </c>
      <c r="T742" s="29">
        <v>80</v>
      </c>
      <c r="U742" s="29">
        <v>27.983999999999995</v>
      </c>
      <c r="V742" s="29">
        <v>17.342925565872413</v>
      </c>
      <c r="W742" s="29">
        <v>0</v>
      </c>
      <c r="X742" s="29">
        <v>0</v>
      </c>
      <c r="Y742" s="29">
        <v>0</v>
      </c>
      <c r="Z742" s="29">
        <v>0</v>
      </c>
      <c r="AA742" s="29" t="s">
        <v>1577</v>
      </c>
      <c r="AB742" s="29" t="s">
        <v>1622</v>
      </c>
      <c r="AC742" s="29"/>
      <c r="AD742" s="29" t="s">
        <v>1582</v>
      </c>
      <c r="AE742" s="29" t="s">
        <v>1613</v>
      </c>
      <c r="AF742" s="29"/>
      <c r="AG742" s="29"/>
    </row>
    <row r="743" spans="1:33">
      <c r="A743" s="29" t="s">
        <v>1585</v>
      </c>
      <c r="B743" s="29" t="s">
        <v>1580</v>
      </c>
      <c r="C743" s="29" t="s">
        <v>1581</v>
      </c>
      <c r="D743" s="29" t="s">
        <v>387</v>
      </c>
      <c r="E743" s="29" t="s">
        <v>321</v>
      </c>
      <c r="F743" s="29" t="s">
        <v>1012</v>
      </c>
      <c r="G743" s="29" t="s">
        <v>494</v>
      </c>
      <c r="H743" s="29" t="s">
        <v>495</v>
      </c>
      <c r="I743" s="116" t="s">
        <v>333</v>
      </c>
      <c r="J743" s="29" t="s">
        <v>24</v>
      </c>
      <c r="K743" s="29">
        <v>0.69</v>
      </c>
      <c r="L743" s="116"/>
      <c r="M743" s="29" t="s">
        <v>363</v>
      </c>
      <c r="N743" s="29">
        <v>34.979999999999997</v>
      </c>
      <c r="O743" s="115">
        <v>50</v>
      </c>
      <c r="P743" s="29">
        <v>49.219971797922057</v>
      </c>
      <c r="Q743" s="29">
        <v>0.69959999999999989</v>
      </c>
      <c r="R743" s="29">
        <v>100</v>
      </c>
      <c r="S743" s="29">
        <v>0.85</v>
      </c>
      <c r="T743" s="29">
        <v>10</v>
      </c>
      <c r="U743" s="29">
        <v>0</v>
      </c>
      <c r="V743" s="29">
        <v>0</v>
      </c>
      <c r="W743" s="29">
        <v>0</v>
      </c>
      <c r="X743" s="29">
        <v>0</v>
      </c>
      <c r="Y743" s="29">
        <v>3.4979999999999993</v>
      </c>
      <c r="Z743" s="29">
        <v>2.1678656957340516</v>
      </c>
      <c r="AA743" s="29" t="s">
        <v>1577</v>
      </c>
      <c r="AB743" s="29" t="s">
        <v>1622</v>
      </c>
      <c r="AC743" s="29"/>
      <c r="AD743" s="29" t="s">
        <v>1582</v>
      </c>
      <c r="AE743" s="29" t="s">
        <v>1613</v>
      </c>
      <c r="AF743" s="29"/>
      <c r="AG743" s="29"/>
    </row>
    <row r="744" spans="1:33">
      <c r="A744" s="29" t="s">
        <v>1608</v>
      </c>
      <c r="B744" s="29" t="s">
        <v>1580</v>
      </c>
      <c r="C744" s="29" t="s">
        <v>1581</v>
      </c>
      <c r="D744" s="29" t="s">
        <v>387</v>
      </c>
      <c r="E744" s="29" t="s">
        <v>311</v>
      </c>
      <c r="F744" s="29" t="s">
        <v>1009</v>
      </c>
      <c r="G744" s="29" t="s">
        <v>1013</v>
      </c>
      <c r="H744" s="29" t="s">
        <v>1014</v>
      </c>
      <c r="I744" s="116" t="s">
        <v>333</v>
      </c>
      <c r="J744" s="29" t="s">
        <v>1015</v>
      </c>
      <c r="K744" s="29">
        <v>0.69</v>
      </c>
      <c r="L744" s="116"/>
      <c r="M744" s="29" t="s">
        <v>311</v>
      </c>
      <c r="N744" s="29"/>
      <c r="O744" s="115"/>
      <c r="P744" s="29"/>
      <c r="Q744" s="29"/>
      <c r="R744" s="29"/>
      <c r="S744" s="29"/>
      <c r="T744" s="29"/>
      <c r="U744" s="29">
        <v>180.99000000000004</v>
      </c>
      <c r="V744" s="29">
        <v>59.48853619632245</v>
      </c>
      <c r="W744" s="29">
        <v>0</v>
      </c>
      <c r="X744" s="29">
        <v>0</v>
      </c>
      <c r="Y744" s="29">
        <v>0</v>
      </c>
      <c r="Z744" s="29">
        <v>0</v>
      </c>
      <c r="AA744" s="29"/>
      <c r="AB744" s="29"/>
      <c r="AC744" s="29"/>
      <c r="AD744" s="29" t="s">
        <v>1623</v>
      </c>
      <c r="AE744" s="29" t="s">
        <v>1624</v>
      </c>
      <c r="AF744" s="29"/>
      <c r="AG744" s="29"/>
    </row>
    <row r="745" spans="1:33">
      <c r="A745" s="29" t="s">
        <v>1608</v>
      </c>
      <c r="B745" s="29" t="s">
        <v>1580</v>
      </c>
      <c r="C745" s="29" t="s">
        <v>1581</v>
      </c>
      <c r="D745" s="29" t="s">
        <v>387</v>
      </c>
      <c r="E745" s="29" t="s">
        <v>15</v>
      </c>
      <c r="F745" s="29" t="s">
        <v>1011</v>
      </c>
      <c r="G745" s="29" t="s">
        <v>1016</v>
      </c>
      <c r="H745" s="29" t="s">
        <v>1017</v>
      </c>
      <c r="I745" s="116" t="s">
        <v>333</v>
      </c>
      <c r="J745" s="29" t="s">
        <v>1015</v>
      </c>
      <c r="K745" s="29">
        <v>0.69</v>
      </c>
      <c r="L745" s="116"/>
      <c r="M745" s="29" t="s">
        <v>363</v>
      </c>
      <c r="N745" s="29"/>
      <c r="O745" s="115"/>
      <c r="P745" s="29"/>
      <c r="Q745" s="29"/>
      <c r="R745" s="29"/>
      <c r="S745" s="29"/>
      <c r="T745" s="29"/>
      <c r="U745" s="29">
        <v>96.546000000000021</v>
      </c>
      <c r="V745" s="29">
        <v>31.733135618598517</v>
      </c>
      <c r="W745" s="29">
        <v>16.8156</v>
      </c>
      <c r="X745" s="29">
        <v>5.5270204390456934</v>
      </c>
      <c r="Y745" s="29">
        <v>27.720300000000002</v>
      </c>
      <c r="Z745" s="29">
        <v>9.1112220007896436</v>
      </c>
      <c r="AA745" s="29"/>
      <c r="AB745" s="29"/>
      <c r="AC745" s="29"/>
      <c r="AD745" s="29" t="s">
        <v>1623</v>
      </c>
      <c r="AE745" s="29" t="s">
        <v>1624</v>
      </c>
      <c r="AF745" s="29"/>
      <c r="AG745" s="29"/>
    </row>
    <row r="746" spans="1:33">
      <c r="A746" s="29" t="s">
        <v>1608</v>
      </c>
      <c r="B746" s="29" t="s">
        <v>1580</v>
      </c>
      <c r="C746" s="29" t="s">
        <v>1581</v>
      </c>
      <c r="D746" s="29" t="s">
        <v>387</v>
      </c>
      <c r="E746" s="29" t="s">
        <v>311</v>
      </c>
      <c r="F746" s="29" t="s">
        <v>1009</v>
      </c>
      <c r="G746" s="29" t="s">
        <v>1018</v>
      </c>
      <c r="H746" s="29" t="s">
        <v>1019</v>
      </c>
      <c r="I746" s="116" t="s">
        <v>333</v>
      </c>
      <c r="J746" s="29" t="s">
        <v>1015</v>
      </c>
      <c r="K746" s="29">
        <v>0.69</v>
      </c>
      <c r="L746" s="116"/>
      <c r="M746" s="29" t="s">
        <v>311</v>
      </c>
      <c r="N746" s="29"/>
      <c r="O746" s="115"/>
      <c r="P746" s="29"/>
      <c r="Q746" s="29"/>
      <c r="R746" s="29"/>
      <c r="S746" s="29"/>
      <c r="T746" s="29"/>
      <c r="U746" s="29">
        <v>79.39</v>
      </c>
      <c r="V746" s="29">
        <v>26.094231110149948</v>
      </c>
      <c r="W746" s="29">
        <v>0</v>
      </c>
      <c r="X746" s="29">
        <v>0</v>
      </c>
      <c r="Y746" s="29">
        <v>0</v>
      </c>
      <c r="Z746" s="29">
        <v>0</v>
      </c>
      <c r="AA746" s="29"/>
      <c r="AB746" s="29"/>
      <c r="AC746" s="29"/>
      <c r="AD746" s="29" t="s">
        <v>1582</v>
      </c>
      <c r="AE746" s="29" t="s">
        <v>1624</v>
      </c>
      <c r="AF746" s="29"/>
      <c r="AG746" s="29"/>
    </row>
    <row r="747" spans="1:33">
      <c r="A747" s="29" t="s">
        <v>1608</v>
      </c>
      <c r="B747" s="29" t="s">
        <v>1580</v>
      </c>
      <c r="C747" s="29" t="s">
        <v>1581</v>
      </c>
      <c r="D747" s="29" t="s">
        <v>387</v>
      </c>
      <c r="E747" s="29" t="s">
        <v>15</v>
      </c>
      <c r="F747" s="29" t="s">
        <v>1011</v>
      </c>
      <c r="G747" s="29" t="s">
        <v>1020</v>
      </c>
      <c r="H747" s="29" t="s">
        <v>1021</v>
      </c>
      <c r="I747" s="116" t="s">
        <v>333</v>
      </c>
      <c r="J747" s="29" t="s">
        <v>1015</v>
      </c>
      <c r="K747" s="29">
        <v>0.69</v>
      </c>
      <c r="L747" s="116"/>
      <c r="M747" s="29" t="s">
        <v>363</v>
      </c>
      <c r="N747" s="29"/>
      <c r="O747" s="115"/>
      <c r="P747" s="29"/>
      <c r="Q747" s="29"/>
      <c r="R747" s="29"/>
      <c r="S747" s="29"/>
      <c r="T747" s="29"/>
      <c r="U747" s="29">
        <v>161.32700000000006</v>
      </c>
      <c r="V747" s="29">
        <v>53.025620636190482</v>
      </c>
      <c r="W747" s="29">
        <v>2.1978</v>
      </c>
      <c r="X747" s="29">
        <v>0.72238192636210552</v>
      </c>
      <c r="Y747" s="29">
        <v>12.012900000000002</v>
      </c>
      <c r="Z747" s="29">
        <v>3.9484492871031667</v>
      </c>
      <c r="AA747" s="29"/>
      <c r="AB747" s="29"/>
      <c r="AC747" s="29"/>
      <c r="AD747" s="29" t="s">
        <v>1582</v>
      </c>
      <c r="AE747" s="29" t="s">
        <v>1624</v>
      </c>
      <c r="AF747" s="29"/>
      <c r="AG747" s="29"/>
    </row>
    <row r="748" spans="1:33">
      <c r="A748" s="29" t="s">
        <v>1608</v>
      </c>
      <c r="B748" s="29" t="s">
        <v>1580</v>
      </c>
      <c r="C748" s="29" t="s">
        <v>1596</v>
      </c>
      <c r="D748" s="29" t="s">
        <v>387</v>
      </c>
      <c r="E748" s="29" t="s">
        <v>311</v>
      </c>
      <c r="F748" s="29" t="s">
        <v>1009</v>
      </c>
      <c r="G748" s="29" t="s">
        <v>1022</v>
      </c>
      <c r="H748" s="29" t="s">
        <v>1023</v>
      </c>
      <c r="I748" s="116" t="s">
        <v>333</v>
      </c>
      <c r="J748" s="29" t="s">
        <v>1015</v>
      </c>
      <c r="K748" s="29">
        <v>0.69</v>
      </c>
      <c r="L748" s="116"/>
      <c r="M748" s="29" t="s">
        <v>311</v>
      </c>
      <c r="N748" s="29"/>
      <c r="O748" s="115"/>
      <c r="P748" s="29"/>
      <c r="Q748" s="29"/>
      <c r="R748" s="29"/>
      <c r="S748" s="29"/>
      <c r="T748" s="29"/>
      <c r="U748" s="29">
        <v>84.16</v>
      </c>
      <c r="V748" s="29">
        <v>27.662054291853128</v>
      </c>
      <c r="W748" s="29">
        <v>0</v>
      </c>
      <c r="X748" s="29">
        <v>0</v>
      </c>
      <c r="Y748" s="29">
        <v>0</v>
      </c>
      <c r="Z748" s="29">
        <v>0</v>
      </c>
      <c r="AA748" s="29"/>
      <c r="AB748" s="29"/>
      <c r="AC748" s="29"/>
      <c r="AD748" s="29" t="s">
        <v>1625</v>
      </c>
      <c r="AE748" s="29" t="s">
        <v>1624</v>
      </c>
      <c r="AF748" s="29"/>
      <c r="AG748" s="29"/>
    </row>
    <row r="749" spans="1:33">
      <c r="A749" s="29" t="s">
        <v>1608</v>
      </c>
      <c r="B749" s="29" t="s">
        <v>1580</v>
      </c>
      <c r="C749" s="29" t="s">
        <v>1596</v>
      </c>
      <c r="D749" s="29" t="s">
        <v>387</v>
      </c>
      <c r="E749" s="29" t="s">
        <v>15</v>
      </c>
      <c r="F749" s="29" t="s">
        <v>1011</v>
      </c>
      <c r="G749" s="29" t="s">
        <v>1024</v>
      </c>
      <c r="H749" s="29" t="s">
        <v>1025</v>
      </c>
      <c r="I749" s="116" t="s">
        <v>333</v>
      </c>
      <c r="J749" s="29" t="s">
        <v>1015</v>
      </c>
      <c r="K749" s="29">
        <v>0.69</v>
      </c>
      <c r="L749" s="116"/>
      <c r="M749" s="29" t="s">
        <v>363</v>
      </c>
      <c r="N749" s="29"/>
      <c r="O749" s="115"/>
      <c r="P749" s="29"/>
      <c r="Q749" s="29"/>
      <c r="R749" s="29"/>
      <c r="S749" s="29"/>
      <c r="T749" s="29"/>
      <c r="U749" s="29">
        <v>50.711000000000013</v>
      </c>
      <c r="V749" s="29">
        <v>16.667899657725332</v>
      </c>
      <c r="W749" s="29">
        <v>4.2470999999999997</v>
      </c>
      <c r="X749" s="29">
        <v>1.3959542631051498</v>
      </c>
      <c r="Y749" s="29">
        <v>13.487100000000003</v>
      </c>
      <c r="Z749" s="29">
        <v>4.4329953949578469</v>
      </c>
      <c r="AA749" s="29"/>
      <c r="AB749" s="29"/>
      <c r="AC749" s="29"/>
      <c r="AD749" s="29" t="s">
        <v>1625</v>
      </c>
      <c r="AE749" s="29" t="s">
        <v>1624</v>
      </c>
      <c r="AF749" s="29"/>
      <c r="AG749" s="29"/>
    </row>
    <row r="750" spans="1:33">
      <c r="A750" s="29" t="s">
        <v>1608</v>
      </c>
      <c r="B750" s="29" t="s">
        <v>1580</v>
      </c>
      <c r="C750" s="29" t="s">
        <v>317</v>
      </c>
      <c r="D750" s="29" t="s">
        <v>387</v>
      </c>
      <c r="E750" s="29" t="s">
        <v>311</v>
      </c>
      <c r="F750" s="29" t="s">
        <v>1009</v>
      </c>
      <c r="G750" s="29" t="s">
        <v>1026</v>
      </c>
      <c r="H750" s="29" t="s">
        <v>1027</v>
      </c>
      <c r="I750" s="116" t="s">
        <v>333</v>
      </c>
      <c r="J750" s="29" t="s">
        <v>1015</v>
      </c>
      <c r="K750" s="29">
        <v>0.69</v>
      </c>
      <c r="L750" s="116"/>
      <c r="M750" s="29" t="s">
        <v>311</v>
      </c>
      <c r="N750" s="29"/>
      <c r="O750" s="115"/>
      <c r="P750" s="29"/>
      <c r="Q750" s="29"/>
      <c r="R750" s="29"/>
      <c r="S750" s="29"/>
      <c r="T750" s="29"/>
      <c r="U750" s="29">
        <v>71.37</v>
      </c>
      <c r="V750" s="29">
        <v>23.45818458661547</v>
      </c>
      <c r="W750" s="29">
        <v>0</v>
      </c>
      <c r="X750" s="29">
        <v>0</v>
      </c>
      <c r="Y750" s="29">
        <v>0</v>
      </c>
      <c r="Z750" s="29">
        <v>0</v>
      </c>
      <c r="AA750" s="29"/>
      <c r="AB750" s="29"/>
      <c r="AC750" s="29"/>
      <c r="AD750" s="29" t="s">
        <v>1626</v>
      </c>
      <c r="AE750" s="29" t="s">
        <v>1624</v>
      </c>
      <c r="AF750" s="29"/>
      <c r="AG750" s="29"/>
    </row>
    <row r="751" spans="1:33">
      <c r="A751" s="29" t="s">
        <v>1608</v>
      </c>
      <c r="B751" s="29" t="s">
        <v>1580</v>
      </c>
      <c r="C751" s="29" t="s">
        <v>317</v>
      </c>
      <c r="D751" s="29" t="s">
        <v>387</v>
      </c>
      <c r="E751" s="29" t="s">
        <v>15</v>
      </c>
      <c r="F751" s="29" t="s">
        <v>1011</v>
      </c>
      <c r="G751" s="29" t="s">
        <v>1028</v>
      </c>
      <c r="H751" s="29" t="s">
        <v>1029</v>
      </c>
      <c r="I751" s="116" t="s">
        <v>333</v>
      </c>
      <c r="J751" s="29" t="s">
        <v>1015</v>
      </c>
      <c r="K751" s="29">
        <v>0.69</v>
      </c>
      <c r="L751" s="116"/>
      <c r="M751" s="29" t="s">
        <v>363</v>
      </c>
      <c r="N751" s="29"/>
      <c r="O751" s="115"/>
      <c r="P751" s="29"/>
      <c r="Q751" s="29"/>
      <c r="R751" s="29"/>
      <c r="S751" s="29"/>
      <c r="T751" s="29"/>
      <c r="U751" s="29">
        <v>43.730999999999995</v>
      </c>
      <c r="V751" s="29">
        <v>14.373684603576866</v>
      </c>
      <c r="W751" s="29">
        <v>3.0888</v>
      </c>
      <c r="X751" s="29">
        <v>1.0152394640764728</v>
      </c>
      <c r="Y751" s="29">
        <v>11.510099999999998</v>
      </c>
      <c r="Z751" s="29">
        <v>3.7831869190192333</v>
      </c>
      <c r="AA751" s="29"/>
      <c r="AB751" s="29"/>
      <c r="AC751" s="29"/>
      <c r="AD751" s="29" t="s">
        <v>1626</v>
      </c>
      <c r="AE751" s="29" t="s">
        <v>1624</v>
      </c>
      <c r="AF751" s="29"/>
      <c r="AG751" s="29"/>
    </row>
    <row r="752" spans="1:33">
      <c r="A752" s="29" t="s">
        <v>1574</v>
      </c>
      <c r="B752" s="29" t="s">
        <v>1595</v>
      </c>
      <c r="C752" s="29" t="s">
        <v>326</v>
      </c>
      <c r="D752" s="29" t="s">
        <v>387</v>
      </c>
      <c r="E752" s="29" t="s">
        <v>15</v>
      </c>
      <c r="F752" s="29" t="s">
        <v>1011</v>
      </c>
      <c r="G752" s="29" t="s">
        <v>591</v>
      </c>
      <c r="H752" s="29" t="s">
        <v>592</v>
      </c>
      <c r="I752" s="116" t="s">
        <v>310</v>
      </c>
      <c r="J752" s="29" t="s">
        <v>1030</v>
      </c>
      <c r="K752" s="29">
        <v>0.69</v>
      </c>
      <c r="L752" s="116"/>
      <c r="M752" s="29" t="s">
        <v>353</v>
      </c>
      <c r="N752" s="29">
        <v>272</v>
      </c>
      <c r="O752" s="115">
        <v>450</v>
      </c>
      <c r="P752" s="29">
        <v>396.35029921484619</v>
      </c>
      <c r="Q752" s="29">
        <v>0.60444444444444445</v>
      </c>
      <c r="R752" s="29">
        <v>95</v>
      </c>
      <c r="S752" s="29">
        <v>1</v>
      </c>
      <c r="T752" s="29">
        <v>30</v>
      </c>
      <c r="U752" s="29">
        <v>0</v>
      </c>
      <c r="V752" s="29">
        <v>0</v>
      </c>
      <c r="W752" s="29">
        <v>85.89473684210526</v>
      </c>
      <c r="X752" s="29">
        <v>0</v>
      </c>
      <c r="Y752" s="29">
        <v>0</v>
      </c>
      <c r="Z752" s="29">
        <v>0</v>
      </c>
      <c r="AA752" s="29" t="s">
        <v>1589</v>
      </c>
      <c r="AB752" s="29"/>
      <c r="AC752" s="29"/>
      <c r="AD752" s="29"/>
      <c r="AE752" s="29" t="s">
        <v>1627</v>
      </c>
      <c r="AF752" s="29"/>
      <c r="AG752" s="29"/>
    </row>
    <row r="753" spans="1:33">
      <c r="A753" s="29" t="s">
        <v>1574</v>
      </c>
      <c r="B753" s="29" t="s">
        <v>1595</v>
      </c>
      <c r="C753" s="29" t="s">
        <v>326</v>
      </c>
      <c r="D753" s="29" t="s">
        <v>387</v>
      </c>
      <c r="E753" s="29" t="s">
        <v>311</v>
      </c>
      <c r="F753" s="29" t="s">
        <v>1009</v>
      </c>
      <c r="G753" s="29" t="s">
        <v>596</v>
      </c>
      <c r="H753" s="29" t="s">
        <v>597</v>
      </c>
      <c r="I753" s="116" t="s">
        <v>333</v>
      </c>
      <c r="J753" s="29" t="s">
        <v>1030</v>
      </c>
      <c r="K753" s="29">
        <v>0.69</v>
      </c>
      <c r="L753" s="116"/>
      <c r="M753" s="29" t="s">
        <v>353</v>
      </c>
      <c r="N753" s="29">
        <v>272</v>
      </c>
      <c r="O753" s="115">
        <v>450</v>
      </c>
      <c r="P753" s="29">
        <v>396.35029921484619</v>
      </c>
      <c r="Q753" s="29">
        <v>0.60444444444444445</v>
      </c>
      <c r="R753" s="29">
        <v>95</v>
      </c>
      <c r="S753" s="29">
        <v>1</v>
      </c>
      <c r="T753" s="29">
        <v>30</v>
      </c>
      <c r="U753" s="29">
        <v>0</v>
      </c>
      <c r="V753" s="29">
        <v>0</v>
      </c>
      <c r="W753" s="29">
        <v>85.89473684210526</v>
      </c>
      <c r="X753" s="29">
        <v>0</v>
      </c>
      <c r="Y753" s="29">
        <v>0</v>
      </c>
      <c r="Z753" s="29">
        <v>0</v>
      </c>
      <c r="AA753" s="29" t="s">
        <v>1589</v>
      </c>
      <c r="AB753" s="29"/>
      <c r="AC753" s="29"/>
      <c r="AD753" s="29"/>
      <c r="AE753" s="29" t="s">
        <v>1627</v>
      </c>
      <c r="AF753" s="29"/>
      <c r="AG753" s="29"/>
    </row>
    <row r="754" spans="1:33">
      <c r="A754" s="29" t="s">
        <v>1574</v>
      </c>
      <c r="B754" s="29" t="s">
        <v>1595</v>
      </c>
      <c r="C754" s="29" t="s">
        <v>326</v>
      </c>
      <c r="D754" s="29" t="s">
        <v>387</v>
      </c>
      <c r="E754" s="29" t="s">
        <v>311</v>
      </c>
      <c r="F754" s="29" t="s">
        <v>1009</v>
      </c>
      <c r="G754" s="29" t="s">
        <v>619</v>
      </c>
      <c r="H754" s="29" t="s">
        <v>620</v>
      </c>
      <c r="I754" s="116" t="s">
        <v>333</v>
      </c>
      <c r="J754" s="29" t="s">
        <v>1030</v>
      </c>
      <c r="K754" s="29">
        <v>0.69</v>
      </c>
      <c r="L754" s="116"/>
      <c r="M754" s="29" t="s">
        <v>353</v>
      </c>
      <c r="N754" s="29">
        <v>266</v>
      </c>
      <c r="O754" s="115">
        <v>320</v>
      </c>
      <c r="P754" s="29">
        <v>281.84910166389062</v>
      </c>
      <c r="Q754" s="29">
        <v>0.83125000000000004</v>
      </c>
      <c r="R754" s="29">
        <v>95</v>
      </c>
      <c r="S754" s="29">
        <v>1</v>
      </c>
      <c r="T754" s="29">
        <v>30</v>
      </c>
      <c r="U754" s="29">
        <v>0</v>
      </c>
      <c r="V754" s="29">
        <v>0</v>
      </c>
      <c r="W754" s="29">
        <v>84</v>
      </c>
      <c r="X754" s="29">
        <v>0</v>
      </c>
      <c r="Y754" s="29">
        <v>0</v>
      </c>
      <c r="Z754" s="29">
        <v>0</v>
      </c>
      <c r="AA754" s="29" t="s">
        <v>1589</v>
      </c>
      <c r="AB754" s="29"/>
      <c r="AC754" s="29"/>
      <c r="AD754" s="29"/>
      <c r="AE754" s="29" t="s">
        <v>1627</v>
      </c>
      <c r="AF754" s="29"/>
      <c r="AG754" s="29"/>
    </row>
    <row r="755" spans="1:33">
      <c r="A755" s="29" t="s">
        <v>1628</v>
      </c>
      <c r="B755" s="29" t="s">
        <v>1580</v>
      </c>
      <c r="C755" s="29" t="s">
        <v>1629</v>
      </c>
      <c r="D755" s="29" t="s">
        <v>387</v>
      </c>
      <c r="E755" s="29" t="s">
        <v>311</v>
      </c>
      <c r="F755" s="29" t="s">
        <v>1009</v>
      </c>
      <c r="G755" s="29" t="s">
        <v>1031</v>
      </c>
      <c r="H755" s="29" t="s">
        <v>1032</v>
      </c>
      <c r="I755" s="116" t="s">
        <v>333</v>
      </c>
      <c r="J755" s="29" t="s">
        <v>43</v>
      </c>
      <c r="K755" s="29">
        <v>0.69</v>
      </c>
      <c r="L755" s="116"/>
      <c r="M755" s="29" t="s">
        <v>311</v>
      </c>
      <c r="N755" s="29">
        <v>3.55</v>
      </c>
      <c r="O755" s="115">
        <v>5</v>
      </c>
      <c r="P755" s="29">
        <v>4.9219971797922062</v>
      </c>
      <c r="Q755" s="29">
        <v>0.71</v>
      </c>
      <c r="R755" s="29">
        <v>100</v>
      </c>
      <c r="S755" s="29">
        <v>0.85</v>
      </c>
      <c r="T755" s="29">
        <v>100</v>
      </c>
      <c r="U755" s="29">
        <v>3.55</v>
      </c>
      <c r="V755" s="29">
        <v>2.200092401331013</v>
      </c>
      <c r="W755" s="29">
        <v>0</v>
      </c>
      <c r="X755" s="29">
        <v>0</v>
      </c>
      <c r="Y755" s="29">
        <v>0</v>
      </c>
      <c r="Z755" s="29">
        <v>0</v>
      </c>
      <c r="AA755" s="29"/>
      <c r="AB755" s="29"/>
      <c r="AC755" s="29"/>
      <c r="AD755" s="29" t="s">
        <v>1630</v>
      </c>
      <c r="AE755" s="29" t="s">
        <v>1631</v>
      </c>
      <c r="AF755" s="29"/>
      <c r="AG755" s="29"/>
    </row>
    <row r="756" spans="1:33">
      <c r="A756" s="29" t="s">
        <v>1628</v>
      </c>
      <c r="B756" s="29" t="s">
        <v>1580</v>
      </c>
      <c r="C756" s="29" t="s">
        <v>1629</v>
      </c>
      <c r="D756" s="29" t="s">
        <v>387</v>
      </c>
      <c r="E756" s="29" t="s">
        <v>311</v>
      </c>
      <c r="F756" s="29" t="s">
        <v>1009</v>
      </c>
      <c r="G756" s="29" t="s">
        <v>1033</v>
      </c>
      <c r="H756" s="29" t="s">
        <v>1034</v>
      </c>
      <c r="I756" s="116" t="s">
        <v>333</v>
      </c>
      <c r="J756" s="29" t="s">
        <v>43</v>
      </c>
      <c r="K756" s="29">
        <v>0.69</v>
      </c>
      <c r="L756" s="116"/>
      <c r="M756" s="29" t="s">
        <v>311</v>
      </c>
      <c r="N756" s="29">
        <v>3.55</v>
      </c>
      <c r="O756" s="115">
        <v>5</v>
      </c>
      <c r="P756" s="29">
        <v>4.9219971797922062</v>
      </c>
      <c r="Q756" s="29">
        <v>0.71</v>
      </c>
      <c r="R756" s="29">
        <v>100</v>
      </c>
      <c r="S756" s="29">
        <v>0.85</v>
      </c>
      <c r="T756" s="29">
        <v>100</v>
      </c>
      <c r="U756" s="29">
        <v>3.55</v>
      </c>
      <c r="V756" s="29">
        <v>2.200092401331013</v>
      </c>
      <c r="W756" s="29">
        <v>0</v>
      </c>
      <c r="X756" s="29">
        <v>0</v>
      </c>
      <c r="Y756" s="29">
        <v>0</v>
      </c>
      <c r="Z756" s="29">
        <v>0</v>
      </c>
      <c r="AA756" s="29"/>
      <c r="AB756" s="29"/>
      <c r="AC756" s="29"/>
      <c r="AD756" s="29" t="s">
        <v>1632</v>
      </c>
      <c r="AE756" s="29" t="s">
        <v>1583</v>
      </c>
      <c r="AF756" s="29"/>
      <c r="AG756" s="29"/>
    </row>
    <row r="757" spans="1:33">
      <c r="A757" s="29" t="s">
        <v>1628</v>
      </c>
      <c r="B757" s="29" t="s">
        <v>1580</v>
      </c>
      <c r="C757" s="29" t="s">
        <v>1581</v>
      </c>
      <c r="D757" s="29" t="s">
        <v>387</v>
      </c>
      <c r="E757" s="29" t="s">
        <v>311</v>
      </c>
      <c r="F757" s="29" t="s">
        <v>1009</v>
      </c>
      <c r="G757" s="29" t="s">
        <v>1035</v>
      </c>
      <c r="H757" s="29" t="s">
        <v>1036</v>
      </c>
      <c r="I757" s="116" t="s">
        <v>333</v>
      </c>
      <c r="J757" s="29" t="s">
        <v>43</v>
      </c>
      <c r="K757" s="29">
        <v>0.69</v>
      </c>
      <c r="L757" s="116"/>
      <c r="M757" s="29" t="s">
        <v>311</v>
      </c>
      <c r="N757" s="29">
        <v>13</v>
      </c>
      <c r="O757" s="115">
        <v>15</v>
      </c>
      <c r="P757" s="29">
        <v>14.765991539376618</v>
      </c>
      <c r="Q757" s="29">
        <v>0.8666666666666667</v>
      </c>
      <c r="R757" s="29">
        <v>100</v>
      </c>
      <c r="S757" s="29">
        <v>0.85</v>
      </c>
      <c r="T757" s="29">
        <v>100</v>
      </c>
      <c r="U757" s="29">
        <v>13</v>
      </c>
      <c r="V757" s="29">
        <v>8.0566763992403292</v>
      </c>
      <c r="W757" s="29">
        <v>0</v>
      </c>
      <c r="X757" s="29">
        <v>0</v>
      </c>
      <c r="Y757" s="29">
        <v>0</v>
      </c>
      <c r="Z757" s="29">
        <v>0</v>
      </c>
      <c r="AA757" s="29"/>
      <c r="AB757" s="29"/>
      <c r="AC757" s="29"/>
      <c r="AD757" s="29" t="s">
        <v>1623</v>
      </c>
      <c r="AE757" s="29" t="s">
        <v>1583</v>
      </c>
      <c r="AF757" s="29"/>
      <c r="AG757" s="29"/>
    </row>
    <row r="758" spans="1:33">
      <c r="A758" s="29" t="s">
        <v>1628</v>
      </c>
      <c r="B758" s="29" t="s">
        <v>1580</v>
      </c>
      <c r="C758" s="29" t="s">
        <v>1633</v>
      </c>
      <c r="D758" s="29" t="s">
        <v>387</v>
      </c>
      <c r="E758" s="29" t="s">
        <v>311</v>
      </c>
      <c r="F758" s="29" t="s">
        <v>1009</v>
      </c>
      <c r="G758" s="29" t="s">
        <v>1037</v>
      </c>
      <c r="H758" s="29" t="s">
        <v>1038</v>
      </c>
      <c r="I758" s="116" t="s">
        <v>333</v>
      </c>
      <c r="J758" s="29" t="s">
        <v>43</v>
      </c>
      <c r="K758" s="29">
        <v>0.69</v>
      </c>
      <c r="L758" s="116"/>
      <c r="M758" s="29" t="s">
        <v>311</v>
      </c>
      <c r="N758" s="29">
        <v>11.4</v>
      </c>
      <c r="O758" s="115">
        <v>15</v>
      </c>
      <c r="P758" s="29">
        <v>14.765991539376618</v>
      </c>
      <c r="Q758" s="29">
        <v>0.76</v>
      </c>
      <c r="R758" s="29">
        <v>100</v>
      </c>
      <c r="S758" s="29">
        <v>0.85</v>
      </c>
      <c r="T758" s="29">
        <v>100</v>
      </c>
      <c r="U758" s="29">
        <v>11.4</v>
      </c>
      <c r="V758" s="29">
        <v>7.0650854577953659</v>
      </c>
      <c r="W758" s="29">
        <v>0</v>
      </c>
      <c r="X758" s="29">
        <v>0</v>
      </c>
      <c r="Y758" s="29">
        <v>0</v>
      </c>
      <c r="Z758" s="29">
        <v>0</v>
      </c>
      <c r="AA758" s="29"/>
      <c r="AB758" s="29"/>
      <c r="AC758" s="29"/>
      <c r="AD758" s="29" t="s">
        <v>1634</v>
      </c>
      <c r="AE758" s="29" t="s">
        <v>1583</v>
      </c>
      <c r="AF758" s="29"/>
      <c r="AG758" s="29"/>
    </row>
    <row r="759" spans="1:33">
      <c r="A759" s="29" t="s">
        <v>1628</v>
      </c>
      <c r="B759" s="29" t="s">
        <v>1580</v>
      </c>
      <c r="C759" s="29" t="s">
        <v>1633</v>
      </c>
      <c r="D759" s="29" t="s">
        <v>387</v>
      </c>
      <c r="E759" s="29" t="s">
        <v>311</v>
      </c>
      <c r="F759" s="29" t="s">
        <v>1009</v>
      </c>
      <c r="G759" s="29" t="s">
        <v>1039</v>
      </c>
      <c r="H759" s="29" t="s">
        <v>1040</v>
      </c>
      <c r="I759" s="116" t="s">
        <v>333</v>
      </c>
      <c r="J759" s="29" t="s">
        <v>43</v>
      </c>
      <c r="K759" s="29">
        <v>0.69</v>
      </c>
      <c r="L759" s="116"/>
      <c r="M759" s="29" t="s">
        <v>311</v>
      </c>
      <c r="N759" s="29">
        <v>24</v>
      </c>
      <c r="O759" s="115">
        <v>30</v>
      </c>
      <c r="P759" s="29">
        <v>29.531983078753235</v>
      </c>
      <c r="Q759" s="29">
        <v>0.8</v>
      </c>
      <c r="R759" s="29">
        <v>100</v>
      </c>
      <c r="S759" s="29">
        <v>0.85</v>
      </c>
      <c r="T759" s="29">
        <v>100</v>
      </c>
      <c r="U759" s="29">
        <v>24</v>
      </c>
      <c r="V759" s="29">
        <v>14.873864121674455</v>
      </c>
      <c r="W759" s="29">
        <v>0</v>
      </c>
      <c r="X759" s="29">
        <v>0</v>
      </c>
      <c r="Y759" s="29">
        <v>0</v>
      </c>
      <c r="Z759" s="29">
        <v>0</v>
      </c>
      <c r="AA759" s="29"/>
      <c r="AB759" s="29"/>
      <c r="AC759" s="29"/>
      <c r="AD759" s="29" t="s">
        <v>1635</v>
      </c>
      <c r="AE759" s="29" t="s">
        <v>1583</v>
      </c>
      <c r="AF759" s="29"/>
      <c r="AG759" s="29"/>
    </row>
    <row r="760" spans="1:33">
      <c r="A760" s="29" t="s">
        <v>1628</v>
      </c>
      <c r="B760" s="29" t="s">
        <v>1580</v>
      </c>
      <c r="C760" s="29" t="s">
        <v>1581</v>
      </c>
      <c r="D760" s="29" t="s">
        <v>387</v>
      </c>
      <c r="E760" s="29" t="s">
        <v>311</v>
      </c>
      <c r="F760" s="29" t="s">
        <v>1009</v>
      </c>
      <c r="G760" s="29" t="s">
        <v>1041</v>
      </c>
      <c r="H760" s="29" t="s">
        <v>1042</v>
      </c>
      <c r="I760" s="116" t="s">
        <v>333</v>
      </c>
      <c r="J760" s="29" t="s">
        <v>43</v>
      </c>
      <c r="K760" s="29">
        <v>0.69</v>
      </c>
      <c r="L760" s="116"/>
      <c r="M760" s="29" t="s">
        <v>311</v>
      </c>
      <c r="N760" s="29">
        <v>15</v>
      </c>
      <c r="O760" s="115">
        <v>15</v>
      </c>
      <c r="P760" s="29">
        <v>14.765991539376618</v>
      </c>
      <c r="Q760" s="29">
        <v>1</v>
      </c>
      <c r="R760" s="29">
        <v>100</v>
      </c>
      <c r="S760" s="29">
        <v>0.85</v>
      </c>
      <c r="T760" s="29">
        <v>100</v>
      </c>
      <c r="U760" s="29">
        <v>15</v>
      </c>
      <c r="V760" s="29">
        <v>9.2961650760465346</v>
      </c>
      <c r="W760" s="29">
        <v>0</v>
      </c>
      <c r="X760" s="29">
        <v>0</v>
      </c>
      <c r="Y760" s="29">
        <v>0</v>
      </c>
      <c r="Z760" s="29">
        <v>0</v>
      </c>
      <c r="AA760" s="29"/>
      <c r="AB760" s="29"/>
      <c r="AC760" s="29"/>
      <c r="AD760" s="29" t="s">
        <v>1582</v>
      </c>
      <c r="AE760" s="29" t="s">
        <v>1583</v>
      </c>
      <c r="AF760" s="29"/>
      <c r="AG760" s="29"/>
    </row>
    <row r="761" spans="1:33">
      <c r="A761" s="29" t="s">
        <v>1628</v>
      </c>
      <c r="B761" s="29" t="s">
        <v>1580</v>
      </c>
      <c r="C761" s="29" t="s">
        <v>1596</v>
      </c>
      <c r="D761" s="29" t="s">
        <v>387</v>
      </c>
      <c r="E761" s="29" t="s">
        <v>311</v>
      </c>
      <c r="F761" s="29" t="s">
        <v>1009</v>
      </c>
      <c r="G761" s="29" t="s">
        <v>1043</v>
      </c>
      <c r="H761" s="29" t="s">
        <v>1044</v>
      </c>
      <c r="I761" s="116" t="s">
        <v>333</v>
      </c>
      <c r="J761" s="29" t="s">
        <v>43</v>
      </c>
      <c r="K761" s="29">
        <v>0.69</v>
      </c>
      <c r="L761" s="116"/>
      <c r="M761" s="29" t="s">
        <v>311</v>
      </c>
      <c r="N761" s="29">
        <v>14.1</v>
      </c>
      <c r="O761" s="115">
        <v>15</v>
      </c>
      <c r="P761" s="29">
        <v>14.765991539376618</v>
      </c>
      <c r="Q761" s="29">
        <v>0.94</v>
      </c>
      <c r="R761" s="29">
        <v>100</v>
      </c>
      <c r="S761" s="29">
        <v>0.85</v>
      </c>
      <c r="T761" s="29">
        <v>100</v>
      </c>
      <c r="U761" s="29">
        <v>14.099999999999998</v>
      </c>
      <c r="V761" s="29">
        <v>8.7383951714837416</v>
      </c>
      <c r="W761" s="29">
        <v>0</v>
      </c>
      <c r="X761" s="29">
        <v>0</v>
      </c>
      <c r="Y761" s="29">
        <v>0</v>
      </c>
      <c r="Z761" s="29">
        <v>0</v>
      </c>
      <c r="AA761" s="29"/>
      <c r="AB761" s="29"/>
      <c r="AC761" s="29"/>
      <c r="AD761" s="29" t="s">
        <v>1625</v>
      </c>
      <c r="AE761" s="29" t="s">
        <v>1583</v>
      </c>
      <c r="AF761" s="29"/>
      <c r="AG761" s="29"/>
    </row>
    <row r="762" spans="1:33">
      <c r="A762" s="29" t="s">
        <v>1636</v>
      </c>
      <c r="B762" s="29" t="s">
        <v>1580</v>
      </c>
      <c r="C762" s="29" t="s">
        <v>1637</v>
      </c>
      <c r="D762" s="29" t="s">
        <v>387</v>
      </c>
      <c r="E762" s="29" t="s">
        <v>311</v>
      </c>
      <c r="F762" s="29" t="s">
        <v>1009</v>
      </c>
      <c r="G762" s="29" t="s">
        <v>1045</v>
      </c>
      <c r="H762" s="29" t="s">
        <v>1046</v>
      </c>
      <c r="I762" s="116" t="s">
        <v>333</v>
      </c>
      <c r="J762" s="29" t="s">
        <v>43</v>
      </c>
      <c r="K762" s="29">
        <v>0.69</v>
      </c>
      <c r="L762" s="116"/>
      <c r="M762" s="29" t="s">
        <v>311</v>
      </c>
      <c r="N762" s="29">
        <v>27</v>
      </c>
      <c r="O762" s="115">
        <v>32</v>
      </c>
      <c r="P762" s="29">
        <v>31.500781950670117</v>
      </c>
      <c r="Q762" s="29">
        <v>0.84375</v>
      </c>
      <c r="R762" s="29">
        <v>100</v>
      </c>
      <c r="S762" s="29">
        <v>0.85</v>
      </c>
      <c r="T762" s="29">
        <v>100</v>
      </c>
      <c r="U762" s="29">
        <v>27</v>
      </c>
      <c r="V762" s="29">
        <v>16.73309713688376</v>
      </c>
      <c r="W762" s="29">
        <v>0</v>
      </c>
      <c r="X762" s="29">
        <v>0</v>
      </c>
      <c r="Y762" s="29">
        <v>0</v>
      </c>
      <c r="Z762" s="29">
        <v>0</v>
      </c>
      <c r="AA762" s="29"/>
      <c r="AB762" s="29"/>
      <c r="AC762" s="29"/>
      <c r="AD762" s="29"/>
      <c r="AE762" s="29" t="s">
        <v>1583</v>
      </c>
      <c r="AF762" s="29"/>
      <c r="AG762" s="29"/>
    </row>
    <row r="763" spans="1:33">
      <c r="A763" s="29" t="s">
        <v>1636</v>
      </c>
      <c r="B763" s="29" t="s">
        <v>1580</v>
      </c>
      <c r="C763" s="29" t="s">
        <v>1637</v>
      </c>
      <c r="D763" s="29" t="s">
        <v>387</v>
      </c>
      <c r="E763" s="29" t="s">
        <v>311</v>
      </c>
      <c r="F763" s="29" t="s">
        <v>1009</v>
      </c>
      <c r="G763" s="29" t="s">
        <v>1047</v>
      </c>
      <c r="H763" s="29" t="s">
        <v>1048</v>
      </c>
      <c r="I763" s="116" t="s">
        <v>333</v>
      </c>
      <c r="J763" s="29" t="s">
        <v>43</v>
      </c>
      <c r="K763" s="29">
        <v>0.69</v>
      </c>
      <c r="L763" s="116"/>
      <c r="M763" s="29" t="s">
        <v>311</v>
      </c>
      <c r="N763" s="29">
        <v>27</v>
      </c>
      <c r="O763" s="115">
        <v>32</v>
      </c>
      <c r="P763" s="29">
        <v>31.500781950670117</v>
      </c>
      <c r="Q763" s="29">
        <v>0.84375</v>
      </c>
      <c r="R763" s="29">
        <v>100</v>
      </c>
      <c r="S763" s="29">
        <v>0.85</v>
      </c>
      <c r="T763" s="29">
        <v>100</v>
      </c>
      <c r="U763" s="29">
        <v>27</v>
      </c>
      <c r="V763" s="29">
        <v>16.73309713688376</v>
      </c>
      <c r="W763" s="29">
        <v>0</v>
      </c>
      <c r="X763" s="29">
        <v>0</v>
      </c>
      <c r="Y763" s="29">
        <v>0</v>
      </c>
      <c r="Z763" s="29">
        <v>0</v>
      </c>
      <c r="AA763" s="29"/>
      <c r="AB763" s="29"/>
      <c r="AC763" s="29"/>
      <c r="AD763" s="29"/>
      <c r="AE763" s="29" t="s">
        <v>1583</v>
      </c>
      <c r="AF763" s="29"/>
      <c r="AG763" s="29"/>
    </row>
    <row r="764" spans="1:33">
      <c r="A764" s="29" t="s">
        <v>1636</v>
      </c>
      <c r="B764" s="29" t="s">
        <v>1580</v>
      </c>
      <c r="C764" s="29" t="s">
        <v>1637</v>
      </c>
      <c r="D764" s="29" t="s">
        <v>387</v>
      </c>
      <c r="E764" s="29" t="s">
        <v>311</v>
      </c>
      <c r="F764" s="29" t="s">
        <v>1009</v>
      </c>
      <c r="G764" s="29" t="s">
        <v>1049</v>
      </c>
      <c r="H764" s="29" t="s">
        <v>1050</v>
      </c>
      <c r="I764" s="116" t="s">
        <v>333</v>
      </c>
      <c r="J764" s="29" t="s">
        <v>43</v>
      </c>
      <c r="K764" s="29">
        <v>0.69</v>
      </c>
      <c r="L764" s="116"/>
      <c r="M764" s="29" t="s">
        <v>311</v>
      </c>
      <c r="N764" s="29">
        <v>27</v>
      </c>
      <c r="O764" s="115">
        <v>32</v>
      </c>
      <c r="P764" s="29">
        <v>31.500781950670117</v>
      </c>
      <c r="Q764" s="29">
        <v>0.84375</v>
      </c>
      <c r="R764" s="29">
        <v>100</v>
      </c>
      <c r="S764" s="29">
        <v>0.85</v>
      </c>
      <c r="T764" s="29">
        <v>100</v>
      </c>
      <c r="U764" s="29">
        <v>27</v>
      </c>
      <c r="V764" s="29">
        <v>16.73309713688376</v>
      </c>
      <c r="W764" s="29">
        <v>0</v>
      </c>
      <c r="X764" s="29">
        <v>0</v>
      </c>
      <c r="Y764" s="29">
        <v>0</v>
      </c>
      <c r="Z764" s="29">
        <v>0</v>
      </c>
      <c r="AA764" s="29"/>
      <c r="AB764" s="29"/>
      <c r="AC764" s="29"/>
      <c r="AD764" s="29"/>
      <c r="AE764" s="29" t="s">
        <v>1583</v>
      </c>
      <c r="AF764" s="29"/>
      <c r="AG764" s="29"/>
    </row>
    <row r="765" spans="1:33">
      <c r="A765" s="29" t="s">
        <v>1628</v>
      </c>
      <c r="B765" s="29" t="s">
        <v>1580</v>
      </c>
      <c r="C765" s="29" t="s">
        <v>1581</v>
      </c>
      <c r="D765" s="29" t="s">
        <v>387</v>
      </c>
      <c r="E765" s="29" t="s">
        <v>311</v>
      </c>
      <c r="F765" s="29" t="s">
        <v>1009</v>
      </c>
      <c r="G765" s="29" t="s">
        <v>1051</v>
      </c>
      <c r="H765" s="29" t="s">
        <v>1052</v>
      </c>
      <c r="I765" s="116" t="s">
        <v>333</v>
      </c>
      <c r="J765" s="29" t="s">
        <v>20</v>
      </c>
      <c r="K765" s="29">
        <v>0.69</v>
      </c>
      <c r="L765" s="116"/>
      <c r="M765" s="29" t="s">
        <v>311</v>
      </c>
      <c r="N765" s="29">
        <v>22.5</v>
      </c>
      <c r="O765" s="115">
        <v>32</v>
      </c>
      <c r="P765" s="29">
        <v>31.500781950670117</v>
      </c>
      <c r="Q765" s="29">
        <v>0.703125</v>
      </c>
      <c r="R765" s="29">
        <v>100</v>
      </c>
      <c r="S765" s="29">
        <v>0.85</v>
      </c>
      <c r="T765" s="29">
        <v>100</v>
      </c>
      <c r="U765" s="29">
        <v>22.5</v>
      </c>
      <c r="V765" s="29">
        <v>13.944247614069802</v>
      </c>
      <c r="W765" s="29">
        <v>0</v>
      </c>
      <c r="X765" s="29">
        <v>0</v>
      </c>
      <c r="Y765" s="29">
        <v>0</v>
      </c>
      <c r="Z765" s="29">
        <v>0</v>
      </c>
      <c r="AA765" s="29"/>
      <c r="AB765" s="29"/>
      <c r="AC765" s="29"/>
      <c r="AD765" s="29" t="s">
        <v>1582</v>
      </c>
      <c r="AE765" s="29" t="s">
        <v>1583</v>
      </c>
      <c r="AF765" s="29"/>
      <c r="AG765" s="29"/>
    </row>
    <row r="766" spans="1:33">
      <c r="A766" s="29" t="s">
        <v>1628</v>
      </c>
      <c r="B766" s="29" t="s">
        <v>1580</v>
      </c>
      <c r="C766" s="29" t="s">
        <v>1596</v>
      </c>
      <c r="D766" s="29" t="s">
        <v>387</v>
      </c>
      <c r="E766" s="29" t="s">
        <v>311</v>
      </c>
      <c r="F766" s="29" t="s">
        <v>1009</v>
      </c>
      <c r="G766" s="29" t="s">
        <v>1053</v>
      </c>
      <c r="H766" s="29" t="s">
        <v>1054</v>
      </c>
      <c r="I766" s="116" t="s">
        <v>333</v>
      </c>
      <c r="J766" s="29" t="s">
        <v>20</v>
      </c>
      <c r="K766" s="29">
        <v>0.69</v>
      </c>
      <c r="L766" s="116"/>
      <c r="M766" s="29" t="s">
        <v>311</v>
      </c>
      <c r="N766" s="29">
        <v>19.5</v>
      </c>
      <c r="O766" s="115">
        <v>32</v>
      </c>
      <c r="P766" s="29">
        <v>31.500781950670117</v>
      </c>
      <c r="Q766" s="29">
        <v>0.609375</v>
      </c>
      <c r="R766" s="29">
        <v>100</v>
      </c>
      <c r="S766" s="29">
        <v>0.85</v>
      </c>
      <c r="T766" s="29">
        <v>100</v>
      </c>
      <c r="U766" s="29">
        <v>19.5</v>
      </c>
      <c r="V766" s="29">
        <v>12.085014598860495</v>
      </c>
      <c r="W766" s="29">
        <v>0</v>
      </c>
      <c r="X766" s="29">
        <v>0</v>
      </c>
      <c r="Y766" s="29">
        <v>0</v>
      </c>
      <c r="Z766" s="29">
        <v>0</v>
      </c>
      <c r="AA766" s="29"/>
      <c r="AB766" s="29"/>
      <c r="AC766" s="29"/>
      <c r="AD766" s="29" t="s">
        <v>1625</v>
      </c>
      <c r="AE766" s="29" t="s">
        <v>1583</v>
      </c>
      <c r="AF766" s="29"/>
      <c r="AG766" s="29"/>
    </row>
    <row r="767" spans="1:33">
      <c r="A767" s="29" t="s">
        <v>1628</v>
      </c>
      <c r="B767" s="29" t="s">
        <v>1580</v>
      </c>
      <c r="C767" s="29" t="s">
        <v>1581</v>
      </c>
      <c r="D767" s="29" t="s">
        <v>387</v>
      </c>
      <c r="E767" s="29" t="s">
        <v>311</v>
      </c>
      <c r="F767" s="29" t="s">
        <v>1009</v>
      </c>
      <c r="G767" s="29" t="s">
        <v>1055</v>
      </c>
      <c r="H767" s="29" t="s">
        <v>1056</v>
      </c>
      <c r="I767" s="116" t="s">
        <v>333</v>
      </c>
      <c r="J767" s="29" t="s">
        <v>1010</v>
      </c>
      <c r="K767" s="29">
        <v>0.69</v>
      </c>
      <c r="L767" s="116"/>
      <c r="M767" s="29" t="s">
        <v>311</v>
      </c>
      <c r="N767" s="29">
        <v>60</v>
      </c>
      <c r="O767" s="115">
        <v>85</v>
      </c>
      <c r="P767" s="29">
        <v>71.122859247997397</v>
      </c>
      <c r="Q767" s="29">
        <v>0.70588235294117652</v>
      </c>
      <c r="R767" s="29">
        <v>100</v>
      </c>
      <c r="S767" s="29">
        <v>1</v>
      </c>
      <c r="T767" s="29">
        <v>100</v>
      </c>
      <c r="U767" s="29">
        <v>60</v>
      </c>
      <c r="V767" s="29">
        <v>0</v>
      </c>
      <c r="W767" s="29">
        <v>0</v>
      </c>
      <c r="X767" s="29">
        <v>0</v>
      </c>
      <c r="Y767" s="29">
        <v>0</v>
      </c>
      <c r="Z767" s="29">
        <v>0</v>
      </c>
      <c r="AA767" s="29"/>
      <c r="AB767" s="29"/>
      <c r="AC767" s="29"/>
      <c r="AD767" s="29" t="s">
        <v>1582</v>
      </c>
      <c r="AE767" s="29" t="s">
        <v>1612</v>
      </c>
      <c r="AF767" s="29"/>
      <c r="AG767" s="29"/>
    </row>
    <row r="768" spans="1:33">
      <c r="A768" s="29" t="s">
        <v>1636</v>
      </c>
      <c r="B768" s="29" t="s">
        <v>1580</v>
      </c>
      <c r="C768" s="29" t="s">
        <v>317</v>
      </c>
      <c r="D768" s="29" t="s">
        <v>387</v>
      </c>
      <c r="E768" s="29" t="s">
        <v>311</v>
      </c>
      <c r="F768" s="29" t="s">
        <v>1009</v>
      </c>
      <c r="G768" s="29" t="s">
        <v>1057</v>
      </c>
      <c r="H768" s="29" t="s">
        <v>1058</v>
      </c>
      <c r="I768" s="116" t="s">
        <v>333</v>
      </c>
      <c r="J768" s="29" t="s">
        <v>43</v>
      </c>
      <c r="K768" s="29">
        <v>0.69</v>
      </c>
      <c r="L768" s="116"/>
      <c r="M768" s="29" t="s">
        <v>311</v>
      </c>
      <c r="N768" s="29"/>
      <c r="O768" s="115"/>
      <c r="P768" s="29"/>
      <c r="Q768" s="29"/>
      <c r="R768" s="29"/>
      <c r="S768" s="29"/>
      <c r="T768" s="29">
        <v>100</v>
      </c>
      <c r="U768" s="29">
        <v>250</v>
      </c>
      <c r="V768" s="29">
        <v>43.382103688217157</v>
      </c>
      <c r="W768" s="29">
        <v>34.77000000000001</v>
      </c>
      <c r="X768" s="29">
        <v>24.269609292634531</v>
      </c>
      <c r="Y768" s="29">
        <v>0</v>
      </c>
      <c r="Z768" s="29">
        <v>0</v>
      </c>
      <c r="AA768" s="29"/>
      <c r="AB768" s="29"/>
      <c r="AC768" s="29"/>
      <c r="AD768" s="29" t="s">
        <v>1638</v>
      </c>
      <c r="AE768" s="29" t="s">
        <v>1639</v>
      </c>
      <c r="AF768" s="29"/>
      <c r="AG768" s="29"/>
    </row>
    <row r="769" spans="1:33">
      <c r="A769" s="29" t="s">
        <v>1574</v>
      </c>
      <c r="B769" s="29" t="s">
        <v>1575</v>
      </c>
      <c r="C769" s="29" t="s">
        <v>1596</v>
      </c>
      <c r="D769" s="29" t="s">
        <v>387</v>
      </c>
      <c r="E769" s="29" t="s">
        <v>311</v>
      </c>
      <c r="F769" s="29" t="s">
        <v>1009</v>
      </c>
      <c r="G769" s="29" t="s">
        <v>1059</v>
      </c>
      <c r="H769" s="29" t="s">
        <v>1060</v>
      </c>
      <c r="I769" s="116" t="s">
        <v>333</v>
      </c>
      <c r="J769" s="29" t="s">
        <v>1061</v>
      </c>
      <c r="K769" s="29">
        <v>0.69</v>
      </c>
      <c r="L769" s="116" t="s">
        <v>1640</v>
      </c>
      <c r="M769" s="29" t="s">
        <v>311</v>
      </c>
      <c r="N769" s="29">
        <v>380</v>
      </c>
      <c r="O769" s="115">
        <v>400</v>
      </c>
      <c r="P769" s="29">
        <v>414.48397303513315</v>
      </c>
      <c r="Q769" s="29">
        <v>0.95</v>
      </c>
      <c r="R769" s="29">
        <v>95</v>
      </c>
      <c r="S769" s="29">
        <v>0.85</v>
      </c>
      <c r="T769" s="29">
        <v>100</v>
      </c>
      <c r="U769" s="29">
        <v>400</v>
      </c>
      <c r="V769" s="29">
        <v>247.8977353612409</v>
      </c>
      <c r="W769" s="29">
        <v>0</v>
      </c>
      <c r="X769" s="29">
        <v>0</v>
      </c>
      <c r="Y769" s="29">
        <v>0</v>
      </c>
      <c r="Z769" s="29">
        <v>0</v>
      </c>
      <c r="AA769" s="29" t="s">
        <v>1577</v>
      </c>
      <c r="AB769" s="29" t="s">
        <v>1641</v>
      </c>
      <c r="AC769" s="29"/>
      <c r="AD769" s="29"/>
      <c r="AE769" s="29" t="s">
        <v>1642</v>
      </c>
      <c r="AF769" s="29"/>
      <c r="AG769" s="29"/>
    </row>
    <row r="770" spans="1:33">
      <c r="A770" s="29" t="s">
        <v>1584</v>
      </c>
      <c r="B770" s="29" t="s">
        <v>1575</v>
      </c>
      <c r="C770" s="29" t="s">
        <v>1596</v>
      </c>
      <c r="D770" s="29" t="s">
        <v>387</v>
      </c>
      <c r="E770" s="29" t="s">
        <v>311</v>
      </c>
      <c r="F770" s="29" t="s">
        <v>1009</v>
      </c>
      <c r="G770" s="29" t="s">
        <v>1643</v>
      </c>
      <c r="H770" s="29" t="s">
        <v>1065</v>
      </c>
      <c r="I770" s="116" t="s">
        <v>333</v>
      </c>
      <c r="J770" s="29" t="s">
        <v>16</v>
      </c>
      <c r="K770" s="29">
        <v>0.69</v>
      </c>
      <c r="L770" s="116"/>
      <c r="M770" s="29" t="s">
        <v>311</v>
      </c>
      <c r="N770" s="29">
        <v>27</v>
      </c>
      <c r="O770" s="115">
        <v>30</v>
      </c>
      <c r="P770" s="29">
        <v>34.089556218344633</v>
      </c>
      <c r="Q770" s="29">
        <v>0.9</v>
      </c>
      <c r="R770" s="29">
        <v>89.8</v>
      </c>
      <c r="S770" s="29">
        <v>0.82</v>
      </c>
      <c r="T770" s="29">
        <v>100</v>
      </c>
      <c r="U770" s="29">
        <v>30.066815144766146</v>
      </c>
      <c r="V770" s="29">
        <v>20.986766069523767</v>
      </c>
      <c r="W770" s="29">
        <v>0</v>
      </c>
      <c r="X770" s="29">
        <v>0</v>
      </c>
      <c r="Y770" s="29">
        <v>0</v>
      </c>
      <c r="Z770" s="29">
        <v>0</v>
      </c>
      <c r="AA770" s="29" t="s">
        <v>1602</v>
      </c>
      <c r="AB770" s="29"/>
      <c r="AC770" s="29"/>
      <c r="AD770" s="29"/>
      <c r="AE770" s="29" t="s">
        <v>1644</v>
      </c>
      <c r="AF770" s="29"/>
      <c r="AG770" s="29"/>
    </row>
    <row r="771" spans="1:33">
      <c r="A771" s="29" t="s">
        <v>1584</v>
      </c>
      <c r="B771" s="29" t="s">
        <v>1575</v>
      </c>
      <c r="C771" s="29" t="s">
        <v>1596</v>
      </c>
      <c r="D771" s="29" t="s">
        <v>387</v>
      </c>
      <c r="E771" s="29" t="s">
        <v>311</v>
      </c>
      <c r="F771" s="29" t="s">
        <v>1009</v>
      </c>
      <c r="G771" s="29" t="s">
        <v>1645</v>
      </c>
      <c r="H771" s="29" t="s">
        <v>1067</v>
      </c>
      <c r="I771" s="116" t="s">
        <v>333</v>
      </c>
      <c r="J771" s="29" t="s">
        <v>16</v>
      </c>
      <c r="K771" s="29">
        <v>0.69</v>
      </c>
      <c r="L771" s="116"/>
      <c r="M771" s="29" t="s">
        <v>363</v>
      </c>
      <c r="N771" s="29">
        <v>27</v>
      </c>
      <c r="O771" s="115">
        <v>30</v>
      </c>
      <c r="P771" s="29">
        <v>34.089556218344633</v>
      </c>
      <c r="Q771" s="29">
        <v>0.9</v>
      </c>
      <c r="R771" s="29">
        <v>89.8</v>
      </c>
      <c r="S771" s="29">
        <v>0.82</v>
      </c>
      <c r="T771" s="29">
        <v>10</v>
      </c>
      <c r="U771" s="29">
        <v>0</v>
      </c>
      <c r="V771" s="29">
        <v>0</v>
      </c>
      <c r="W771" s="29">
        <v>0</v>
      </c>
      <c r="X771" s="29">
        <v>0</v>
      </c>
      <c r="Y771" s="29">
        <v>3.0066815144766146</v>
      </c>
      <c r="Z771" s="29">
        <v>2.098676606952377</v>
      </c>
      <c r="AA771" s="29" t="s">
        <v>1602</v>
      </c>
      <c r="AB771" s="29"/>
      <c r="AC771" s="29"/>
      <c r="AD771" s="29"/>
      <c r="AE771" s="29" t="s">
        <v>1646</v>
      </c>
      <c r="AF771" s="29"/>
      <c r="AG771" s="29"/>
    </row>
    <row r="772" spans="1:33">
      <c r="A772" s="29" t="s">
        <v>1584</v>
      </c>
      <c r="B772" s="29" t="s">
        <v>1575</v>
      </c>
      <c r="C772" s="29" t="s">
        <v>1596</v>
      </c>
      <c r="D772" s="29" t="s">
        <v>387</v>
      </c>
      <c r="E772" s="29" t="s">
        <v>311</v>
      </c>
      <c r="F772" s="29" t="s">
        <v>1009</v>
      </c>
      <c r="G772" s="29" t="s">
        <v>1647</v>
      </c>
      <c r="H772" s="29" t="s">
        <v>1069</v>
      </c>
      <c r="I772" s="116" t="s">
        <v>333</v>
      </c>
      <c r="J772" s="29" t="s">
        <v>41</v>
      </c>
      <c r="K772" s="29">
        <v>0.69</v>
      </c>
      <c r="L772" s="116"/>
      <c r="M772" s="29" t="s">
        <v>311</v>
      </c>
      <c r="N772" s="29">
        <v>2.7</v>
      </c>
      <c r="O772" s="115">
        <v>3</v>
      </c>
      <c r="P772" s="29">
        <v>3.4089556218344637</v>
      </c>
      <c r="Q772" s="29">
        <v>0.9</v>
      </c>
      <c r="R772" s="29">
        <v>89.8</v>
      </c>
      <c r="S772" s="29">
        <v>0.82</v>
      </c>
      <c r="T772" s="29">
        <v>100</v>
      </c>
      <c r="U772" s="29">
        <v>3.006681514476615</v>
      </c>
      <c r="V772" s="29">
        <v>2.098676606952377</v>
      </c>
      <c r="W772" s="29">
        <v>0</v>
      </c>
      <c r="X772" s="29">
        <v>0</v>
      </c>
      <c r="Y772" s="29">
        <v>0</v>
      </c>
      <c r="Z772" s="29">
        <v>0</v>
      </c>
      <c r="AA772" s="29" t="s">
        <v>1602</v>
      </c>
      <c r="AB772" s="29"/>
      <c r="AC772" s="29"/>
      <c r="AD772" s="29"/>
      <c r="AE772" s="29" t="s">
        <v>1648</v>
      </c>
      <c r="AF772" s="29"/>
      <c r="AG772" s="29"/>
    </row>
    <row r="773" spans="1:33">
      <c r="A773" s="29" t="s">
        <v>1649</v>
      </c>
      <c r="B773" s="29" t="s">
        <v>1575</v>
      </c>
      <c r="C773" s="29" t="s">
        <v>326</v>
      </c>
      <c r="D773" s="29" t="s">
        <v>387</v>
      </c>
      <c r="E773" s="29" t="s">
        <v>311</v>
      </c>
      <c r="F773" s="29" t="s">
        <v>1009</v>
      </c>
      <c r="G773" s="29" t="s">
        <v>1080</v>
      </c>
      <c r="H773" s="29" t="s">
        <v>1081</v>
      </c>
      <c r="I773" s="116" t="s">
        <v>333</v>
      </c>
      <c r="J773" s="29" t="s">
        <v>16</v>
      </c>
      <c r="K773" s="29">
        <v>0.69</v>
      </c>
      <c r="L773" s="116"/>
      <c r="M773" s="29" t="s">
        <v>353</v>
      </c>
      <c r="N773" s="29">
        <v>14.7</v>
      </c>
      <c r="O773" s="115">
        <v>18.5</v>
      </c>
      <c r="P773" s="29">
        <v>20.60879903403783</v>
      </c>
      <c r="Q773" s="29">
        <v>0.79459459459459458</v>
      </c>
      <c r="R773" s="29">
        <v>91.6</v>
      </c>
      <c r="S773" s="29">
        <v>0.82</v>
      </c>
      <c r="T773" s="29">
        <v>30</v>
      </c>
      <c r="U773" s="29">
        <v>0</v>
      </c>
      <c r="V773" s="29">
        <v>0</v>
      </c>
      <c r="W773" s="29">
        <v>4.8144104803493457</v>
      </c>
      <c r="X773" s="29">
        <v>3.3604791870130453</v>
      </c>
      <c r="Y773" s="29">
        <v>0</v>
      </c>
      <c r="Z773" s="29">
        <v>0</v>
      </c>
      <c r="AA773" s="29" t="s">
        <v>1589</v>
      </c>
      <c r="AB773" s="29"/>
      <c r="AC773" s="29"/>
      <c r="AD773" s="29"/>
      <c r="AE773" s="29" t="s">
        <v>1650</v>
      </c>
      <c r="AF773" s="29"/>
      <c r="AG773" s="29"/>
    </row>
    <row r="774" spans="1:33">
      <c r="A774" s="29" t="s">
        <v>1649</v>
      </c>
      <c r="B774" s="29" t="s">
        <v>1575</v>
      </c>
      <c r="C774" s="29" t="s">
        <v>326</v>
      </c>
      <c r="D774" s="29" t="s">
        <v>387</v>
      </c>
      <c r="E774" s="29" t="s">
        <v>311</v>
      </c>
      <c r="F774" s="29" t="s">
        <v>1009</v>
      </c>
      <c r="G774" s="29" t="s">
        <v>1082</v>
      </c>
      <c r="H774" s="29" t="s">
        <v>1081</v>
      </c>
      <c r="I774" s="116" t="s">
        <v>333</v>
      </c>
      <c r="J774" s="29" t="s">
        <v>41</v>
      </c>
      <c r="K774" s="29">
        <v>0.69</v>
      </c>
      <c r="L774" s="116"/>
      <c r="M774" s="29" t="s">
        <v>363</v>
      </c>
      <c r="N774" s="29">
        <v>14.7</v>
      </c>
      <c r="O774" s="115">
        <v>18.5</v>
      </c>
      <c r="P774" s="29">
        <v>20.60879903403783</v>
      </c>
      <c r="Q774" s="29">
        <v>0.79459459459459458</v>
      </c>
      <c r="R774" s="29">
        <v>91.6</v>
      </c>
      <c r="S774" s="29">
        <v>0.82</v>
      </c>
      <c r="T774" s="29">
        <v>10</v>
      </c>
      <c r="U774" s="29">
        <v>0</v>
      </c>
      <c r="V774" s="29">
        <v>0</v>
      </c>
      <c r="W774" s="29">
        <v>0</v>
      </c>
      <c r="X774" s="29">
        <v>0</v>
      </c>
      <c r="Y774" s="29">
        <v>1.6048034934497819</v>
      </c>
      <c r="Z774" s="29">
        <v>1.1201597290043483</v>
      </c>
      <c r="AA774" s="29" t="s">
        <v>1589</v>
      </c>
      <c r="AB774" s="29"/>
      <c r="AC774" s="29"/>
      <c r="AD774" s="29"/>
      <c r="AE774" s="29" t="s">
        <v>1651</v>
      </c>
      <c r="AF774" s="29"/>
      <c r="AG774" s="29"/>
    </row>
    <row r="775" spans="1:33">
      <c r="A775" s="29" t="s">
        <v>1649</v>
      </c>
      <c r="B775" s="29" t="s">
        <v>1575</v>
      </c>
      <c r="C775" s="29" t="s">
        <v>326</v>
      </c>
      <c r="D775" s="29" t="s">
        <v>387</v>
      </c>
      <c r="E775" s="29" t="s">
        <v>311</v>
      </c>
      <c r="F775" s="29" t="s">
        <v>1009</v>
      </c>
      <c r="G775" s="29" t="s">
        <v>1083</v>
      </c>
      <c r="H775" s="29" t="s">
        <v>1084</v>
      </c>
      <c r="I775" s="116" t="s">
        <v>333</v>
      </c>
      <c r="J775" s="29" t="s">
        <v>41</v>
      </c>
      <c r="K775" s="29">
        <v>0.69</v>
      </c>
      <c r="L775" s="116"/>
      <c r="M775" s="29" t="s">
        <v>353</v>
      </c>
      <c r="N775" s="29">
        <v>5.4</v>
      </c>
      <c r="O775" s="115">
        <v>11</v>
      </c>
      <c r="P775" s="29">
        <v>13.285413865778617</v>
      </c>
      <c r="Q775" s="29">
        <v>0.49090909090909096</v>
      </c>
      <c r="R775" s="29">
        <v>86.6</v>
      </c>
      <c r="S775" s="29">
        <v>0.8</v>
      </c>
      <c r="T775" s="29">
        <v>30</v>
      </c>
      <c r="U775" s="29">
        <v>0</v>
      </c>
      <c r="V775" s="29">
        <v>0</v>
      </c>
      <c r="W775" s="29">
        <v>1.8706697459584298</v>
      </c>
      <c r="X775" s="29">
        <v>1.403002309468822</v>
      </c>
      <c r="Y775" s="29">
        <v>0</v>
      </c>
      <c r="Z775" s="29">
        <v>0</v>
      </c>
      <c r="AA775" s="29" t="s">
        <v>1577</v>
      </c>
      <c r="AB775" s="29" t="s">
        <v>1652</v>
      </c>
      <c r="AC775" s="29"/>
      <c r="AD775" s="29"/>
      <c r="AE775" s="29" t="s">
        <v>1651</v>
      </c>
      <c r="AF775" s="29"/>
      <c r="AG775" s="29"/>
    </row>
    <row r="776" spans="1:33">
      <c r="A776" s="29" t="s">
        <v>1649</v>
      </c>
      <c r="B776" s="29" t="s">
        <v>1575</v>
      </c>
      <c r="C776" s="29" t="s">
        <v>326</v>
      </c>
      <c r="D776" s="29" t="s">
        <v>387</v>
      </c>
      <c r="E776" s="29" t="s">
        <v>321</v>
      </c>
      <c r="F776" s="29" t="s">
        <v>1012</v>
      </c>
      <c r="G776" s="29" t="s">
        <v>1085</v>
      </c>
      <c r="H776" s="29" t="s">
        <v>1084</v>
      </c>
      <c r="I776" s="116" t="s">
        <v>310</v>
      </c>
      <c r="J776" s="29" t="s">
        <v>41</v>
      </c>
      <c r="K776" s="29">
        <v>0.69</v>
      </c>
      <c r="L776" s="116"/>
      <c r="M776" s="29" t="s">
        <v>363</v>
      </c>
      <c r="N776" s="29">
        <v>5.4</v>
      </c>
      <c r="O776" s="115">
        <v>11</v>
      </c>
      <c r="P776" s="29">
        <v>13.285413865778617</v>
      </c>
      <c r="Q776" s="29">
        <v>0.49090909090909096</v>
      </c>
      <c r="R776" s="29">
        <v>86.6</v>
      </c>
      <c r="S776" s="29">
        <v>0.8</v>
      </c>
      <c r="T776" s="29">
        <v>10</v>
      </c>
      <c r="U776" s="29">
        <v>0</v>
      </c>
      <c r="V776" s="29">
        <v>0</v>
      </c>
      <c r="W776" s="29">
        <v>0</v>
      </c>
      <c r="X776" s="29">
        <v>0</v>
      </c>
      <c r="Y776" s="29">
        <v>0.62355658198614328</v>
      </c>
      <c r="Z776" s="29">
        <v>0.4676674364896074</v>
      </c>
      <c r="AA776" s="29" t="s">
        <v>1577</v>
      </c>
      <c r="AB776" s="29" t="s">
        <v>1652</v>
      </c>
      <c r="AC776" s="29"/>
      <c r="AD776" s="29"/>
      <c r="AE776" s="29" t="s">
        <v>1653</v>
      </c>
      <c r="AF776" s="29"/>
      <c r="AG776" s="29"/>
    </row>
    <row r="777" spans="1:33">
      <c r="A777" s="29" t="s">
        <v>1574</v>
      </c>
      <c r="B777" s="29" t="s">
        <v>1595</v>
      </c>
      <c r="C777" s="29" t="s">
        <v>326</v>
      </c>
      <c r="D777" s="29" t="s">
        <v>387</v>
      </c>
      <c r="E777" s="29" t="s">
        <v>15</v>
      </c>
      <c r="F777" s="29" t="s">
        <v>1011</v>
      </c>
      <c r="G777" s="29" t="s">
        <v>703</v>
      </c>
      <c r="H777" s="29" t="s">
        <v>704</v>
      </c>
      <c r="I777" s="116" t="s">
        <v>310</v>
      </c>
      <c r="J777" s="29" t="s">
        <v>1030</v>
      </c>
      <c r="K777" s="29">
        <v>0.69</v>
      </c>
      <c r="L777" s="116"/>
      <c r="M777" s="29" t="s">
        <v>353</v>
      </c>
      <c r="N777" s="29">
        <v>272</v>
      </c>
      <c r="O777" s="115">
        <v>450</v>
      </c>
      <c r="P777" s="29">
        <v>396.35029921484619</v>
      </c>
      <c r="Q777" s="29">
        <v>0.60444444444444445</v>
      </c>
      <c r="R777" s="29">
        <v>95</v>
      </c>
      <c r="S777" s="29">
        <v>1</v>
      </c>
      <c r="T777" s="29">
        <v>30</v>
      </c>
      <c r="U777" s="29">
        <v>0</v>
      </c>
      <c r="V777" s="29">
        <v>0</v>
      </c>
      <c r="W777" s="29">
        <v>85.89473684210526</v>
      </c>
      <c r="X777" s="29">
        <v>0</v>
      </c>
      <c r="Y777" s="29">
        <v>0</v>
      </c>
      <c r="Z777" s="29">
        <v>0</v>
      </c>
      <c r="AA777" s="29" t="s">
        <v>1589</v>
      </c>
      <c r="AB777" s="29"/>
      <c r="AC777" s="29"/>
      <c r="AD777" s="29"/>
      <c r="AE777" s="29" t="s">
        <v>1627</v>
      </c>
      <c r="AF777" s="29"/>
      <c r="AG777" s="29"/>
    </row>
    <row r="778" spans="1:33">
      <c r="A778" s="29" t="s">
        <v>1574</v>
      </c>
      <c r="B778" s="29" t="s">
        <v>1595</v>
      </c>
      <c r="C778" s="29" t="s">
        <v>326</v>
      </c>
      <c r="D778" s="29" t="s">
        <v>387</v>
      </c>
      <c r="E778" s="29" t="s">
        <v>311</v>
      </c>
      <c r="F778" s="29" t="s">
        <v>1009</v>
      </c>
      <c r="G778" s="29" t="s">
        <v>706</v>
      </c>
      <c r="H778" s="29" t="s">
        <v>707</v>
      </c>
      <c r="I778" s="116" t="s">
        <v>333</v>
      </c>
      <c r="J778" s="29" t="s">
        <v>1030</v>
      </c>
      <c r="K778" s="29">
        <v>0.69</v>
      </c>
      <c r="L778" s="116"/>
      <c r="M778" s="29" t="s">
        <v>353</v>
      </c>
      <c r="N778" s="29">
        <v>272</v>
      </c>
      <c r="O778" s="115">
        <v>450</v>
      </c>
      <c r="P778" s="29">
        <v>396.35029921484619</v>
      </c>
      <c r="Q778" s="29">
        <v>0.60444444444444445</v>
      </c>
      <c r="R778" s="29">
        <v>95</v>
      </c>
      <c r="S778" s="29">
        <v>1</v>
      </c>
      <c r="T778" s="29">
        <v>30</v>
      </c>
      <c r="U778" s="29">
        <v>0</v>
      </c>
      <c r="V778" s="29">
        <v>0</v>
      </c>
      <c r="W778" s="29">
        <v>85.89473684210526</v>
      </c>
      <c r="X778" s="29">
        <v>0</v>
      </c>
      <c r="Y778" s="29">
        <v>0</v>
      </c>
      <c r="Z778" s="29">
        <v>0</v>
      </c>
      <c r="AA778" s="29" t="s">
        <v>1589</v>
      </c>
      <c r="AB778" s="29"/>
      <c r="AC778" s="29"/>
      <c r="AD778" s="29"/>
      <c r="AE778" s="29" t="s">
        <v>1627</v>
      </c>
      <c r="AF778" s="29"/>
      <c r="AG778" s="29"/>
    </row>
    <row r="779" spans="1:33">
      <c r="A779" s="29" t="s">
        <v>1574</v>
      </c>
      <c r="B779" s="29" t="s">
        <v>1595</v>
      </c>
      <c r="C779" s="29" t="s">
        <v>326</v>
      </c>
      <c r="D779" s="29" t="s">
        <v>708</v>
      </c>
      <c r="E779" s="29" t="s">
        <v>321</v>
      </c>
      <c r="F779" s="29" t="s">
        <v>1086</v>
      </c>
      <c r="G779" s="29" t="s">
        <v>846</v>
      </c>
      <c r="H779" s="29" t="s">
        <v>847</v>
      </c>
      <c r="I779" s="116" t="s">
        <v>310</v>
      </c>
      <c r="J779" s="29" t="s">
        <v>1030</v>
      </c>
      <c r="K779" s="29">
        <v>0.69</v>
      </c>
      <c r="L779" s="116"/>
      <c r="M779" s="29" t="s">
        <v>353</v>
      </c>
      <c r="N779" s="29">
        <v>68</v>
      </c>
      <c r="O779" s="115">
        <v>84</v>
      </c>
      <c r="P779" s="29">
        <v>73.985389186771286</v>
      </c>
      <c r="Q779" s="29">
        <v>0.80952380952380953</v>
      </c>
      <c r="R779" s="29">
        <v>95</v>
      </c>
      <c r="S779" s="29">
        <v>1</v>
      </c>
      <c r="T779" s="29">
        <v>30</v>
      </c>
      <c r="U779" s="29">
        <v>0</v>
      </c>
      <c r="V779" s="29">
        <v>0</v>
      </c>
      <c r="W779" s="29">
        <v>21.473684210526315</v>
      </c>
      <c r="X779" s="29">
        <v>0</v>
      </c>
      <c r="Y779" s="29">
        <v>0</v>
      </c>
      <c r="Z779" s="29">
        <v>0</v>
      </c>
      <c r="AA779" s="29" t="s">
        <v>1589</v>
      </c>
      <c r="AB779" s="29"/>
      <c r="AC779" s="29"/>
      <c r="AD779" s="29"/>
      <c r="AE779" s="29" t="s">
        <v>1627</v>
      </c>
      <c r="AF779" s="29"/>
      <c r="AG779" s="29"/>
    </row>
    <row r="780" spans="1:33">
      <c r="A780" s="29" t="s">
        <v>1654</v>
      </c>
      <c r="B780" s="29" t="s">
        <v>1575</v>
      </c>
      <c r="C780" s="29" t="s">
        <v>1596</v>
      </c>
      <c r="D780" s="29" t="s">
        <v>708</v>
      </c>
      <c r="E780" s="29" t="s">
        <v>15</v>
      </c>
      <c r="F780" s="29" t="s">
        <v>1089</v>
      </c>
      <c r="G780" s="29" t="s">
        <v>1062</v>
      </c>
      <c r="H780" s="29" t="s">
        <v>1060</v>
      </c>
      <c r="I780" s="116" t="s">
        <v>310</v>
      </c>
      <c r="J780" s="29" t="s">
        <v>1061</v>
      </c>
      <c r="K780" s="29">
        <v>0.69</v>
      </c>
      <c r="L780" s="116" t="s">
        <v>1640</v>
      </c>
      <c r="M780" s="29" t="s">
        <v>311</v>
      </c>
      <c r="N780" s="29">
        <v>380</v>
      </c>
      <c r="O780" s="115">
        <v>400</v>
      </c>
      <c r="P780" s="29">
        <v>414.48397303513315</v>
      </c>
      <c r="Q780" s="29">
        <v>0.95</v>
      </c>
      <c r="R780" s="29">
        <v>95</v>
      </c>
      <c r="S780" s="29">
        <v>0.85</v>
      </c>
      <c r="T780" s="29">
        <v>100</v>
      </c>
      <c r="U780" s="29">
        <v>400</v>
      </c>
      <c r="V780" s="29">
        <v>247.8977353612409</v>
      </c>
      <c r="W780" s="29">
        <v>0</v>
      </c>
      <c r="X780" s="29">
        <v>0</v>
      </c>
      <c r="Y780" s="29">
        <v>0</v>
      </c>
      <c r="Z780" s="29">
        <v>0</v>
      </c>
      <c r="AA780" s="29" t="s">
        <v>1577</v>
      </c>
      <c r="AB780" s="29" t="s">
        <v>1641</v>
      </c>
      <c r="AC780" s="29"/>
      <c r="AD780" s="29"/>
      <c r="AE780" s="29" t="s">
        <v>1655</v>
      </c>
      <c r="AF780" s="29"/>
      <c r="AG780" s="29"/>
    </row>
    <row r="781" spans="1:33">
      <c r="A781" s="29" t="s">
        <v>1654</v>
      </c>
      <c r="B781" s="29" t="s">
        <v>1575</v>
      </c>
      <c r="C781" s="29" t="s">
        <v>1596</v>
      </c>
      <c r="D781" s="29" t="s">
        <v>708</v>
      </c>
      <c r="E781" s="29" t="s">
        <v>321</v>
      </c>
      <c r="F781" s="29" t="s">
        <v>1086</v>
      </c>
      <c r="G781" s="29" t="s">
        <v>1063</v>
      </c>
      <c r="H781" s="29" t="s">
        <v>1060</v>
      </c>
      <c r="I781" s="116" t="s">
        <v>310</v>
      </c>
      <c r="J781" s="29" t="s">
        <v>1061</v>
      </c>
      <c r="K781" s="29">
        <v>0.69</v>
      </c>
      <c r="L781" s="116" t="s">
        <v>1640</v>
      </c>
      <c r="M781" s="29" t="s">
        <v>363</v>
      </c>
      <c r="N781" s="29">
        <v>380</v>
      </c>
      <c r="O781" s="115">
        <v>400</v>
      </c>
      <c r="P781" s="29">
        <v>414.48397303513315</v>
      </c>
      <c r="Q781" s="29">
        <v>0.95</v>
      </c>
      <c r="R781" s="29">
        <v>95</v>
      </c>
      <c r="S781" s="29">
        <v>0.85</v>
      </c>
      <c r="T781" s="29">
        <v>10</v>
      </c>
      <c r="U781" s="29">
        <v>0</v>
      </c>
      <c r="V781" s="29">
        <v>0</v>
      </c>
      <c r="W781" s="29">
        <v>0</v>
      </c>
      <c r="X781" s="29">
        <v>0</v>
      </c>
      <c r="Y781" s="29">
        <v>40</v>
      </c>
      <c r="Z781" s="29">
        <v>24.789773536124091</v>
      </c>
      <c r="AA781" s="29" t="s">
        <v>1577</v>
      </c>
      <c r="AB781" s="29" t="s">
        <v>1641</v>
      </c>
      <c r="AC781" s="29"/>
      <c r="AD781" s="29"/>
      <c r="AE781" s="29" t="s">
        <v>1656</v>
      </c>
      <c r="AF781" s="29"/>
      <c r="AG781" s="29"/>
    </row>
    <row r="782" spans="1:33">
      <c r="A782" s="29" t="s">
        <v>1584</v>
      </c>
      <c r="B782" s="29" t="s">
        <v>1575</v>
      </c>
      <c r="C782" s="29" t="s">
        <v>1596</v>
      </c>
      <c r="D782" s="29" t="s">
        <v>708</v>
      </c>
      <c r="E782" s="29" t="s">
        <v>15</v>
      </c>
      <c r="F782" s="29" t="s">
        <v>1089</v>
      </c>
      <c r="G782" s="29" t="s">
        <v>1657</v>
      </c>
      <c r="H782" s="29" t="s">
        <v>1065</v>
      </c>
      <c r="I782" s="116" t="s">
        <v>310</v>
      </c>
      <c r="J782" s="29" t="s">
        <v>16</v>
      </c>
      <c r="K782" s="29">
        <v>0.69</v>
      </c>
      <c r="L782" s="116"/>
      <c r="M782" s="29" t="s">
        <v>311</v>
      </c>
      <c r="N782" s="29">
        <v>27</v>
      </c>
      <c r="O782" s="115">
        <v>30</v>
      </c>
      <c r="P782" s="29">
        <v>34.089556218344633</v>
      </c>
      <c r="Q782" s="29">
        <v>0.9</v>
      </c>
      <c r="R782" s="29">
        <v>89.8</v>
      </c>
      <c r="S782" s="29">
        <v>0.82</v>
      </c>
      <c r="T782" s="29">
        <v>100</v>
      </c>
      <c r="U782" s="29">
        <v>30.066815144766146</v>
      </c>
      <c r="V782" s="29">
        <v>20.986766069523767</v>
      </c>
      <c r="W782" s="29">
        <v>0</v>
      </c>
      <c r="X782" s="29">
        <v>0</v>
      </c>
      <c r="Y782" s="29">
        <v>0</v>
      </c>
      <c r="Z782" s="29">
        <v>0</v>
      </c>
      <c r="AA782" s="29" t="s">
        <v>1602</v>
      </c>
      <c r="AB782" s="29"/>
      <c r="AC782" s="29"/>
      <c r="AD782" s="29"/>
      <c r="AE782" s="29" t="s">
        <v>1644</v>
      </c>
      <c r="AF782" s="29"/>
      <c r="AG782" s="29"/>
    </row>
    <row r="783" spans="1:33">
      <c r="A783" s="29" t="s">
        <v>1584</v>
      </c>
      <c r="B783" s="29" t="s">
        <v>1575</v>
      </c>
      <c r="C783" s="29" t="s">
        <v>1596</v>
      </c>
      <c r="D783" s="29" t="s">
        <v>708</v>
      </c>
      <c r="E783" s="29" t="s">
        <v>321</v>
      </c>
      <c r="F783" s="29" t="s">
        <v>1086</v>
      </c>
      <c r="G783" s="29" t="s">
        <v>1658</v>
      </c>
      <c r="H783" s="29" t="s">
        <v>1067</v>
      </c>
      <c r="I783" s="116" t="s">
        <v>310</v>
      </c>
      <c r="J783" s="29" t="s">
        <v>16</v>
      </c>
      <c r="K783" s="29">
        <v>0.69</v>
      </c>
      <c r="L783" s="116"/>
      <c r="M783" s="29" t="s">
        <v>363</v>
      </c>
      <c r="N783" s="29">
        <v>27</v>
      </c>
      <c r="O783" s="115">
        <v>30</v>
      </c>
      <c r="P783" s="29">
        <v>34.089556218344633</v>
      </c>
      <c r="Q783" s="29">
        <v>0.9</v>
      </c>
      <c r="R783" s="29">
        <v>89.8</v>
      </c>
      <c r="S783" s="29">
        <v>0.82</v>
      </c>
      <c r="T783" s="29">
        <v>10</v>
      </c>
      <c r="U783" s="29">
        <v>0</v>
      </c>
      <c r="V783" s="29">
        <v>0</v>
      </c>
      <c r="W783" s="29">
        <v>0</v>
      </c>
      <c r="X783" s="29">
        <v>0</v>
      </c>
      <c r="Y783" s="29">
        <v>3.0066815144766146</v>
      </c>
      <c r="Z783" s="29">
        <v>2.098676606952377</v>
      </c>
      <c r="AA783" s="29" t="s">
        <v>1602</v>
      </c>
      <c r="AB783" s="29"/>
      <c r="AC783" s="29"/>
      <c r="AD783" s="29"/>
      <c r="AE783" s="29" t="s">
        <v>1646</v>
      </c>
      <c r="AF783" s="29"/>
      <c r="AG783" s="29"/>
    </row>
    <row r="784" spans="1:33">
      <c r="A784" s="29" t="s">
        <v>1584</v>
      </c>
      <c r="B784" s="29" t="s">
        <v>1575</v>
      </c>
      <c r="C784" s="29" t="s">
        <v>1596</v>
      </c>
      <c r="D784" s="29" t="s">
        <v>708</v>
      </c>
      <c r="E784" s="29" t="s">
        <v>15</v>
      </c>
      <c r="F784" s="29" t="s">
        <v>1089</v>
      </c>
      <c r="G784" s="29" t="s">
        <v>1659</v>
      </c>
      <c r="H784" s="29" t="s">
        <v>1069</v>
      </c>
      <c r="I784" s="116" t="s">
        <v>310</v>
      </c>
      <c r="J784" s="29" t="s">
        <v>41</v>
      </c>
      <c r="K784" s="29">
        <v>0.69</v>
      </c>
      <c r="L784" s="116"/>
      <c r="M784" s="29" t="s">
        <v>311</v>
      </c>
      <c r="N784" s="29">
        <v>2.7</v>
      </c>
      <c r="O784" s="115">
        <v>3</v>
      </c>
      <c r="P784" s="29">
        <v>3.4089556218344637</v>
      </c>
      <c r="Q784" s="29">
        <v>0.9</v>
      </c>
      <c r="R784" s="29">
        <v>89.8</v>
      </c>
      <c r="S784" s="29">
        <v>0.82</v>
      </c>
      <c r="T784" s="29">
        <v>100</v>
      </c>
      <c r="U784" s="29">
        <v>3.006681514476615</v>
      </c>
      <c r="V784" s="29">
        <v>2.098676606952377</v>
      </c>
      <c r="W784" s="29">
        <v>0</v>
      </c>
      <c r="X784" s="29">
        <v>0</v>
      </c>
      <c r="Y784" s="29">
        <v>0</v>
      </c>
      <c r="Z784" s="29">
        <v>0</v>
      </c>
      <c r="AA784" s="29" t="s">
        <v>1602</v>
      </c>
      <c r="AB784" s="29"/>
      <c r="AC784" s="29"/>
      <c r="AD784" s="29"/>
      <c r="AE784" s="29" t="s">
        <v>1648</v>
      </c>
      <c r="AF784" s="29"/>
      <c r="AG784" s="29"/>
    </row>
    <row r="785" spans="1:33">
      <c r="A785" s="29" t="s">
        <v>1584</v>
      </c>
      <c r="B785" s="29" t="s">
        <v>1575</v>
      </c>
      <c r="C785" s="29" t="s">
        <v>1596</v>
      </c>
      <c r="D785" s="29" t="s">
        <v>708</v>
      </c>
      <c r="E785" s="29" t="s">
        <v>15</v>
      </c>
      <c r="F785" s="29" t="s">
        <v>1089</v>
      </c>
      <c r="G785" s="29" t="s">
        <v>1660</v>
      </c>
      <c r="H785" s="29" t="s">
        <v>1065</v>
      </c>
      <c r="I785" s="116" t="s">
        <v>310</v>
      </c>
      <c r="J785" s="29" t="s">
        <v>16</v>
      </c>
      <c r="K785" s="29">
        <v>0.69</v>
      </c>
      <c r="L785" s="116"/>
      <c r="M785" s="29" t="s">
        <v>363</v>
      </c>
      <c r="N785" s="29">
        <v>27</v>
      </c>
      <c r="O785" s="115">
        <v>30</v>
      </c>
      <c r="P785" s="29">
        <v>34.089556218344633</v>
      </c>
      <c r="Q785" s="29">
        <v>0.9</v>
      </c>
      <c r="R785" s="29">
        <v>89.8</v>
      </c>
      <c r="S785" s="29">
        <v>0.82</v>
      </c>
      <c r="T785" s="29">
        <v>10</v>
      </c>
      <c r="U785" s="29">
        <v>0</v>
      </c>
      <c r="V785" s="29">
        <v>0</v>
      </c>
      <c r="W785" s="29">
        <v>0</v>
      </c>
      <c r="X785" s="29">
        <v>0</v>
      </c>
      <c r="Y785" s="29">
        <v>3.0066815144766146</v>
      </c>
      <c r="Z785" s="29">
        <v>2.098676606952377</v>
      </c>
      <c r="AA785" s="29" t="s">
        <v>1602</v>
      </c>
      <c r="AB785" s="29"/>
      <c r="AC785" s="29"/>
      <c r="AD785" s="29"/>
      <c r="AE785" s="29" t="s">
        <v>1646</v>
      </c>
      <c r="AF785" s="29"/>
      <c r="AG785" s="29"/>
    </row>
    <row r="786" spans="1:33">
      <c r="A786" s="29" t="s">
        <v>1584</v>
      </c>
      <c r="B786" s="29" t="s">
        <v>1575</v>
      </c>
      <c r="C786" s="29" t="s">
        <v>1596</v>
      </c>
      <c r="D786" s="29" t="s">
        <v>708</v>
      </c>
      <c r="E786" s="29" t="s">
        <v>321</v>
      </c>
      <c r="F786" s="29" t="s">
        <v>1086</v>
      </c>
      <c r="G786" s="29" t="s">
        <v>1661</v>
      </c>
      <c r="H786" s="29" t="s">
        <v>1067</v>
      </c>
      <c r="I786" s="116" t="s">
        <v>310</v>
      </c>
      <c r="J786" s="29" t="s">
        <v>16</v>
      </c>
      <c r="K786" s="29">
        <v>0.69</v>
      </c>
      <c r="L786" s="116"/>
      <c r="M786" s="29" t="s">
        <v>363</v>
      </c>
      <c r="N786" s="29">
        <v>27</v>
      </c>
      <c r="O786" s="115">
        <v>30</v>
      </c>
      <c r="P786" s="29">
        <v>34.089556218344633</v>
      </c>
      <c r="Q786" s="29">
        <v>0.9</v>
      </c>
      <c r="R786" s="29">
        <v>89.8</v>
      </c>
      <c r="S786" s="29">
        <v>0.82</v>
      </c>
      <c r="T786" s="29">
        <v>10</v>
      </c>
      <c r="U786" s="29">
        <v>0</v>
      </c>
      <c r="V786" s="29">
        <v>0</v>
      </c>
      <c r="W786" s="29">
        <v>0</v>
      </c>
      <c r="X786" s="29">
        <v>0</v>
      </c>
      <c r="Y786" s="29">
        <v>3.0066815144766146</v>
      </c>
      <c r="Z786" s="29">
        <v>2.098676606952377</v>
      </c>
      <c r="AA786" s="29" t="s">
        <v>1602</v>
      </c>
      <c r="AB786" s="29"/>
      <c r="AC786" s="29"/>
      <c r="AD786" s="29"/>
      <c r="AE786" s="29" t="s">
        <v>1646</v>
      </c>
      <c r="AF786" s="29"/>
      <c r="AG786" s="29"/>
    </row>
    <row r="787" spans="1:33">
      <c r="A787" s="29" t="s">
        <v>1584</v>
      </c>
      <c r="B787" s="29" t="s">
        <v>1575</v>
      </c>
      <c r="C787" s="29" t="s">
        <v>1596</v>
      </c>
      <c r="D787" s="29" t="s">
        <v>708</v>
      </c>
      <c r="E787" s="29" t="s">
        <v>15</v>
      </c>
      <c r="F787" s="29" t="s">
        <v>1089</v>
      </c>
      <c r="G787" s="29" t="s">
        <v>1662</v>
      </c>
      <c r="H787" s="29" t="s">
        <v>1069</v>
      </c>
      <c r="I787" s="116" t="s">
        <v>310</v>
      </c>
      <c r="J787" s="29" t="s">
        <v>41</v>
      </c>
      <c r="K787" s="29">
        <v>0.69</v>
      </c>
      <c r="L787" s="116"/>
      <c r="M787" s="29" t="s">
        <v>363</v>
      </c>
      <c r="N787" s="29">
        <v>2.7</v>
      </c>
      <c r="O787" s="115">
        <v>3</v>
      </c>
      <c r="P787" s="29">
        <v>3.4089556218344637</v>
      </c>
      <c r="Q787" s="29">
        <v>0.9</v>
      </c>
      <c r="R787" s="29">
        <v>89.8</v>
      </c>
      <c r="S787" s="29">
        <v>0.82</v>
      </c>
      <c r="T787" s="29">
        <v>10</v>
      </c>
      <c r="U787" s="29">
        <v>0</v>
      </c>
      <c r="V787" s="29">
        <v>0</v>
      </c>
      <c r="W787" s="29">
        <v>0</v>
      </c>
      <c r="X787" s="29">
        <v>0</v>
      </c>
      <c r="Y787" s="29">
        <v>0.30066815144766151</v>
      </c>
      <c r="Z787" s="29">
        <v>0.20986766069523771</v>
      </c>
      <c r="AA787" s="29" t="s">
        <v>1602</v>
      </c>
      <c r="AB787" s="29"/>
      <c r="AC787" s="29"/>
      <c r="AD787" s="29"/>
      <c r="AE787" s="29" t="s">
        <v>1663</v>
      </c>
      <c r="AF787" s="29"/>
      <c r="AG787" s="29"/>
    </row>
    <row r="788" spans="1:33">
      <c r="A788" s="29" t="s">
        <v>1584</v>
      </c>
      <c r="B788" s="29" t="s">
        <v>1580</v>
      </c>
      <c r="C788" s="29" t="s">
        <v>1633</v>
      </c>
      <c r="D788" s="29" t="s">
        <v>708</v>
      </c>
      <c r="E788" s="29" t="s">
        <v>321</v>
      </c>
      <c r="F788" s="29" t="s">
        <v>1086</v>
      </c>
      <c r="G788" s="29" t="s">
        <v>1092</v>
      </c>
      <c r="H788" s="29" t="s">
        <v>1664</v>
      </c>
      <c r="I788" s="116" t="s">
        <v>310</v>
      </c>
      <c r="J788" s="29" t="s">
        <v>1015</v>
      </c>
      <c r="K788" s="29">
        <v>0.69</v>
      </c>
      <c r="L788" s="116"/>
      <c r="M788" s="29" t="s">
        <v>311</v>
      </c>
      <c r="N788" s="29"/>
      <c r="O788" s="115"/>
      <c r="P788" s="29" t="e">
        <v>#DIV/0!</v>
      </c>
      <c r="Q788" s="29"/>
      <c r="R788" s="29"/>
      <c r="S788" s="29"/>
      <c r="T788" s="29">
        <v>100</v>
      </c>
      <c r="U788" s="29">
        <v>193.92499999999998</v>
      </c>
      <c r="V788" s="29">
        <v>63.740065096811094</v>
      </c>
      <c r="W788" s="29">
        <v>4.7519999999999989</v>
      </c>
      <c r="X788" s="29">
        <v>1.5619068678099581</v>
      </c>
      <c r="Y788" s="29">
        <v>1.9796</v>
      </c>
      <c r="Z788" s="29">
        <v>0.65066305461207774</v>
      </c>
      <c r="AA788" s="29"/>
      <c r="AB788" s="29"/>
      <c r="AC788" s="29" t="s">
        <v>1665</v>
      </c>
      <c r="AD788" s="29" t="s">
        <v>1635</v>
      </c>
      <c r="AE788" s="29" t="s">
        <v>1624</v>
      </c>
      <c r="AF788" s="29"/>
      <c r="AG788" s="29"/>
    </row>
    <row r="789" spans="1:33">
      <c r="A789" s="29" t="s">
        <v>1666</v>
      </c>
      <c r="B789" s="29" t="s">
        <v>1580</v>
      </c>
      <c r="C789" s="29" t="s">
        <v>317</v>
      </c>
      <c r="D789" s="29" t="s">
        <v>708</v>
      </c>
      <c r="E789" s="29" t="s">
        <v>321</v>
      </c>
      <c r="F789" s="29" t="s">
        <v>1086</v>
      </c>
      <c r="G789" s="29" t="s">
        <v>1269</v>
      </c>
      <c r="H789" s="29" t="s">
        <v>1667</v>
      </c>
      <c r="I789" s="116" t="s">
        <v>310</v>
      </c>
      <c r="J789" s="29" t="s">
        <v>43</v>
      </c>
      <c r="K789" s="29">
        <v>0.69</v>
      </c>
      <c r="L789" s="116"/>
      <c r="M789" s="29" t="s">
        <v>311</v>
      </c>
      <c r="N789" s="29"/>
      <c r="O789" s="115"/>
      <c r="P789" s="29" t="e">
        <v>#DIV/0!</v>
      </c>
      <c r="Q789" s="29"/>
      <c r="R789" s="29"/>
      <c r="S789" s="29"/>
      <c r="T789" s="29">
        <v>100</v>
      </c>
      <c r="U789" s="29">
        <v>167.36842105263159</v>
      </c>
      <c r="V789" s="29">
        <v>51.536634456679039</v>
      </c>
      <c r="W789" s="29">
        <v>0</v>
      </c>
      <c r="X789" s="29">
        <v>0</v>
      </c>
      <c r="Y789" s="29">
        <v>59.726652631578972</v>
      </c>
      <c r="Z789" s="29">
        <v>0</v>
      </c>
      <c r="AA789" s="29"/>
      <c r="AB789" s="29"/>
      <c r="AC789" s="29" t="s">
        <v>1668</v>
      </c>
      <c r="AD789" s="29" t="s">
        <v>1638</v>
      </c>
      <c r="AE789" s="29" t="s">
        <v>1639</v>
      </c>
      <c r="AF789" s="29"/>
      <c r="AG789" s="29"/>
    </row>
    <row r="790" spans="1:33">
      <c r="A790" s="29" t="s">
        <v>1615</v>
      </c>
      <c r="B790" s="29" t="s">
        <v>1580</v>
      </c>
      <c r="C790" s="29" t="s">
        <v>1633</v>
      </c>
      <c r="D790" s="29" t="s">
        <v>708</v>
      </c>
      <c r="E790" s="29" t="s">
        <v>15</v>
      </c>
      <c r="F790" s="29" t="s">
        <v>1089</v>
      </c>
      <c r="G790" s="29" t="s">
        <v>1090</v>
      </c>
      <c r="H790" s="29" t="s">
        <v>1091</v>
      </c>
      <c r="I790" s="116" t="s">
        <v>310</v>
      </c>
      <c r="J790" s="29" t="s">
        <v>1015</v>
      </c>
      <c r="K790" s="29">
        <v>0.69</v>
      </c>
      <c r="L790" s="116"/>
      <c r="M790" s="29" t="s">
        <v>311</v>
      </c>
      <c r="N790" s="29"/>
      <c r="O790" s="115"/>
      <c r="P790" s="29"/>
      <c r="Q790" s="29"/>
      <c r="R790" s="29"/>
      <c r="S790" s="29"/>
      <c r="T790" s="29">
        <v>100</v>
      </c>
      <c r="U790" s="29">
        <v>399.04100000000005</v>
      </c>
      <c r="V790" s="29">
        <v>131.1584340146787</v>
      </c>
      <c r="W790" s="29">
        <v>59.28929999999999</v>
      </c>
      <c r="X790" s="29">
        <v>19.487450517181177</v>
      </c>
      <c r="Y790" s="29">
        <v>1.6146</v>
      </c>
      <c r="Z790" s="29">
        <v>0.53069335622179259</v>
      </c>
      <c r="AA790" s="29"/>
      <c r="AB790" s="29"/>
      <c r="AC790" s="29" t="s">
        <v>1669</v>
      </c>
      <c r="AD790" s="29" t="s">
        <v>1634</v>
      </c>
      <c r="AE790" s="29" t="s">
        <v>1624</v>
      </c>
      <c r="AF790" s="29"/>
      <c r="AG790" s="29"/>
    </row>
    <row r="791" spans="1:33">
      <c r="A791" s="29" t="s">
        <v>1615</v>
      </c>
      <c r="B791" s="29" t="s">
        <v>1580</v>
      </c>
      <c r="C791" s="29" t="s">
        <v>1629</v>
      </c>
      <c r="D791" s="29" t="s">
        <v>708</v>
      </c>
      <c r="E791" s="29" t="s">
        <v>15</v>
      </c>
      <c r="F791" s="29" t="s">
        <v>1089</v>
      </c>
      <c r="G791" s="29" t="s">
        <v>1094</v>
      </c>
      <c r="H791" s="29" t="s">
        <v>1095</v>
      </c>
      <c r="I791" s="116" t="s">
        <v>310</v>
      </c>
      <c r="J791" s="29" t="s">
        <v>1015</v>
      </c>
      <c r="K791" s="29">
        <v>0.69</v>
      </c>
      <c r="L791" s="116"/>
      <c r="M791" s="29" t="s">
        <v>311</v>
      </c>
      <c r="N791" s="29">
        <v>0</v>
      </c>
      <c r="O791" s="115">
        <v>0</v>
      </c>
      <c r="P791" s="29"/>
      <c r="Q791" s="29"/>
      <c r="R791" s="29"/>
      <c r="S791" s="29"/>
      <c r="T791" s="29">
        <v>100</v>
      </c>
      <c r="U791" s="29">
        <v>38.488999999999997</v>
      </c>
      <c r="V791" s="29">
        <v>12.650722524229264</v>
      </c>
      <c r="W791" s="29">
        <v>6.7743000000000002</v>
      </c>
      <c r="X791" s="29">
        <v>2.2266047337131734</v>
      </c>
      <c r="Y791" s="29">
        <v>6.6600000000000006E-2</v>
      </c>
      <c r="Z791" s="29">
        <v>2.1890361404912292E-2</v>
      </c>
      <c r="AA791" s="29"/>
      <c r="AB791" s="29"/>
      <c r="AC791" s="29" t="s">
        <v>1669</v>
      </c>
      <c r="AD791" s="29" t="s">
        <v>1630</v>
      </c>
      <c r="AE791" s="29" t="s">
        <v>1624</v>
      </c>
      <c r="AF791" s="29"/>
      <c r="AG791" s="29"/>
    </row>
    <row r="792" spans="1:33">
      <c r="A792" s="29" t="s">
        <v>1615</v>
      </c>
      <c r="B792" s="29" t="s">
        <v>1580</v>
      </c>
      <c r="C792" s="29" t="s">
        <v>1629</v>
      </c>
      <c r="D792" s="29" t="s">
        <v>708</v>
      </c>
      <c r="E792" s="29" t="s">
        <v>321</v>
      </c>
      <c r="F792" s="29" t="s">
        <v>1086</v>
      </c>
      <c r="G792" s="29" t="s">
        <v>1096</v>
      </c>
      <c r="H792" s="29" t="s">
        <v>1670</v>
      </c>
      <c r="I792" s="116" t="s">
        <v>310</v>
      </c>
      <c r="J792" s="29" t="s">
        <v>1015</v>
      </c>
      <c r="K792" s="29">
        <v>0.69</v>
      </c>
      <c r="L792" s="116"/>
      <c r="M792" s="29" t="s">
        <v>311</v>
      </c>
      <c r="N792" s="29">
        <v>0</v>
      </c>
      <c r="O792" s="115">
        <v>0</v>
      </c>
      <c r="P792" s="29"/>
      <c r="Q792" s="29"/>
      <c r="R792" s="29"/>
      <c r="S792" s="29"/>
      <c r="T792" s="29">
        <v>100</v>
      </c>
      <c r="U792" s="29">
        <v>7.8840000000000003</v>
      </c>
      <c r="V792" s="29">
        <v>2.5913454852301574</v>
      </c>
      <c r="W792" s="29">
        <v>0.81</v>
      </c>
      <c r="X792" s="29">
        <v>0.26623412519487921</v>
      </c>
      <c r="Y792" s="29">
        <v>0</v>
      </c>
      <c r="Z792" s="29">
        <v>0</v>
      </c>
      <c r="AA792" s="29"/>
      <c r="AB792" s="29"/>
      <c r="AC792" s="29" t="s">
        <v>1669</v>
      </c>
      <c r="AD792" s="29" t="s">
        <v>1632</v>
      </c>
      <c r="AE792" s="29" t="s">
        <v>1624</v>
      </c>
      <c r="AF792" s="29"/>
      <c r="AG792" s="29"/>
    </row>
    <row r="793" spans="1:33">
      <c r="A793" s="29" t="s">
        <v>1574</v>
      </c>
      <c r="B793" s="29" t="s">
        <v>1575</v>
      </c>
      <c r="C793" s="29" t="s">
        <v>326</v>
      </c>
      <c r="D793" s="29" t="s">
        <v>708</v>
      </c>
      <c r="E793" s="29" t="s">
        <v>15</v>
      </c>
      <c r="F793" s="29" t="s">
        <v>1089</v>
      </c>
      <c r="G793" s="29" t="s">
        <v>709</v>
      </c>
      <c r="H793" s="29" t="s">
        <v>1098</v>
      </c>
      <c r="I793" s="116" t="s">
        <v>310</v>
      </c>
      <c r="J793" s="29" t="s">
        <v>711</v>
      </c>
      <c r="K793" s="29">
        <v>0.69</v>
      </c>
      <c r="L793" s="116" t="s">
        <v>1576</v>
      </c>
      <c r="M793" s="29" t="s">
        <v>311</v>
      </c>
      <c r="N793" s="29">
        <v>320</v>
      </c>
      <c r="O793" s="115">
        <v>355</v>
      </c>
      <c r="P793" s="29">
        <v>367.85452606868068</v>
      </c>
      <c r="Q793" s="29">
        <v>0.90140845070422537</v>
      </c>
      <c r="R793" s="29">
        <v>95</v>
      </c>
      <c r="S793" s="29">
        <v>0.85</v>
      </c>
      <c r="T793" s="29">
        <v>100</v>
      </c>
      <c r="U793" s="29">
        <v>336.84210526315786</v>
      </c>
      <c r="V793" s="29">
        <v>208.75598767262392</v>
      </c>
      <c r="W793" s="29">
        <v>0</v>
      </c>
      <c r="X793" s="29">
        <v>0</v>
      </c>
      <c r="Y793" s="29">
        <v>0</v>
      </c>
      <c r="Z793" s="29">
        <v>0</v>
      </c>
      <c r="AA793" s="29" t="s">
        <v>1592</v>
      </c>
      <c r="AB793" s="29" t="s">
        <v>1671</v>
      </c>
      <c r="AC793" s="29"/>
      <c r="AD793" s="29"/>
      <c r="AE793" s="29" t="s">
        <v>1672</v>
      </c>
      <c r="AF793" s="29"/>
      <c r="AG793" s="29"/>
    </row>
    <row r="794" spans="1:33">
      <c r="A794" s="29" t="s">
        <v>1673</v>
      </c>
      <c r="B794" s="29" t="s">
        <v>1575</v>
      </c>
      <c r="C794" s="29" t="s">
        <v>317</v>
      </c>
      <c r="D794" s="29" t="s">
        <v>708</v>
      </c>
      <c r="E794" s="29" t="s">
        <v>15</v>
      </c>
      <c r="F794" s="29" t="s">
        <v>1089</v>
      </c>
      <c r="G794" s="29" t="s">
        <v>1100</v>
      </c>
      <c r="H794" s="29" t="s">
        <v>1101</v>
      </c>
      <c r="I794" s="116" t="s">
        <v>310</v>
      </c>
      <c r="J794" s="29" t="s">
        <v>29</v>
      </c>
      <c r="K794" s="29">
        <v>0.69</v>
      </c>
      <c r="L794" s="116"/>
      <c r="M794" s="29" t="s">
        <v>311</v>
      </c>
      <c r="N794" s="29">
        <v>221</v>
      </c>
      <c r="O794" s="115">
        <v>250</v>
      </c>
      <c r="P794" s="29">
        <v>258.50825524118727</v>
      </c>
      <c r="Q794" s="29">
        <v>0.88400000000000001</v>
      </c>
      <c r="R794" s="29">
        <v>95.2</v>
      </c>
      <c r="S794" s="29">
        <v>0.85</v>
      </c>
      <c r="T794" s="29">
        <v>100</v>
      </c>
      <c r="U794" s="29">
        <v>232.14285714285711</v>
      </c>
      <c r="V794" s="29">
        <v>143.86922141500585</v>
      </c>
      <c r="W794" s="29">
        <v>0</v>
      </c>
      <c r="X794" s="29">
        <v>0</v>
      </c>
      <c r="Y794" s="29">
        <v>0</v>
      </c>
      <c r="Z794" s="29">
        <v>0</v>
      </c>
      <c r="AA794" s="29" t="s">
        <v>1589</v>
      </c>
      <c r="AB794" s="29"/>
      <c r="AC794" s="29"/>
      <c r="AD794" s="29"/>
      <c r="AE794" s="29" t="s">
        <v>1674</v>
      </c>
      <c r="AF794" s="29"/>
      <c r="AG794" s="29"/>
    </row>
    <row r="795" spans="1:33">
      <c r="A795" s="29" t="s">
        <v>1649</v>
      </c>
      <c r="B795" s="29" t="s">
        <v>1575</v>
      </c>
      <c r="C795" s="29" t="s">
        <v>317</v>
      </c>
      <c r="D795" s="29" t="s">
        <v>708</v>
      </c>
      <c r="E795" s="29" t="s">
        <v>321</v>
      </c>
      <c r="F795" s="29" t="s">
        <v>1086</v>
      </c>
      <c r="G795" s="29" t="s">
        <v>1102</v>
      </c>
      <c r="H795" s="29" t="s">
        <v>1101</v>
      </c>
      <c r="I795" s="116" t="s">
        <v>310</v>
      </c>
      <c r="J795" s="29" t="s">
        <v>29</v>
      </c>
      <c r="K795" s="29">
        <v>0.69</v>
      </c>
      <c r="L795" s="116"/>
      <c r="M795" s="29" t="s">
        <v>363</v>
      </c>
      <c r="N795" s="29">
        <v>221</v>
      </c>
      <c r="O795" s="115">
        <v>250</v>
      </c>
      <c r="P795" s="29">
        <v>258.50825524118727</v>
      </c>
      <c r="Q795" s="29">
        <v>0.88400000000000001</v>
      </c>
      <c r="R795" s="29">
        <v>95.2</v>
      </c>
      <c r="S795" s="29">
        <v>0.85</v>
      </c>
      <c r="T795" s="29">
        <v>10</v>
      </c>
      <c r="U795" s="29">
        <v>0</v>
      </c>
      <c r="V795" s="29">
        <v>0</v>
      </c>
      <c r="W795" s="29">
        <v>0</v>
      </c>
      <c r="X795" s="29">
        <v>0</v>
      </c>
      <c r="Y795" s="29">
        <v>23.214285714285712</v>
      </c>
      <c r="Z795" s="29">
        <v>14.386922141500586</v>
      </c>
      <c r="AA795" s="29" t="s">
        <v>1589</v>
      </c>
      <c r="AB795" s="29"/>
      <c r="AC795" s="29"/>
      <c r="AD795" s="29"/>
      <c r="AE795" s="29" t="s">
        <v>1675</v>
      </c>
      <c r="AF795" s="29"/>
      <c r="AG795" s="29"/>
    </row>
    <row r="796" spans="1:33">
      <c r="A796" s="29" t="s">
        <v>1585</v>
      </c>
      <c r="B796" s="29" t="s">
        <v>1595</v>
      </c>
      <c r="C796" s="29" t="s">
        <v>1596</v>
      </c>
      <c r="D796" s="29" t="s">
        <v>708</v>
      </c>
      <c r="E796" s="29" t="s">
        <v>15</v>
      </c>
      <c r="F796" s="29" t="s">
        <v>1089</v>
      </c>
      <c r="G796" s="29" t="s">
        <v>1676</v>
      </c>
      <c r="H796" s="29" t="s">
        <v>1104</v>
      </c>
      <c r="I796" s="116" t="s">
        <v>310</v>
      </c>
      <c r="J796" s="29" t="s">
        <v>1088</v>
      </c>
      <c r="K796" s="29">
        <v>0.69</v>
      </c>
      <c r="L796" s="116"/>
      <c r="M796" s="29" t="s">
        <v>311</v>
      </c>
      <c r="N796" s="29">
        <v>153.1</v>
      </c>
      <c r="O796" s="115">
        <v>184</v>
      </c>
      <c r="P796" s="29">
        <v>162.06323345673709</v>
      </c>
      <c r="Q796" s="29">
        <v>0.83206521739130435</v>
      </c>
      <c r="R796" s="29">
        <v>95</v>
      </c>
      <c r="S796" s="29">
        <v>1</v>
      </c>
      <c r="T796" s="29">
        <v>100</v>
      </c>
      <c r="U796" s="29">
        <v>161.15789473684211</v>
      </c>
      <c r="V796" s="29">
        <v>0</v>
      </c>
      <c r="W796" s="29">
        <v>0</v>
      </c>
      <c r="X796" s="29">
        <v>0</v>
      </c>
      <c r="Y796" s="29">
        <v>0</v>
      </c>
      <c r="Z796" s="29">
        <v>0</v>
      </c>
      <c r="AA796" s="29" t="s">
        <v>1577</v>
      </c>
      <c r="AB796" s="29" t="s">
        <v>1677</v>
      </c>
      <c r="AC796" s="29"/>
      <c r="AD796" s="29"/>
      <c r="AE796" s="29" t="s">
        <v>1678</v>
      </c>
      <c r="AF796" s="29"/>
      <c r="AG796" s="29"/>
    </row>
    <row r="797" spans="1:33">
      <c r="A797" s="29" t="s">
        <v>1585</v>
      </c>
      <c r="B797" s="29" t="s">
        <v>1595</v>
      </c>
      <c r="C797" s="29" t="s">
        <v>1596</v>
      </c>
      <c r="D797" s="29" t="s">
        <v>708</v>
      </c>
      <c r="E797" s="29" t="s">
        <v>321</v>
      </c>
      <c r="F797" s="29" t="s">
        <v>1086</v>
      </c>
      <c r="G797" s="29" t="s">
        <v>1679</v>
      </c>
      <c r="H797" s="29" t="s">
        <v>1104</v>
      </c>
      <c r="I797" s="116" t="s">
        <v>310</v>
      </c>
      <c r="J797" s="29" t="s">
        <v>1088</v>
      </c>
      <c r="K797" s="29">
        <v>0.69</v>
      </c>
      <c r="L797" s="116"/>
      <c r="M797" s="29" t="s">
        <v>363</v>
      </c>
      <c r="N797" s="29">
        <v>153.1</v>
      </c>
      <c r="O797" s="115">
        <v>184</v>
      </c>
      <c r="P797" s="29">
        <v>162.06323345673709</v>
      </c>
      <c r="Q797" s="29">
        <v>0.83206521739130435</v>
      </c>
      <c r="R797" s="29">
        <v>95</v>
      </c>
      <c r="S797" s="29">
        <v>1</v>
      </c>
      <c r="T797" s="29">
        <v>10</v>
      </c>
      <c r="U797" s="29">
        <v>0</v>
      </c>
      <c r="V797" s="29">
        <v>0</v>
      </c>
      <c r="W797" s="29">
        <v>0</v>
      </c>
      <c r="X797" s="29">
        <v>0</v>
      </c>
      <c r="Y797" s="29">
        <v>16.11578947368421</v>
      </c>
      <c r="Z797" s="29">
        <v>0</v>
      </c>
      <c r="AA797" s="29" t="s">
        <v>1577</v>
      </c>
      <c r="AB797" s="29" t="s">
        <v>1677</v>
      </c>
      <c r="AC797" s="29"/>
      <c r="AD797" s="29"/>
      <c r="AE797" s="29" t="s">
        <v>1678</v>
      </c>
      <c r="AF797" s="29"/>
      <c r="AG797" s="29"/>
    </row>
    <row r="798" spans="1:33">
      <c r="A798" s="29" t="s">
        <v>1574</v>
      </c>
      <c r="B798" s="29" t="s">
        <v>1575</v>
      </c>
      <c r="C798" s="29" t="s">
        <v>317</v>
      </c>
      <c r="D798" s="29" t="s">
        <v>708</v>
      </c>
      <c r="E798" s="29" t="s">
        <v>15</v>
      </c>
      <c r="F798" s="29" t="s">
        <v>1089</v>
      </c>
      <c r="G798" s="29" t="s">
        <v>1106</v>
      </c>
      <c r="H798" s="29" t="s">
        <v>1107</v>
      </c>
      <c r="I798" s="116" t="s">
        <v>310</v>
      </c>
      <c r="J798" s="29" t="s">
        <v>29</v>
      </c>
      <c r="K798" s="29">
        <v>0.69</v>
      </c>
      <c r="L798" s="116"/>
      <c r="M798" s="29" t="s">
        <v>311</v>
      </c>
      <c r="N798" s="29">
        <v>219</v>
      </c>
      <c r="O798" s="115">
        <v>250</v>
      </c>
      <c r="P798" s="29">
        <v>259.87313515270358</v>
      </c>
      <c r="Q798" s="29">
        <v>0.876</v>
      </c>
      <c r="R798" s="29">
        <v>94.7</v>
      </c>
      <c r="S798" s="29">
        <v>0.85</v>
      </c>
      <c r="T798" s="29">
        <v>100</v>
      </c>
      <c r="U798" s="29">
        <v>231.25659978880674</v>
      </c>
      <c r="V798" s="29">
        <v>143.31996843746504</v>
      </c>
      <c r="W798" s="29">
        <v>0</v>
      </c>
      <c r="X798" s="29">
        <v>0</v>
      </c>
      <c r="Y798" s="29">
        <v>0</v>
      </c>
      <c r="Z798" s="29">
        <v>0</v>
      </c>
      <c r="AA798" s="29" t="s">
        <v>1589</v>
      </c>
      <c r="AB798" s="29"/>
      <c r="AC798" s="29"/>
      <c r="AD798" s="29"/>
      <c r="AE798" s="29" t="s">
        <v>1680</v>
      </c>
      <c r="AF798" s="29"/>
      <c r="AG798" s="29"/>
    </row>
    <row r="799" spans="1:33">
      <c r="A799" s="29" t="s">
        <v>321</v>
      </c>
      <c r="B799" s="29" t="s">
        <v>1575</v>
      </c>
      <c r="C799" s="29" t="s">
        <v>317</v>
      </c>
      <c r="D799" s="29" t="s">
        <v>708</v>
      </c>
      <c r="E799" s="29" t="s">
        <v>321</v>
      </c>
      <c r="F799" s="29" t="s">
        <v>1086</v>
      </c>
      <c r="G799" s="29" t="s">
        <v>1108</v>
      </c>
      <c r="H799" s="29" t="s">
        <v>1107</v>
      </c>
      <c r="I799" s="116" t="s">
        <v>310</v>
      </c>
      <c r="J799" s="29" t="s">
        <v>29</v>
      </c>
      <c r="K799" s="29">
        <v>0.69</v>
      </c>
      <c r="L799" s="116"/>
      <c r="M799" s="29" t="s">
        <v>363</v>
      </c>
      <c r="N799" s="29">
        <v>219</v>
      </c>
      <c r="O799" s="115">
        <v>250</v>
      </c>
      <c r="P799" s="29">
        <v>259.87313515270358</v>
      </c>
      <c r="Q799" s="29">
        <v>0.876</v>
      </c>
      <c r="R799" s="29">
        <v>94.7</v>
      </c>
      <c r="S799" s="29">
        <v>0.85</v>
      </c>
      <c r="T799" s="29">
        <v>10</v>
      </c>
      <c r="U799" s="29">
        <v>0</v>
      </c>
      <c r="V799" s="29">
        <v>0</v>
      </c>
      <c r="W799" s="29">
        <v>0</v>
      </c>
      <c r="X799" s="29">
        <v>0</v>
      </c>
      <c r="Y799" s="29">
        <v>23.125659978880677</v>
      </c>
      <c r="Z799" s="29">
        <v>14.331996843746504</v>
      </c>
      <c r="AA799" s="29" t="s">
        <v>1589</v>
      </c>
      <c r="AB799" s="29"/>
      <c r="AC799" s="29"/>
      <c r="AD799" s="29"/>
      <c r="AE799" s="29" t="s">
        <v>1681</v>
      </c>
      <c r="AF799" s="29"/>
      <c r="AG799" s="29"/>
    </row>
    <row r="800" spans="1:33">
      <c r="A800" s="29" t="s">
        <v>321</v>
      </c>
      <c r="B800" s="29" t="s">
        <v>1595</v>
      </c>
      <c r="C800" s="29" t="s">
        <v>317</v>
      </c>
      <c r="D800" s="29" t="s">
        <v>708</v>
      </c>
      <c r="E800" s="29" t="s">
        <v>15</v>
      </c>
      <c r="F800" s="29" t="s">
        <v>1089</v>
      </c>
      <c r="G800" s="29" t="s">
        <v>728</v>
      </c>
      <c r="H800" s="29" t="s">
        <v>1109</v>
      </c>
      <c r="I800" s="116" t="s">
        <v>310</v>
      </c>
      <c r="J800" s="29" t="s">
        <v>1030</v>
      </c>
      <c r="K800" s="29">
        <v>0.69</v>
      </c>
      <c r="L800" s="116"/>
      <c r="M800" s="29" t="s">
        <v>353</v>
      </c>
      <c r="N800" s="29">
        <v>12</v>
      </c>
      <c r="O800" s="115">
        <v>15</v>
      </c>
      <c r="P800" s="29">
        <v>13.211676640494872</v>
      </c>
      <c r="Q800" s="29">
        <v>0.8</v>
      </c>
      <c r="R800" s="29">
        <v>95</v>
      </c>
      <c r="S800" s="29">
        <v>1</v>
      </c>
      <c r="T800" s="29">
        <v>30</v>
      </c>
      <c r="U800" s="29">
        <v>0</v>
      </c>
      <c r="V800" s="29">
        <v>0</v>
      </c>
      <c r="W800" s="29">
        <v>3.7894736842105265</v>
      </c>
      <c r="X800" s="29">
        <v>0</v>
      </c>
      <c r="Y800" s="29">
        <v>0</v>
      </c>
      <c r="Z800" s="29">
        <v>0</v>
      </c>
      <c r="AA800" s="29" t="s">
        <v>1589</v>
      </c>
      <c r="AB800" s="29"/>
      <c r="AC800" s="29"/>
      <c r="AD800" s="29"/>
      <c r="AE800" s="29" t="s">
        <v>1682</v>
      </c>
      <c r="AF800" s="29"/>
      <c r="AG800" s="29"/>
    </row>
    <row r="801" spans="1:33">
      <c r="A801" s="29" t="s">
        <v>321</v>
      </c>
      <c r="B801" s="29" t="s">
        <v>1595</v>
      </c>
      <c r="C801" s="29" t="s">
        <v>317</v>
      </c>
      <c r="D801" s="29" t="s">
        <v>708</v>
      </c>
      <c r="E801" s="29" t="s">
        <v>15</v>
      </c>
      <c r="F801" s="29" t="s">
        <v>1089</v>
      </c>
      <c r="G801" s="29" t="s">
        <v>732</v>
      </c>
      <c r="H801" s="29" t="s">
        <v>1110</v>
      </c>
      <c r="I801" s="116" t="s">
        <v>310</v>
      </c>
      <c r="J801" s="29" t="s">
        <v>1030</v>
      </c>
      <c r="K801" s="29">
        <v>0.69</v>
      </c>
      <c r="L801" s="116"/>
      <c r="M801" s="29" t="s">
        <v>311</v>
      </c>
      <c r="N801" s="29">
        <v>28</v>
      </c>
      <c r="O801" s="115">
        <v>35</v>
      </c>
      <c r="P801" s="29">
        <v>30.827245494488036</v>
      </c>
      <c r="Q801" s="29">
        <v>0.8</v>
      </c>
      <c r="R801" s="29">
        <v>95</v>
      </c>
      <c r="S801" s="29">
        <v>1</v>
      </c>
      <c r="T801" s="29">
        <v>30</v>
      </c>
      <c r="U801" s="29">
        <v>8.8421052631578938</v>
      </c>
      <c r="V801" s="29">
        <v>0</v>
      </c>
      <c r="W801" s="29">
        <v>0</v>
      </c>
      <c r="X801" s="29">
        <v>0</v>
      </c>
      <c r="Y801" s="29">
        <v>0</v>
      </c>
      <c r="Z801" s="29">
        <v>0</v>
      </c>
      <c r="AA801" s="29" t="s">
        <v>1577</v>
      </c>
      <c r="AB801" s="29" t="s">
        <v>1683</v>
      </c>
      <c r="AC801" s="29"/>
      <c r="AD801" s="29"/>
      <c r="AE801" s="29" t="s">
        <v>1682</v>
      </c>
      <c r="AF801" s="29"/>
      <c r="AG801" s="29"/>
    </row>
    <row r="802" spans="1:33">
      <c r="A802" s="29" t="s">
        <v>1585</v>
      </c>
      <c r="B802" s="29" t="s">
        <v>1575</v>
      </c>
      <c r="C802" s="29" t="s">
        <v>386</v>
      </c>
      <c r="D802" s="29" t="s">
        <v>708</v>
      </c>
      <c r="E802" s="29" t="s">
        <v>15</v>
      </c>
      <c r="F802" s="29" t="s">
        <v>1089</v>
      </c>
      <c r="G802" s="29" t="s">
        <v>791</v>
      </c>
      <c r="H802" s="29" t="s">
        <v>1111</v>
      </c>
      <c r="I802" s="116" t="s">
        <v>310</v>
      </c>
      <c r="J802" s="29" t="s">
        <v>711</v>
      </c>
      <c r="K802" s="29">
        <v>0.69</v>
      </c>
      <c r="L802" s="116"/>
      <c r="M802" s="29" t="s">
        <v>311</v>
      </c>
      <c r="N802" s="29">
        <v>104.5</v>
      </c>
      <c r="O802" s="115">
        <v>110</v>
      </c>
      <c r="P802" s="29">
        <v>113.98309258466162</v>
      </c>
      <c r="Q802" s="29">
        <v>0.95</v>
      </c>
      <c r="R802" s="29">
        <v>95</v>
      </c>
      <c r="S802" s="29">
        <v>0.85</v>
      </c>
      <c r="T802" s="29">
        <v>100</v>
      </c>
      <c r="U802" s="29">
        <v>110.00000000000001</v>
      </c>
      <c r="V802" s="29">
        <v>68.171877224341259</v>
      </c>
      <c r="W802" s="29">
        <v>0</v>
      </c>
      <c r="X802" s="29">
        <v>0</v>
      </c>
      <c r="Y802" s="29">
        <v>0</v>
      </c>
      <c r="Z802" s="29">
        <v>0</v>
      </c>
      <c r="AA802" s="29" t="s">
        <v>1592</v>
      </c>
      <c r="AB802" s="29" t="s">
        <v>1684</v>
      </c>
      <c r="AC802" s="29"/>
      <c r="AD802" s="29"/>
      <c r="AE802" s="29" t="s">
        <v>1685</v>
      </c>
      <c r="AF802" s="29"/>
      <c r="AG802" s="29"/>
    </row>
    <row r="803" spans="1:33">
      <c r="A803" s="29" t="s">
        <v>1585</v>
      </c>
      <c r="B803" s="29" t="s">
        <v>1575</v>
      </c>
      <c r="C803" s="29" t="s">
        <v>386</v>
      </c>
      <c r="D803" s="29" t="s">
        <v>708</v>
      </c>
      <c r="E803" s="29" t="s">
        <v>321</v>
      </c>
      <c r="F803" s="29" t="s">
        <v>1086</v>
      </c>
      <c r="G803" s="29" t="s">
        <v>903</v>
      </c>
      <c r="H803" s="29" t="s">
        <v>1111</v>
      </c>
      <c r="I803" s="116" t="s">
        <v>310</v>
      </c>
      <c r="J803" s="29" t="s">
        <v>711</v>
      </c>
      <c r="K803" s="29">
        <v>0.69</v>
      </c>
      <c r="L803" s="116"/>
      <c r="M803" s="29" t="s">
        <v>353</v>
      </c>
      <c r="N803" s="29">
        <v>104.5</v>
      </c>
      <c r="O803" s="115">
        <v>110</v>
      </c>
      <c r="P803" s="29">
        <v>113.98309258466162</v>
      </c>
      <c r="Q803" s="29">
        <v>0.95</v>
      </c>
      <c r="R803" s="29">
        <v>95</v>
      </c>
      <c r="S803" s="29">
        <v>0.85</v>
      </c>
      <c r="T803" s="29">
        <v>30</v>
      </c>
      <c r="U803" s="29">
        <v>0</v>
      </c>
      <c r="V803" s="29">
        <v>0</v>
      </c>
      <c r="W803" s="29">
        <v>33</v>
      </c>
      <c r="X803" s="29">
        <v>20.451563167302378</v>
      </c>
      <c r="Y803" s="29">
        <v>0</v>
      </c>
      <c r="Z803" s="29">
        <v>0</v>
      </c>
      <c r="AA803" s="29" t="s">
        <v>1602</v>
      </c>
      <c r="AB803" s="29"/>
      <c r="AC803" s="29"/>
      <c r="AD803" s="29"/>
      <c r="AE803" s="29" t="s">
        <v>1686</v>
      </c>
      <c r="AF803" s="29"/>
      <c r="AG803" s="29"/>
    </row>
    <row r="804" spans="1:33">
      <c r="A804" s="29" t="s">
        <v>1585</v>
      </c>
      <c r="B804" s="29" t="s">
        <v>1575</v>
      </c>
      <c r="C804" s="29" t="s">
        <v>386</v>
      </c>
      <c r="D804" s="29" t="s">
        <v>708</v>
      </c>
      <c r="E804" s="29" t="s">
        <v>321</v>
      </c>
      <c r="F804" s="29" t="s">
        <v>1086</v>
      </c>
      <c r="G804" s="29" t="s">
        <v>1112</v>
      </c>
      <c r="H804" s="29" t="s">
        <v>1111</v>
      </c>
      <c r="I804" s="116" t="s">
        <v>310</v>
      </c>
      <c r="J804" s="29" t="s">
        <v>711</v>
      </c>
      <c r="K804" s="29">
        <v>0.69</v>
      </c>
      <c r="L804" s="116"/>
      <c r="M804" s="29" t="s">
        <v>363</v>
      </c>
      <c r="N804" s="29">
        <v>104.5</v>
      </c>
      <c r="O804" s="115">
        <v>110</v>
      </c>
      <c r="P804" s="29">
        <v>113.98309258466162</v>
      </c>
      <c r="Q804" s="29">
        <v>0.95</v>
      </c>
      <c r="R804" s="29">
        <v>95</v>
      </c>
      <c r="S804" s="29">
        <v>0.85</v>
      </c>
      <c r="T804" s="29">
        <v>10</v>
      </c>
      <c r="U804" s="29">
        <v>0</v>
      </c>
      <c r="V804" s="29">
        <v>0</v>
      </c>
      <c r="W804" s="29">
        <v>0</v>
      </c>
      <c r="X804" s="29">
        <v>0</v>
      </c>
      <c r="Y804" s="29">
        <v>11</v>
      </c>
      <c r="Z804" s="29">
        <v>6.8171877224341264</v>
      </c>
      <c r="AA804" s="29" t="s">
        <v>1602</v>
      </c>
      <c r="AB804" s="29"/>
      <c r="AC804" s="29"/>
      <c r="AD804" s="29"/>
      <c r="AE804" s="29" t="s">
        <v>1686</v>
      </c>
      <c r="AF804" s="29"/>
      <c r="AG804" s="29"/>
    </row>
    <row r="805" spans="1:33">
      <c r="A805" s="29" t="s">
        <v>1574</v>
      </c>
      <c r="B805" s="29" t="s">
        <v>1575</v>
      </c>
      <c r="C805" s="29" t="s">
        <v>326</v>
      </c>
      <c r="D805" s="29" t="s">
        <v>708</v>
      </c>
      <c r="E805" s="29" t="s">
        <v>321</v>
      </c>
      <c r="F805" s="29" t="s">
        <v>1086</v>
      </c>
      <c r="G805" s="29" t="s">
        <v>864</v>
      </c>
      <c r="H805" s="29" t="s">
        <v>1113</v>
      </c>
      <c r="I805" s="116" t="s">
        <v>310</v>
      </c>
      <c r="J805" s="29" t="s">
        <v>711</v>
      </c>
      <c r="K805" s="29">
        <v>0.69</v>
      </c>
      <c r="L805" s="116" t="s">
        <v>1576</v>
      </c>
      <c r="M805" s="29" t="s">
        <v>363</v>
      </c>
      <c r="N805" s="29">
        <v>320</v>
      </c>
      <c r="O805" s="115">
        <v>355</v>
      </c>
      <c r="P805" s="29">
        <v>367.85452606868068</v>
      </c>
      <c r="Q805" s="29">
        <v>0.90140845070422537</v>
      </c>
      <c r="R805" s="29">
        <v>95</v>
      </c>
      <c r="S805" s="29">
        <v>0.85</v>
      </c>
      <c r="T805" s="29">
        <v>10</v>
      </c>
      <c r="U805" s="29">
        <v>0</v>
      </c>
      <c r="V805" s="29">
        <v>0</v>
      </c>
      <c r="W805" s="29">
        <v>0</v>
      </c>
      <c r="X805" s="29">
        <v>0</v>
      </c>
      <c r="Y805" s="29">
        <v>33.684210526315788</v>
      </c>
      <c r="Z805" s="29">
        <v>20.875598767262392</v>
      </c>
      <c r="AA805" s="29" t="s">
        <v>1577</v>
      </c>
      <c r="AB805" s="29" t="s">
        <v>1641</v>
      </c>
      <c r="AC805" s="29"/>
      <c r="AD805" s="29"/>
      <c r="AE805" s="29" t="s">
        <v>1672</v>
      </c>
      <c r="AF805" s="29"/>
      <c r="AG805" s="29"/>
    </row>
    <row r="806" spans="1:33">
      <c r="A806" s="29" t="s">
        <v>1585</v>
      </c>
      <c r="B806" s="29" t="s">
        <v>1595</v>
      </c>
      <c r="C806" s="29" t="s">
        <v>1596</v>
      </c>
      <c r="D806" s="29" t="s">
        <v>708</v>
      </c>
      <c r="E806" s="29" t="s">
        <v>15</v>
      </c>
      <c r="F806" s="29" t="s">
        <v>1089</v>
      </c>
      <c r="G806" s="29" t="s">
        <v>1687</v>
      </c>
      <c r="H806" s="29" t="s">
        <v>1688</v>
      </c>
      <c r="I806" s="116" t="s">
        <v>310</v>
      </c>
      <c r="J806" s="29" t="s">
        <v>1030</v>
      </c>
      <c r="K806" s="29">
        <v>0.69</v>
      </c>
      <c r="L806" s="116"/>
      <c r="M806" s="29" t="s">
        <v>311</v>
      </c>
      <c r="N806" s="29">
        <v>20</v>
      </c>
      <c r="O806" s="115">
        <v>25</v>
      </c>
      <c r="P806" s="29">
        <v>25.905248314695822</v>
      </c>
      <c r="Q806" s="29">
        <v>0.8</v>
      </c>
      <c r="R806" s="29">
        <v>95</v>
      </c>
      <c r="S806" s="29">
        <v>0.85</v>
      </c>
      <c r="T806" s="29">
        <v>100</v>
      </c>
      <c r="U806" s="29">
        <v>21.052631578947366</v>
      </c>
      <c r="V806" s="29">
        <v>13.047249229538995</v>
      </c>
      <c r="W806" s="29">
        <v>0</v>
      </c>
      <c r="X806" s="29">
        <v>0</v>
      </c>
      <c r="Y806" s="29">
        <v>0</v>
      </c>
      <c r="Z806" s="29">
        <v>0</v>
      </c>
      <c r="AA806" s="29" t="s">
        <v>1602</v>
      </c>
      <c r="AB806" s="29"/>
      <c r="AC806" s="29"/>
      <c r="AD806" s="29"/>
      <c r="AE806" s="29" t="s">
        <v>1689</v>
      </c>
      <c r="AF806" s="29"/>
      <c r="AG806" s="29"/>
    </row>
    <row r="807" spans="1:33">
      <c r="A807" s="29" t="s">
        <v>1585</v>
      </c>
      <c r="B807" s="29" t="s">
        <v>1595</v>
      </c>
      <c r="C807" s="29" t="s">
        <v>1596</v>
      </c>
      <c r="D807" s="29" t="s">
        <v>708</v>
      </c>
      <c r="E807" s="29" t="s">
        <v>321</v>
      </c>
      <c r="F807" s="29" t="s">
        <v>1086</v>
      </c>
      <c r="G807" s="29" t="s">
        <v>1690</v>
      </c>
      <c r="H807" s="29" t="s">
        <v>1688</v>
      </c>
      <c r="I807" s="116" t="s">
        <v>310</v>
      </c>
      <c r="J807" s="29" t="s">
        <v>1030</v>
      </c>
      <c r="K807" s="29">
        <v>0.69</v>
      </c>
      <c r="L807" s="116"/>
      <c r="M807" s="29" t="s">
        <v>363</v>
      </c>
      <c r="N807" s="29">
        <v>20</v>
      </c>
      <c r="O807" s="115">
        <v>25</v>
      </c>
      <c r="P807" s="29">
        <v>25.905248314695822</v>
      </c>
      <c r="Q807" s="29">
        <v>0.8</v>
      </c>
      <c r="R807" s="29">
        <v>95</v>
      </c>
      <c r="S807" s="29">
        <v>0.85</v>
      </c>
      <c r="T807" s="29">
        <v>10</v>
      </c>
      <c r="U807" s="29">
        <v>0</v>
      </c>
      <c r="V807" s="29">
        <v>0</v>
      </c>
      <c r="W807" s="29">
        <v>0</v>
      </c>
      <c r="X807" s="29">
        <v>0</v>
      </c>
      <c r="Y807" s="29">
        <v>2.1052631578947367</v>
      </c>
      <c r="Z807" s="29">
        <v>1.3047249229538995</v>
      </c>
      <c r="AA807" s="29" t="s">
        <v>1602</v>
      </c>
      <c r="AB807" s="29"/>
      <c r="AC807" s="29"/>
      <c r="AD807" s="29"/>
      <c r="AE807" s="29" t="s">
        <v>1691</v>
      </c>
      <c r="AF807" s="29"/>
      <c r="AG807" s="29"/>
    </row>
    <row r="808" spans="1:33">
      <c r="A808" s="29" t="s">
        <v>1584</v>
      </c>
      <c r="B808" s="29" t="s">
        <v>1595</v>
      </c>
      <c r="C808" s="29" t="s">
        <v>317</v>
      </c>
      <c r="D808" s="29" t="s">
        <v>708</v>
      </c>
      <c r="E808" s="29" t="s">
        <v>15</v>
      </c>
      <c r="F808" s="29" t="s">
        <v>1089</v>
      </c>
      <c r="G808" s="29" t="s">
        <v>1115</v>
      </c>
      <c r="H808" s="29" t="s">
        <v>1116</v>
      </c>
      <c r="I808" s="116" t="s">
        <v>310</v>
      </c>
      <c r="J808" s="29" t="s">
        <v>16</v>
      </c>
      <c r="K808" s="29">
        <v>0.69</v>
      </c>
      <c r="L808" s="116"/>
      <c r="M808" s="29" t="s">
        <v>311</v>
      </c>
      <c r="N808" s="29">
        <v>14.8</v>
      </c>
      <c r="O808" s="115">
        <v>18.5</v>
      </c>
      <c r="P808" s="29">
        <v>20.60879903403783</v>
      </c>
      <c r="Q808" s="29">
        <v>0.8</v>
      </c>
      <c r="R808" s="29">
        <v>91.6</v>
      </c>
      <c r="S808" s="29">
        <v>0.82</v>
      </c>
      <c r="T808" s="29">
        <v>100</v>
      </c>
      <c r="U808" s="29">
        <v>16.157205240174672</v>
      </c>
      <c r="V808" s="29">
        <v>11.277798632152622</v>
      </c>
      <c r="W808" s="29">
        <v>0</v>
      </c>
      <c r="X808" s="29">
        <v>0</v>
      </c>
      <c r="Y808" s="29">
        <v>0</v>
      </c>
      <c r="Z808" s="29">
        <v>0</v>
      </c>
      <c r="AA808" s="29" t="s">
        <v>1592</v>
      </c>
      <c r="AB808" s="29" t="s">
        <v>1692</v>
      </c>
      <c r="AC808" s="29" t="s">
        <v>1693</v>
      </c>
      <c r="AD808" s="29"/>
      <c r="AE808" s="29" t="s">
        <v>1694</v>
      </c>
      <c r="AF808" s="29"/>
      <c r="AG808" s="29"/>
    </row>
    <row r="809" spans="1:33">
      <c r="A809" s="29" t="s">
        <v>1584</v>
      </c>
      <c r="B809" s="29" t="s">
        <v>1595</v>
      </c>
      <c r="C809" s="29" t="s">
        <v>317</v>
      </c>
      <c r="D809" s="29" t="s">
        <v>708</v>
      </c>
      <c r="E809" s="29" t="s">
        <v>15</v>
      </c>
      <c r="F809" s="29" t="s">
        <v>1089</v>
      </c>
      <c r="G809" s="29" t="s">
        <v>1117</v>
      </c>
      <c r="H809" s="29" t="s">
        <v>1118</v>
      </c>
      <c r="I809" s="116" t="s">
        <v>310</v>
      </c>
      <c r="J809" s="29" t="s">
        <v>16</v>
      </c>
      <c r="K809" s="29">
        <v>0.69</v>
      </c>
      <c r="L809" s="116"/>
      <c r="M809" s="29" t="s">
        <v>311</v>
      </c>
      <c r="N809" s="29">
        <v>14.8</v>
      </c>
      <c r="O809" s="115">
        <v>18.5</v>
      </c>
      <c r="P809" s="29">
        <v>20.60879903403783</v>
      </c>
      <c r="Q809" s="29">
        <v>0.8</v>
      </c>
      <c r="R809" s="29">
        <v>91.6</v>
      </c>
      <c r="S809" s="29">
        <v>0.82</v>
      </c>
      <c r="T809" s="29">
        <v>100</v>
      </c>
      <c r="U809" s="29">
        <v>16.157205240174672</v>
      </c>
      <c r="V809" s="29">
        <v>11.277798632152622</v>
      </c>
      <c r="W809" s="29">
        <v>0</v>
      </c>
      <c r="X809" s="29">
        <v>0</v>
      </c>
      <c r="Y809" s="29">
        <v>0</v>
      </c>
      <c r="Z809" s="29">
        <v>0</v>
      </c>
      <c r="AA809" s="29" t="s">
        <v>1592</v>
      </c>
      <c r="AB809" s="29" t="s">
        <v>1692</v>
      </c>
      <c r="AC809" s="29" t="s">
        <v>1693</v>
      </c>
      <c r="AD809" s="29"/>
      <c r="AE809" s="29" t="s">
        <v>1694</v>
      </c>
      <c r="AF809" s="29"/>
      <c r="AG809" s="29"/>
    </row>
    <row r="810" spans="1:33">
      <c r="A810" s="29" t="s">
        <v>1584</v>
      </c>
      <c r="B810" s="29" t="s">
        <v>1595</v>
      </c>
      <c r="C810" s="29" t="s">
        <v>317</v>
      </c>
      <c r="D810" s="29" t="s">
        <v>708</v>
      </c>
      <c r="E810" s="29" t="s">
        <v>15</v>
      </c>
      <c r="F810" s="29" t="s">
        <v>1089</v>
      </c>
      <c r="G810" s="29" t="s">
        <v>1119</v>
      </c>
      <c r="H810" s="29" t="s">
        <v>1120</v>
      </c>
      <c r="I810" s="116" t="s">
        <v>310</v>
      </c>
      <c r="J810" s="29" t="s">
        <v>16</v>
      </c>
      <c r="K810" s="29">
        <v>0.69</v>
      </c>
      <c r="L810" s="116"/>
      <c r="M810" s="29" t="s">
        <v>311</v>
      </c>
      <c r="N810" s="29">
        <v>14.8</v>
      </c>
      <c r="O810" s="115">
        <v>18.5</v>
      </c>
      <c r="P810" s="29">
        <v>20.60879903403783</v>
      </c>
      <c r="Q810" s="29">
        <v>0.8</v>
      </c>
      <c r="R810" s="29">
        <v>91.6</v>
      </c>
      <c r="S810" s="29">
        <v>0.82</v>
      </c>
      <c r="T810" s="29">
        <v>100</v>
      </c>
      <c r="U810" s="29">
        <v>16.157205240174672</v>
      </c>
      <c r="V810" s="29">
        <v>11.277798632152622</v>
      </c>
      <c r="W810" s="29">
        <v>0</v>
      </c>
      <c r="X810" s="29">
        <v>0</v>
      </c>
      <c r="Y810" s="29">
        <v>0</v>
      </c>
      <c r="Z810" s="29">
        <v>0</v>
      </c>
      <c r="AA810" s="29" t="s">
        <v>1592</v>
      </c>
      <c r="AB810" s="29" t="s">
        <v>1692</v>
      </c>
      <c r="AC810" s="29" t="s">
        <v>1693</v>
      </c>
      <c r="AD810" s="29"/>
      <c r="AE810" s="29" t="s">
        <v>1694</v>
      </c>
      <c r="AF810" s="29"/>
      <c r="AG810" s="29"/>
    </row>
    <row r="811" spans="1:33">
      <c r="A811" s="29" t="s">
        <v>1584</v>
      </c>
      <c r="B811" s="29" t="s">
        <v>1595</v>
      </c>
      <c r="C811" s="29" t="s">
        <v>317</v>
      </c>
      <c r="D811" s="29" t="s">
        <v>708</v>
      </c>
      <c r="E811" s="29" t="s">
        <v>15</v>
      </c>
      <c r="F811" s="29" t="s">
        <v>1089</v>
      </c>
      <c r="G811" s="29" t="s">
        <v>1121</v>
      </c>
      <c r="H811" s="29" t="s">
        <v>1122</v>
      </c>
      <c r="I811" s="116" t="s">
        <v>310</v>
      </c>
      <c r="J811" s="29" t="s">
        <v>16</v>
      </c>
      <c r="K811" s="29">
        <v>0.69</v>
      </c>
      <c r="L811" s="116"/>
      <c r="M811" s="29" t="s">
        <v>363</v>
      </c>
      <c r="N811" s="29">
        <v>14.8</v>
      </c>
      <c r="O811" s="115">
        <v>18.5</v>
      </c>
      <c r="P811" s="29">
        <v>20.60879903403783</v>
      </c>
      <c r="Q811" s="29">
        <v>0.8</v>
      </c>
      <c r="R811" s="29">
        <v>91.6</v>
      </c>
      <c r="S811" s="29">
        <v>0.82</v>
      </c>
      <c r="T811" s="29">
        <v>10</v>
      </c>
      <c r="U811" s="29">
        <v>0</v>
      </c>
      <c r="V811" s="29">
        <v>0</v>
      </c>
      <c r="W811" s="29">
        <v>0</v>
      </c>
      <c r="X811" s="29">
        <v>0</v>
      </c>
      <c r="Y811" s="29">
        <v>1.6157205240174675</v>
      </c>
      <c r="Z811" s="29">
        <v>1.1277798632152622</v>
      </c>
      <c r="AA811" s="29" t="s">
        <v>1592</v>
      </c>
      <c r="AB811" s="29" t="s">
        <v>1692</v>
      </c>
      <c r="AC811" s="29" t="s">
        <v>1693</v>
      </c>
      <c r="AD811" s="29"/>
      <c r="AE811" s="29" t="s">
        <v>1694</v>
      </c>
      <c r="AF811" s="29"/>
      <c r="AG811" s="29"/>
    </row>
    <row r="812" spans="1:33">
      <c r="A812" s="29" t="s">
        <v>1584</v>
      </c>
      <c r="B812" s="29" t="s">
        <v>1595</v>
      </c>
      <c r="C812" s="29" t="s">
        <v>317</v>
      </c>
      <c r="D812" s="29" t="s">
        <v>708</v>
      </c>
      <c r="E812" s="29" t="s">
        <v>15</v>
      </c>
      <c r="F812" s="29" t="s">
        <v>1089</v>
      </c>
      <c r="G812" s="29" t="s">
        <v>1123</v>
      </c>
      <c r="H812" s="29" t="s">
        <v>1124</v>
      </c>
      <c r="I812" s="116" t="s">
        <v>310</v>
      </c>
      <c r="J812" s="29" t="s">
        <v>16</v>
      </c>
      <c r="K812" s="29">
        <v>0.69</v>
      </c>
      <c r="L812" s="116"/>
      <c r="M812" s="29" t="s">
        <v>311</v>
      </c>
      <c r="N812" s="29">
        <v>14.8</v>
      </c>
      <c r="O812" s="115">
        <v>18.5</v>
      </c>
      <c r="P812" s="29">
        <v>20.60879903403783</v>
      </c>
      <c r="Q812" s="29">
        <v>0.8</v>
      </c>
      <c r="R812" s="29">
        <v>91.6</v>
      </c>
      <c r="S812" s="29">
        <v>0.82</v>
      </c>
      <c r="T812" s="29">
        <v>100</v>
      </c>
      <c r="U812" s="29">
        <v>16.157205240174672</v>
      </c>
      <c r="V812" s="29">
        <v>11.277798632152622</v>
      </c>
      <c r="W812" s="29">
        <v>0</v>
      </c>
      <c r="X812" s="29">
        <v>0</v>
      </c>
      <c r="Y812" s="29">
        <v>0</v>
      </c>
      <c r="Z812" s="29">
        <v>0</v>
      </c>
      <c r="AA812" s="29" t="s">
        <v>1592</v>
      </c>
      <c r="AB812" s="29" t="s">
        <v>1692</v>
      </c>
      <c r="AC812" s="29" t="s">
        <v>1693</v>
      </c>
      <c r="AD812" s="29"/>
      <c r="AE812" s="29" t="s">
        <v>1694</v>
      </c>
      <c r="AF812" s="29"/>
      <c r="AG812" s="29"/>
    </row>
    <row r="813" spans="1:33">
      <c r="A813" s="29" t="s">
        <v>1584</v>
      </c>
      <c r="B813" s="29" t="s">
        <v>1595</v>
      </c>
      <c r="C813" s="29" t="s">
        <v>317</v>
      </c>
      <c r="D813" s="29" t="s">
        <v>708</v>
      </c>
      <c r="E813" s="29" t="s">
        <v>15</v>
      </c>
      <c r="F813" s="29" t="s">
        <v>1089</v>
      </c>
      <c r="G813" s="29" t="s">
        <v>1125</v>
      </c>
      <c r="H813" s="29" t="s">
        <v>1126</v>
      </c>
      <c r="I813" s="116" t="s">
        <v>310</v>
      </c>
      <c r="J813" s="29" t="s">
        <v>16</v>
      </c>
      <c r="K813" s="29">
        <v>0.69</v>
      </c>
      <c r="L813" s="116"/>
      <c r="M813" s="29" t="s">
        <v>311</v>
      </c>
      <c r="N813" s="29">
        <v>14.8</v>
      </c>
      <c r="O813" s="115">
        <v>18.5</v>
      </c>
      <c r="P813" s="29">
        <v>20.60879903403783</v>
      </c>
      <c r="Q813" s="29">
        <v>0.8</v>
      </c>
      <c r="R813" s="29">
        <v>91.6</v>
      </c>
      <c r="S813" s="29">
        <v>0.82</v>
      </c>
      <c r="T813" s="29">
        <v>100</v>
      </c>
      <c r="U813" s="29">
        <v>16.157205240174672</v>
      </c>
      <c r="V813" s="29">
        <v>11.277798632152622</v>
      </c>
      <c r="W813" s="29">
        <v>0</v>
      </c>
      <c r="X813" s="29">
        <v>0</v>
      </c>
      <c r="Y813" s="29">
        <v>0</v>
      </c>
      <c r="Z813" s="29">
        <v>0</v>
      </c>
      <c r="AA813" s="29" t="s">
        <v>1592</v>
      </c>
      <c r="AB813" s="29" t="s">
        <v>1692</v>
      </c>
      <c r="AC813" s="29" t="s">
        <v>1693</v>
      </c>
      <c r="AD813" s="29"/>
      <c r="AE813" s="29" t="s">
        <v>1694</v>
      </c>
      <c r="AF813" s="29"/>
      <c r="AG813" s="29"/>
    </row>
    <row r="814" spans="1:33">
      <c r="A814" s="29" t="s">
        <v>1584</v>
      </c>
      <c r="B814" s="29" t="s">
        <v>1595</v>
      </c>
      <c r="C814" s="29" t="s">
        <v>317</v>
      </c>
      <c r="D814" s="29" t="s">
        <v>708</v>
      </c>
      <c r="E814" s="29" t="s">
        <v>321</v>
      </c>
      <c r="F814" s="29" t="s">
        <v>1086</v>
      </c>
      <c r="G814" s="29" t="s">
        <v>1127</v>
      </c>
      <c r="H814" s="29" t="s">
        <v>1116</v>
      </c>
      <c r="I814" s="116" t="s">
        <v>310</v>
      </c>
      <c r="J814" s="29" t="s">
        <v>16</v>
      </c>
      <c r="K814" s="29">
        <v>0.69</v>
      </c>
      <c r="L814" s="116"/>
      <c r="M814" s="29" t="s">
        <v>311</v>
      </c>
      <c r="N814" s="29">
        <v>14.8</v>
      </c>
      <c r="O814" s="115">
        <v>18.5</v>
      </c>
      <c r="P814" s="29">
        <v>20.60879903403783</v>
      </c>
      <c r="Q814" s="29">
        <v>0.8</v>
      </c>
      <c r="R814" s="29">
        <v>91.6</v>
      </c>
      <c r="S814" s="29">
        <v>0.82</v>
      </c>
      <c r="T814" s="29">
        <v>100</v>
      </c>
      <c r="U814" s="29">
        <v>16.157205240174672</v>
      </c>
      <c r="V814" s="29">
        <v>11.277798632152622</v>
      </c>
      <c r="W814" s="29">
        <v>0</v>
      </c>
      <c r="X814" s="29">
        <v>0</v>
      </c>
      <c r="Y814" s="29">
        <v>0</v>
      </c>
      <c r="Z814" s="29">
        <v>0</v>
      </c>
      <c r="AA814" s="29" t="s">
        <v>1592</v>
      </c>
      <c r="AB814" s="29" t="s">
        <v>1692</v>
      </c>
      <c r="AC814" s="29" t="s">
        <v>1693</v>
      </c>
      <c r="AD814" s="29"/>
      <c r="AE814" s="29" t="s">
        <v>1694</v>
      </c>
      <c r="AF814" s="29"/>
      <c r="AG814" s="29"/>
    </row>
    <row r="815" spans="1:33">
      <c r="A815" s="29" t="s">
        <v>1584</v>
      </c>
      <c r="B815" s="29" t="s">
        <v>1595</v>
      </c>
      <c r="C815" s="29" t="s">
        <v>317</v>
      </c>
      <c r="D815" s="29" t="s">
        <v>708</v>
      </c>
      <c r="E815" s="29" t="s">
        <v>321</v>
      </c>
      <c r="F815" s="29" t="s">
        <v>1086</v>
      </c>
      <c r="G815" s="29" t="s">
        <v>1128</v>
      </c>
      <c r="H815" s="29" t="s">
        <v>1118</v>
      </c>
      <c r="I815" s="116" t="s">
        <v>310</v>
      </c>
      <c r="J815" s="29" t="s">
        <v>16</v>
      </c>
      <c r="K815" s="29">
        <v>0.69</v>
      </c>
      <c r="L815" s="116"/>
      <c r="M815" s="29" t="s">
        <v>311</v>
      </c>
      <c r="N815" s="29">
        <v>14.8</v>
      </c>
      <c r="O815" s="115">
        <v>18.5</v>
      </c>
      <c r="P815" s="29">
        <v>20.60879903403783</v>
      </c>
      <c r="Q815" s="29">
        <v>0.8</v>
      </c>
      <c r="R815" s="29">
        <v>91.6</v>
      </c>
      <c r="S815" s="29">
        <v>0.82</v>
      </c>
      <c r="T815" s="29">
        <v>100</v>
      </c>
      <c r="U815" s="29">
        <v>16.157205240174672</v>
      </c>
      <c r="V815" s="29">
        <v>11.277798632152622</v>
      </c>
      <c r="W815" s="29">
        <v>0</v>
      </c>
      <c r="X815" s="29">
        <v>0</v>
      </c>
      <c r="Y815" s="29">
        <v>0</v>
      </c>
      <c r="Z815" s="29">
        <v>0</v>
      </c>
      <c r="AA815" s="29" t="s">
        <v>1592</v>
      </c>
      <c r="AB815" s="29" t="s">
        <v>1692</v>
      </c>
      <c r="AC815" s="29" t="s">
        <v>1693</v>
      </c>
      <c r="AD815" s="29"/>
      <c r="AE815" s="29" t="s">
        <v>1694</v>
      </c>
      <c r="AF815" s="29"/>
      <c r="AG815" s="29"/>
    </row>
    <row r="816" spans="1:33">
      <c r="A816" s="29" t="s">
        <v>1584</v>
      </c>
      <c r="B816" s="29" t="s">
        <v>1595</v>
      </c>
      <c r="C816" s="29" t="s">
        <v>317</v>
      </c>
      <c r="D816" s="29" t="s">
        <v>708</v>
      </c>
      <c r="E816" s="29" t="s">
        <v>321</v>
      </c>
      <c r="F816" s="29" t="s">
        <v>1086</v>
      </c>
      <c r="G816" s="29" t="s">
        <v>1129</v>
      </c>
      <c r="H816" s="29" t="s">
        <v>1120</v>
      </c>
      <c r="I816" s="116" t="s">
        <v>310</v>
      </c>
      <c r="J816" s="29" t="s">
        <v>16</v>
      </c>
      <c r="K816" s="29">
        <v>0.69</v>
      </c>
      <c r="L816" s="116"/>
      <c r="M816" s="29" t="s">
        <v>311</v>
      </c>
      <c r="N816" s="29">
        <v>14.8</v>
      </c>
      <c r="O816" s="115">
        <v>18.5</v>
      </c>
      <c r="P816" s="29">
        <v>20.60879903403783</v>
      </c>
      <c r="Q816" s="29">
        <v>0.8</v>
      </c>
      <c r="R816" s="29">
        <v>91.6</v>
      </c>
      <c r="S816" s="29">
        <v>0.82</v>
      </c>
      <c r="T816" s="29">
        <v>100</v>
      </c>
      <c r="U816" s="29">
        <v>16.157205240174672</v>
      </c>
      <c r="V816" s="29">
        <v>11.277798632152622</v>
      </c>
      <c r="W816" s="29">
        <v>0</v>
      </c>
      <c r="X816" s="29">
        <v>0</v>
      </c>
      <c r="Y816" s="29">
        <v>0</v>
      </c>
      <c r="Z816" s="29">
        <v>0</v>
      </c>
      <c r="AA816" s="29" t="s">
        <v>1592</v>
      </c>
      <c r="AB816" s="29" t="s">
        <v>1692</v>
      </c>
      <c r="AC816" s="29" t="s">
        <v>1693</v>
      </c>
      <c r="AD816" s="29"/>
      <c r="AE816" s="29" t="s">
        <v>1694</v>
      </c>
      <c r="AF816" s="29"/>
      <c r="AG816" s="29"/>
    </row>
    <row r="817" spans="1:33">
      <c r="A817" s="29" t="s">
        <v>1584</v>
      </c>
      <c r="B817" s="29" t="s">
        <v>1595</v>
      </c>
      <c r="C817" s="29" t="s">
        <v>317</v>
      </c>
      <c r="D817" s="29" t="s">
        <v>708</v>
      </c>
      <c r="E817" s="29" t="s">
        <v>321</v>
      </c>
      <c r="F817" s="29" t="s">
        <v>1086</v>
      </c>
      <c r="G817" s="29" t="s">
        <v>1130</v>
      </c>
      <c r="H817" s="29" t="s">
        <v>1122</v>
      </c>
      <c r="I817" s="116" t="s">
        <v>310</v>
      </c>
      <c r="J817" s="29" t="s">
        <v>16</v>
      </c>
      <c r="K817" s="29">
        <v>0.69</v>
      </c>
      <c r="L817" s="116"/>
      <c r="M817" s="29" t="s">
        <v>363</v>
      </c>
      <c r="N817" s="29">
        <v>14.8</v>
      </c>
      <c r="O817" s="115">
        <v>18.5</v>
      </c>
      <c r="P817" s="29">
        <v>20.60879903403783</v>
      </c>
      <c r="Q817" s="29">
        <v>0.8</v>
      </c>
      <c r="R817" s="29">
        <v>91.6</v>
      </c>
      <c r="S817" s="29">
        <v>0.82</v>
      </c>
      <c r="T817" s="29">
        <v>10</v>
      </c>
      <c r="U817" s="29">
        <v>0</v>
      </c>
      <c r="V817" s="29">
        <v>0</v>
      </c>
      <c r="W817" s="29">
        <v>0</v>
      </c>
      <c r="X817" s="29">
        <v>0</v>
      </c>
      <c r="Y817" s="29">
        <v>1.6157205240174675</v>
      </c>
      <c r="Z817" s="29">
        <v>1.1277798632152622</v>
      </c>
      <c r="AA817" s="29" t="s">
        <v>1592</v>
      </c>
      <c r="AB817" s="29" t="s">
        <v>1692</v>
      </c>
      <c r="AC817" s="29" t="s">
        <v>1693</v>
      </c>
      <c r="AD817" s="29"/>
      <c r="AE817" s="29" t="s">
        <v>1694</v>
      </c>
      <c r="AF817" s="29"/>
      <c r="AG817" s="29"/>
    </row>
    <row r="818" spans="1:33">
      <c r="A818" s="29" t="s">
        <v>1584</v>
      </c>
      <c r="B818" s="29" t="s">
        <v>1595</v>
      </c>
      <c r="C818" s="29" t="s">
        <v>317</v>
      </c>
      <c r="D818" s="29" t="s">
        <v>708</v>
      </c>
      <c r="E818" s="29" t="s">
        <v>321</v>
      </c>
      <c r="F818" s="29" t="s">
        <v>1086</v>
      </c>
      <c r="G818" s="29" t="s">
        <v>1131</v>
      </c>
      <c r="H818" s="29" t="s">
        <v>1124</v>
      </c>
      <c r="I818" s="116" t="s">
        <v>310</v>
      </c>
      <c r="J818" s="29" t="s">
        <v>16</v>
      </c>
      <c r="K818" s="29">
        <v>0.69</v>
      </c>
      <c r="L818" s="116"/>
      <c r="M818" s="29" t="s">
        <v>311</v>
      </c>
      <c r="N818" s="29">
        <v>14.8</v>
      </c>
      <c r="O818" s="115">
        <v>18.5</v>
      </c>
      <c r="P818" s="29">
        <v>20.60879903403783</v>
      </c>
      <c r="Q818" s="29">
        <v>0.8</v>
      </c>
      <c r="R818" s="29">
        <v>91.6</v>
      </c>
      <c r="S818" s="29">
        <v>0.82</v>
      </c>
      <c r="T818" s="29">
        <v>100</v>
      </c>
      <c r="U818" s="29">
        <v>16.157205240174672</v>
      </c>
      <c r="V818" s="29">
        <v>11.277798632152622</v>
      </c>
      <c r="W818" s="29">
        <v>0</v>
      </c>
      <c r="X818" s="29">
        <v>0</v>
      </c>
      <c r="Y818" s="29">
        <v>0</v>
      </c>
      <c r="Z818" s="29">
        <v>0</v>
      </c>
      <c r="AA818" s="29" t="s">
        <v>1592</v>
      </c>
      <c r="AB818" s="29" t="s">
        <v>1692</v>
      </c>
      <c r="AC818" s="29" t="s">
        <v>1693</v>
      </c>
      <c r="AD818" s="29"/>
      <c r="AE818" s="29" t="s">
        <v>1694</v>
      </c>
      <c r="AF818" s="29"/>
      <c r="AG818" s="29"/>
    </row>
    <row r="819" spans="1:33">
      <c r="A819" s="29" t="s">
        <v>1584</v>
      </c>
      <c r="B819" s="29" t="s">
        <v>1595</v>
      </c>
      <c r="C819" s="29" t="s">
        <v>317</v>
      </c>
      <c r="D819" s="29" t="s">
        <v>708</v>
      </c>
      <c r="E819" s="29" t="s">
        <v>321</v>
      </c>
      <c r="F819" s="29" t="s">
        <v>1086</v>
      </c>
      <c r="G819" s="29" t="s">
        <v>1132</v>
      </c>
      <c r="H819" s="29" t="s">
        <v>1126</v>
      </c>
      <c r="I819" s="116" t="s">
        <v>310</v>
      </c>
      <c r="J819" s="29" t="s">
        <v>16</v>
      </c>
      <c r="K819" s="29">
        <v>0.69</v>
      </c>
      <c r="L819" s="116"/>
      <c r="M819" s="29" t="s">
        <v>311</v>
      </c>
      <c r="N819" s="29">
        <v>14.8</v>
      </c>
      <c r="O819" s="115">
        <v>18.5</v>
      </c>
      <c r="P819" s="29">
        <v>20.60879903403783</v>
      </c>
      <c r="Q819" s="29">
        <v>0.8</v>
      </c>
      <c r="R819" s="29">
        <v>91.6</v>
      </c>
      <c r="S819" s="29">
        <v>0.82</v>
      </c>
      <c r="T819" s="29">
        <v>100</v>
      </c>
      <c r="U819" s="29">
        <v>16.157205240174672</v>
      </c>
      <c r="V819" s="29">
        <v>11.277798632152622</v>
      </c>
      <c r="W819" s="29">
        <v>0</v>
      </c>
      <c r="X819" s="29">
        <v>0</v>
      </c>
      <c r="Y819" s="29">
        <v>0</v>
      </c>
      <c r="Z819" s="29">
        <v>0</v>
      </c>
      <c r="AA819" s="29" t="s">
        <v>1592</v>
      </c>
      <c r="AB819" s="29" t="s">
        <v>1692</v>
      </c>
      <c r="AC819" s="29" t="s">
        <v>1693</v>
      </c>
      <c r="AD819" s="29"/>
      <c r="AE819" s="29" t="s">
        <v>1694</v>
      </c>
      <c r="AF819" s="29"/>
      <c r="AG819" s="29"/>
    </row>
    <row r="820" spans="1:33">
      <c r="A820" s="29" t="s">
        <v>1584</v>
      </c>
      <c r="B820" s="29" t="s">
        <v>1595</v>
      </c>
      <c r="C820" s="29" t="s">
        <v>317</v>
      </c>
      <c r="D820" s="29" t="s">
        <v>708</v>
      </c>
      <c r="E820" s="29" t="s">
        <v>321</v>
      </c>
      <c r="F820" s="29" t="s">
        <v>1086</v>
      </c>
      <c r="G820" s="29" t="s">
        <v>1133</v>
      </c>
      <c r="H820" s="29" t="s">
        <v>1134</v>
      </c>
      <c r="I820" s="116" t="s">
        <v>310</v>
      </c>
      <c r="J820" s="29" t="s">
        <v>41</v>
      </c>
      <c r="K820" s="29">
        <v>0.69</v>
      </c>
      <c r="L820" s="116"/>
      <c r="M820" s="29" t="s">
        <v>353</v>
      </c>
      <c r="N820" s="29">
        <v>4.4000000000000004</v>
      </c>
      <c r="O820" s="115">
        <v>5.5</v>
      </c>
      <c r="P820" s="29">
        <v>6.728168659511276</v>
      </c>
      <c r="Q820" s="29">
        <v>0.8</v>
      </c>
      <c r="R820" s="29">
        <v>85.5</v>
      </c>
      <c r="S820" s="29">
        <v>0.8</v>
      </c>
      <c r="T820" s="29">
        <v>30</v>
      </c>
      <c r="U820" s="29">
        <v>0</v>
      </c>
      <c r="V820" s="29">
        <v>0</v>
      </c>
      <c r="W820" s="29">
        <v>1.5438596491228072</v>
      </c>
      <c r="X820" s="29">
        <v>1.1578947368421049</v>
      </c>
      <c r="Y820" s="29">
        <v>0</v>
      </c>
      <c r="Z820" s="29">
        <v>0</v>
      </c>
      <c r="AA820" s="29" t="s">
        <v>1577</v>
      </c>
      <c r="AB820" s="29" t="s">
        <v>1695</v>
      </c>
      <c r="AC820" s="29" t="s">
        <v>1693</v>
      </c>
      <c r="AD820" s="29"/>
      <c r="AE820" s="29" t="s">
        <v>1696</v>
      </c>
      <c r="AF820" s="29"/>
      <c r="AG820" s="29"/>
    </row>
    <row r="821" spans="1:33">
      <c r="A821" s="29" t="s">
        <v>1584</v>
      </c>
      <c r="B821" s="29" t="s">
        <v>1595</v>
      </c>
      <c r="C821" s="29" t="s">
        <v>317</v>
      </c>
      <c r="D821" s="29" t="s">
        <v>708</v>
      </c>
      <c r="E821" s="29" t="s">
        <v>321</v>
      </c>
      <c r="F821" s="29" t="s">
        <v>1086</v>
      </c>
      <c r="G821" s="29" t="s">
        <v>1135</v>
      </c>
      <c r="H821" s="29" t="s">
        <v>1136</v>
      </c>
      <c r="I821" s="116" t="s">
        <v>310</v>
      </c>
      <c r="J821" s="29" t="s">
        <v>41</v>
      </c>
      <c r="K821" s="29">
        <v>0.69</v>
      </c>
      <c r="L821" s="116"/>
      <c r="M821" s="29" t="s">
        <v>353</v>
      </c>
      <c r="N821" s="29">
        <v>4.4000000000000004</v>
      </c>
      <c r="O821" s="115">
        <v>5.5</v>
      </c>
      <c r="P821" s="29">
        <v>6.728168659511276</v>
      </c>
      <c r="Q821" s="29">
        <v>0.8</v>
      </c>
      <c r="R821" s="29">
        <v>85.5</v>
      </c>
      <c r="S821" s="29">
        <v>0.8</v>
      </c>
      <c r="T821" s="29">
        <v>30</v>
      </c>
      <c r="U821" s="29">
        <v>0</v>
      </c>
      <c r="V821" s="29">
        <v>0</v>
      </c>
      <c r="W821" s="29">
        <v>1.5438596491228072</v>
      </c>
      <c r="X821" s="29">
        <v>1.1578947368421049</v>
      </c>
      <c r="Y821" s="29">
        <v>0</v>
      </c>
      <c r="Z821" s="29">
        <v>0</v>
      </c>
      <c r="AA821" s="29" t="s">
        <v>1577</v>
      </c>
      <c r="AB821" s="29" t="s">
        <v>1695</v>
      </c>
      <c r="AC821" s="29" t="s">
        <v>1693</v>
      </c>
      <c r="AD821" s="29"/>
      <c r="AE821" s="29" t="s">
        <v>1696</v>
      </c>
      <c r="AF821" s="29"/>
      <c r="AG821" s="29"/>
    </row>
    <row r="822" spans="1:33">
      <c r="A822" s="29" t="s">
        <v>1584</v>
      </c>
      <c r="B822" s="29" t="s">
        <v>1595</v>
      </c>
      <c r="C822" s="29" t="s">
        <v>317</v>
      </c>
      <c r="D822" s="29" t="s">
        <v>708</v>
      </c>
      <c r="E822" s="29" t="s">
        <v>15</v>
      </c>
      <c r="F822" s="29" t="s">
        <v>1089</v>
      </c>
      <c r="G822" s="29" t="s">
        <v>1137</v>
      </c>
      <c r="H822" s="29" t="s">
        <v>1138</v>
      </c>
      <c r="I822" s="116" t="s">
        <v>310</v>
      </c>
      <c r="J822" s="29" t="s">
        <v>41</v>
      </c>
      <c r="K822" s="29">
        <v>0.69</v>
      </c>
      <c r="L822" s="116"/>
      <c r="M822" s="29" t="s">
        <v>353</v>
      </c>
      <c r="N822" s="29">
        <v>4.4000000000000004</v>
      </c>
      <c r="O822" s="115">
        <v>5.5</v>
      </c>
      <c r="P822" s="29">
        <v>6.728168659511276</v>
      </c>
      <c r="Q822" s="29">
        <v>0.8</v>
      </c>
      <c r="R822" s="29">
        <v>85.5</v>
      </c>
      <c r="S822" s="29">
        <v>0.8</v>
      </c>
      <c r="T822" s="29">
        <v>30</v>
      </c>
      <c r="U822" s="29">
        <v>0</v>
      </c>
      <c r="V822" s="29">
        <v>0</v>
      </c>
      <c r="W822" s="29">
        <v>1.5438596491228072</v>
      </c>
      <c r="X822" s="29">
        <v>1.1578947368421049</v>
      </c>
      <c r="Y822" s="29">
        <v>0</v>
      </c>
      <c r="Z822" s="29">
        <v>0</v>
      </c>
      <c r="AA822" s="29" t="s">
        <v>1577</v>
      </c>
      <c r="AB822" s="29" t="s">
        <v>1695</v>
      </c>
      <c r="AC822" s="29" t="s">
        <v>1693</v>
      </c>
      <c r="AD822" s="29"/>
      <c r="AE822" s="29" t="s">
        <v>1696</v>
      </c>
      <c r="AF822" s="29"/>
      <c r="AG822" s="29"/>
    </row>
    <row r="823" spans="1:33">
      <c r="A823" s="29" t="s">
        <v>1584</v>
      </c>
      <c r="B823" s="29" t="s">
        <v>1595</v>
      </c>
      <c r="C823" s="29" t="s">
        <v>317</v>
      </c>
      <c r="D823" s="29" t="s">
        <v>708</v>
      </c>
      <c r="E823" s="29" t="s">
        <v>321</v>
      </c>
      <c r="F823" s="29" t="s">
        <v>1086</v>
      </c>
      <c r="G823" s="29" t="s">
        <v>1139</v>
      </c>
      <c r="H823" s="29" t="s">
        <v>1140</v>
      </c>
      <c r="I823" s="116" t="s">
        <v>310</v>
      </c>
      <c r="J823" s="29" t="s">
        <v>41</v>
      </c>
      <c r="K823" s="29">
        <v>0.69</v>
      </c>
      <c r="L823" s="116"/>
      <c r="M823" s="29" t="s">
        <v>311</v>
      </c>
      <c r="N823" s="29">
        <v>6</v>
      </c>
      <c r="O823" s="115">
        <v>7.5</v>
      </c>
      <c r="P823" s="29">
        <v>8.8437801638036397</v>
      </c>
      <c r="Q823" s="29">
        <v>0.8</v>
      </c>
      <c r="R823" s="29">
        <v>88.7</v>
      </c>
      <c r="S823" s="29">
        <v>0.8</v>
      </c>
      <c r="T823" s="29">
        <v>100</v>
      </c>
      <c r="U823" s="29">
        <v>6.7643742953776771</v>
      </c>
      <c r="V823" s="29">
        <v>5.0732807215332567</v>
      </c>
      <c r="W823" s="29">
        <v>0</v>
      </c>
      <c r="X823" s="29">
        <v>0</v>
      </c>
      <c r="Y823" s="29">
        <v>0</v>
      </c>
      <c r="Z823" s="29">
        <v>0</v>
      </c>
      <c r="AA823" s="29" t="s">
        <v>1577</v>
      </c>
      <c r="AB823" s="29" t="s">
        <v>1697</v>
      </c>
      <c r="AC823" s="29" t="s">
        <v>1693</v>
      </c>
      <c r="AD823" s="29"/>
      <c r="AE823" s="29" t="s">
        <v>1698</v>
      </c>
      <c r="AF823" s="29"/>
      <c r="AG823" s="29"/>
    </row>
    <row r="824" spans="1:33">
      <c r="A824" s="29" t="s">
        <v>1584</v>
      </c>
      <c r="B824" s="29" t="s">
        <v>1595</v>
      </c>
      <c r="C824" s="29" t="s">
        <v>317</v>
      </c>
      <c r="D824" s="29" t="s">
        <v>708</v>
      </c>
      <c r="E824" s="29" t="s">
        <v>321</v>
      </c>
      <c r="F824" s="29" t="s">
        <v>1086</v>
      </c>
      <c r="G824" s="29" t="s">
        <v>1141</v>
      </c>
      <c r="H824" s="29" t="s">
        <v>1142</v>
      </c>
      <c r="I824" s="116" t="s">
        <v>310</v>
      </c>
      <c r="J824" s="29" t="s">
        <v>41</v>
      </c>
      <c r="K824" s="29">
        <v>0.69</v>
      </c>
      <c r="L824" s="116"/>
      <c r="M824" s="29" t="s">
        <v>311</v>
      </c>
      <c r="N824" s="29">
        <v>6</v>
      </c>
      <c r="O824" s="115">
        <v>7.5</v>
      </c>
      <c r="P824" s="29">
        <v>8.8437801638036397</v>
      </c>
      <c r="Q824" s="29">
        <v>0.8</v>
      </c>
      <c r="R824" s="29">
        <v>88.7</v>
      </c>
      <c r="S824" s="29">
        <v>0.8</v>
      </c>
      <c r="T824" s="29">
        <v>100</v>
      </c>
      <c r="U824" s="29">
        <v>6.7643742953776771</v>
      </c>
      <c r="V824" s="29">
        <v>5.0732807215332567</v>
      </c>
      <c r="W824" s="29">
        <v>0</v>
      </c>
      <c r="X824" s="29">
        <v>0</v>
      </c>
      <c r="Y824" s="29">
        <v>0</v>
      </c>
      <c r="Z824" s="29">
        <v>0</v>
      </c>
      <c r="AA824" s="29" t="s">
        <v>1577</v>
      </c>
      <c r="AB824" s="29" t="s">
        <v>1697</v>
      </c>
      <c r="AC824" s="29" t="s">
        <v>1693</v>
      </c>
      <c r="AD824" s="29"/>
      <c r="AE824" s="29" t="s">
        <v>1698</v>
      </c>
      <c r="AF824" s="29"/>
      <c r="AG824" s="29"/>
    </row>
    <row r="825" spans="1:33">
      <c r="A825" s="29" t="s">
        <v>1584</v>
      </c>
      <c r="B825" s="29" t="s">
        <v>1595</v>
      </c>
      <c r="C825" s="29" t="s">
        <v>317</v>
      </c>
      <c r="D825" s="29" t="s">
        <v>708</v>
      </c>
      <c r="E825" s="29" t="s">
        <v>15</v>
      </c>
      <c r="F825" s="29" t="s">
        <v>1089</v>
      </c>
      <c r="G825" s="29" t="s">
        <v>1143</v>
      </c>
      <c r="H825" s="29" t="s">
        <v>1144</v>
      </c>
      <c r="I825" s="116" t="s">
        <v>310</v>
      </c>
      <c r="J825" s="29" t="s">
        <v>41</v>
      </c>
      <c r="K825" s="29">
        <v>0.69</v>
      </c>
      <c r="L825" s="116"/>
      <c r="M825" s="29" t="s">
        <v>363</v>
      </c>
      <c r="N825" s="29">
        <v>6</v>
      </c>
      <c r="O825" s="115">
        <v>7.5</v>
      </c>
      <c r="P825" s="29">
        <v>8.8437801638036397</v>
      </c>
      <c r="Q825" s="29">
        <v>0.8</v>
      </c>
      <c r="R825" s="29">
        <v>88.7</v>
      </c>
      <c r="S825" s="29">
        <v>0.8</v>
      </c>
      <c r="T825" s="29">
        <v>10</v>
      </c>
      <c r="U825" s="29">
        <v>0</v>
      </c>
      <c r="V825" s="29">
        <v>0</v>
      </c>
      <c r="W825" s="29">
        <v>0</v>
      </c>
      <c r="X825" s="29">
        <v>0</v>
      </c>
      <c r="Y825" s="29">
        <v>0.67643742953776775</v>
      </c>
      <c r="Z825" s="29">
        <v>0.50732807215332565</v>
      </c>
      <c r="AA825" s="29" t="s">
        <v>1577</v>
      </c>
      <c r="AB825" s="29" t="s">
        <v>1697</v>
      </c>
      <c r="AC825" s="29" t="s">
        <v>1693</v>
      </c>
      <c r="AD825" s="29"/>
      <c r="AE825" s="29" t="s">
        <v>1698</v>
      </c>
      <c r="AF825" s="29"/>
      <c r="AG825" s="29"/>
    </row>
    <row r="826" spans="1:33">
      <c r="A826" s="29" t="s">
        <v>1584</v>
      </c>
      <c r="B826" s="29" t="s">
        <v>1595</v>
      </c>
      <c r="C826" s="29" t="s">
        <v>1596</v>
      </c>
      <c r="D826" s="29" t="s">
        <v>708</v>
      </c>
      <c r="E826" s="29" t="s">
        <v>321</v>
      </c>
      <c r="F826" s="29" t="s">
        <v>1086</v>
      </c>
      <c r="G826" s="29" t="s">
        <v>1145</v>
      </c>
      <c r="H826" s="29" t="s">
        <v>1146</v>
      </c>
      <c r="I826" s="116" t="s">
        <v>310</v>
      </c>
      <c r="J826" s="29" t="s">
        <v>16</v>
      </c>
      <c r="K826" s="29">
        <v>0.69</v>
      </c>
      <c r="L826" s="116"/>
      <c r="M826" s="29" t="s">
        <v>353</v>
      </c>
      <c r="N826" s="29">
        <v>24</v>
      </c>
      <c r="O826" s="115">
        <v>30</v>
      </c>
      <c r="P826" s="29">
        <v>33.419674109250529</v>
      </c>
      <c r="Q826" s="29">
        <v>0.8</v>
      </c>
      <c r="R826" s="29">
        <v>91.6</v>
      </c>
      <c r="S826" s="29">
        <v>0.82</v>
      </c>
      <c r="T826" s="29">
        <v>30</v>
      </c>
      <c r="U826" s="29">
        <v>0</v>
      </c>
      <c r="V826" s="29">
        <v>0</v>
      </c>
      <c r="W826" s="29">
        <v>7.8602620087336241</v>
      </c>
      <c r="X826" s="29">
        <v>5.4864966318580324</v>
      </c>
      <c r="Y826" s="29">
        <v>0</v>
      </c>
      <c r="Z826" s="29">
        <v>0</v>
      </c>
      <c r="AA826" s="29" t="s">
        <v>1589</v>
      </c>
      <c r="AB826" s="29"/>
      <c r="AC826" s="29" t="s">
        <v>1693</v>
      </c>
      <c r="AD826" s="29"/>
      <c r="AE826" s="29" t="s">
        <v>1698</v>
      </c>
      <c r="AF826" s="29"/>
      <c r="AG826" s="29"/>
    </row>
    <row r="827" spans="1:33">
      <c r="A827" s="29" t="s">
        <v>1584</v>
      </c>
      <c r="B827" s="29" t="s">
        <v>1595</v>
      </c>
      <c r="C827" s="29" t="s">
        <v>1596</v>
      </c>
      <c r="D827" s="29" t="s">
        <v>708</v>
      </c>
      <c r="E827" s="29" t="s">
        <v>321</v>
      </c>
      <c r="F827" s="29" t="s">
        <v>1086</v>
      </c>
      <c r="G827" s="29" t="s">
        <v>1147</v>
      </c>
      <c r="H827" s="29" t="s">
        <v>1148</v>
      </c>
      <c r="I827" s="116" t="s">
        <v>310</v>
      </c>
      <c r="J827" s="29" t="s">
        <v>16</v>
      </c>
      <c r="K827" s="29">
        <v>0.69</v>
      </c>
      <c r="L827" s="116"/>
      <c r="M827" s="29" t="s">
        <v>363</v>
      </c>
      <c r="N827" s="29">
        <v>24</v>
      </c>
      <c r="O827" s="115">
        <v>30</v>
      </c>
      <c r="P827" s="29">
        <v>33.419674109250529</v>
      </c>
      <c r="Q827" s="29">
        <v>0.8</v>
      </c>
      <c r="R827" s="29">
        <v>91.6</v>
      </c>
      <c r="S827" s="29">
        <v>0.82</v>
      </c>
      <c r="T827" s="29">
        <v>10</v>
      </c>
      <c r="U827" s="29">
        <v>0</v>
      </c>
      <c r="V827" s="29">
        <v>0</v>
      </c>
      <c r="W827" s="29">
        <v>0</v>
      </c>
      <c r="X827" s="29">
        <v>0</v>
      </c>
      <c r="Y827" s="29">
        <v>2.6200873362445414</v>
      </c>
      <c r="Z827" s="29">
        <v>1.8288322106193442</v>
      </c>
      <c r="AA827" s="29" t="s">
        <v>1589</v>
      </c>
      <c r="AB827" s="29"/>
      <c r="AC827" s="29" t="s">
        <v>1693</v>
      </c>
      <c r="AD827" s="29"/>
      <c r="AE827" s="29" t="s">
        <v>1698</v>
      </c>
      <c r="AF827" s="29"/>
      <c r="AG827" s="29"/>
    </row>
    <row r="828" spans="1:33">
      <c r="A828" s="29" t="s">
        <v>1584</v>
      </c>
      <c r="B828" s="29" t="s">
        <v>1595</v>
      </c>
      <c r="C828" s="29" t="s">
        <v>1596</v>
      </c>
      <c r="D828" s="29" t="s">
        <v>708</v>
      </c>
      <c r="E828" s="29" t="s">
        <v>15</v>
      </c>
      <c r="F828" s="29" t="s">
        <v>1089</v>
      </c>
      <c r="G828" s="29" t="s">
        <v>1149</v>
      </c>
      <c r="H828" s="29" t="s">
        <v>1150</v>
      </c>
      <c r="I828" s="116" t="s">
        <v>310</v>
      </c>
      <c r="J828" s="29" t="s">
        <v>16</v>
      </c>
      <c r="K828" s="29">
        <v>0.69</v>
      </c>
      <c r="L828" s="116"/>
      <c r="M828" s="29" t="s">
        <v>353</v>
      </c>
      <c r="N828" s="29">
        <v>24</v>
      </c>
      <c r="O828" s="115">
        <v>30</v>
      </c>
      <c r="P828" s="29">
        <v>33.419674109250529</v>
      </c>
      <c r="Q828" s="29">
        <v>0.8</v>
      </c>
      <c r="R828" s="29">
        <v>91.6</v>
      </c>
      <c r="S828" s="29">
        <v>0.82</v>
      </c>
      <c r="T828" s="29">
        <v>30</v>
      </c>
      <c r="U828" s="29">
        <v>0</v>
      </c>
      <c r="V828" s="29">
        <v>0</v>
      </c>
      <c r="W828" s="29">
        <v>7.8602620087336241</v>
      </c>
      <c r="X828" s="29">
        <v>5.4864966318580324</v>
      </c>
      <c r="Y828" s="29">
        <v>0</v>
      </c>
      <c r="Z828" s="29">
        <v>0</v>
      </c>
      <c r="AA828" s="29" t="s">
        <v>1589</v>
      </c>
      <c r="AB828" s="29"/>
      <c r="AC828" s="29" t="s">
        <v>1693</v>
      </c>
      <c r="AD828" s="29"/>
      <c r="AE828" s="29" t="s">
        <v>1698</v>
      </c>
      <c r="AF828" s="29"/>
      <c r="AG828" s="29"/>
    </row>
    <row r="829" spans="1:33">
      <c r="A829" s="29" t="s">
        <v>1585</v>
      </c>
      <c r="B829" s="29" t="s">
        <v>1595</v>
      </c>
      <c r="C829" s="29" t="s">
        <v>1596</v>
      </c>
      <c r="D829" s="29" t="s">
        <v>708</v>
      </c>
      <c r="E829" s="29" t="s">
        <v>15</v>
      </c>
      <c r="F829" s="29" t="s">
        <v>1089</v>
      </c>
      <c r="G829" s="29" t="s">
        <v>1699</v>
      </c>
      <c r="H829" s="29" t="s">
        <v>1152</v>
      </c>
      <c r="I829" s="116" t="s">
        <v>310</v>
      </c>
      <c r="J829" s="29" t="s">
        <v>711</v>
      </c>
      <c r="K829" s="29">
        <v>0.69</v>
      </c>
      <c r="L829" s="116" t="s">
        <v>1576</v>
      </c>
      <c r="M829" s="29" t="s">
        <v>311</v>
      </c>
      <c r="N829" s="29">
        <v>10</v>
      </c>
      <c r="O829" s="115">
        <v>10</v>
      </c>
      <c r="P829" s="29">
        <v>10.362099325878329</v>
      </c>
      <c r="Q829" s="29">
        <v>1</v>
      </c>
      <c r="R829" s="29">
        <v>95</v>
      </c>
      <c r="S829" s="29">
        <v>0.85</v>
      </c>
      <c r="T829" s="29">
        <v>100</v>
      </c>
      <c r="U829" s="29">
        <v>10.526315789473683</v>
      </c>
      <c r="V829" s="29">
        <v>6.5236246147694974</v>
      </c>
      <c r="W829" s="29">
        <v>0</v>
      </c>
      <c r="X829" s="29">
        <v>0</v>
      </c>
      <c r="Y829" s="29">
        <v>0</v>
      </c>
      <c r="Z829" s="29">
        <v>0</v>
      </c>
      <c r="AA829" s="29" t="s">
        <v>1592</v>
      </c>
      <c r="AB829" s="29" t="s">
        <v>1700</v>
      </c>
      <c r="AC829" s="29"/>
      <c r="AD829" s="29"/>
      <c r="AE829" s="29" t="s">
        <v>1701</v>
      </c>
      <c r="AF829" s="29"/>
      <c r="AG829" s="29"/>
    </row>
    <row r="830" spans="1:33">
      <c r="A830" s="29" t="s">
        <v>1585</v>
      </c>
      <c r="B830" s="29" t="s">
        <v>1595</v>
      </c>
      <c r="C830" s="29" t="s">
        <v>1596</v>
      </c>
      <c r="D830" s="29" t="s">
        <v>708</v>
      </c>
      <c r="E830" s="29" t="s">
        <v>15</v>
      </c>
      <c r="F830" s="29" t="s">
        <v>1089</v>
      </c>
      <c r="G830" s="29" t="s">
        <v>1702</v>
      </c>
      <c r="H830" s="29" t="s">
        <v>1152</v>
      </c>
      <c r="I830" s="116" t="s">
        <v>310</v>
      </c>
      <c r="J830" s="29" t="s">
        <v>711</v>
      </c>
      <c r="K830" s="29">
        <v>0.69</v>
      </c>
      <c r="L830" s="116" t="s">
        <v>1576</v>
      </c>
      <c r="M830" s="29" t="s">
        <v>311</v>
      </c>
      <c r="N830" s="29">
        <v>10</v>
      </c>
      <c r="O830" s="115">
        <v>10</v>
      </c>
      <c r="P830" s="29">
        <v>10.362099325878329</v>
      </c>
      <c r="Q830" s="29">
        <v>1</v>
      </c>
      <c r="R830" s="29">
        <v>95</v>
      </c>
      <c r="S830" s="29">
        <v>0.85</v>
      </c>
      <c r="T830" s="29">
        <v>100</v>
      </c>
      <c r="U830" s="29">
        <v>10.526315789473683</v>
      </c>
      <c r="V830" s="29">
        <v>6.5236246147694974</v>
      </c>
      <c r="W830" s="29">
        <v>0</v>
      </c>
      <c r="X830" s="29">
        <v>0</v>
      </c>
      <c r="Y830" s="29">
        <v>0</v>
      </c>
      <c r="Z830" s="29">
        <v>0</v>
      </c>
      <c r="AA830" s="29" t="s">
        <v>1602</v>
      </c>
      <c r="AB830" s="29"/>
      <c r="AC830" s="29"/>
      <c r="AD830" s="29"/>
      <c r="AE830" s="29" t="s">
        <v>1703</v>
      </c>
      <c r="AF830" s="29"/>
      <c r="AG830" s="29"/>
    </row>
    <row r="831" spans="1:33">
      <c r="A831" s="29" t="s">
        <v>1585</v>
      </c>
      <c r="B831" s="29" t="s">
        <v>1595</v>
      </c>
      <c r="C831" s="29" t="s">
        <v>1596</v>
      </c>
      <c r="D831" s="29" t="s">
        <v>708</v>
      </c>
      <c r="E831" s="29" t="s">
        <v>15</v>
      </c>
      <c r="F831" s="29" t="s">
        <v>1089</v>
      </c>
      <c r="G831" s="29" t="s">
        <v>1704</v>
      </c>
      <c r="H831" s="29" t="s">
        <v>1152</v>
      </c>
      <c r="I831" s="116" t="s">
        <v>310</v>
      </c>
      <c r="J831" s="29" t="s">
        <v>711</v>
      </c>
      <c r="K831" s="29">
        <v>0.69</v>
      </c>
      <c r="L831" s="116" t="s">
        <v>1576</v>
      </c>
      <c r="M831" s="29" t="s">
        <v>363</v>
      </c>
      <c r="N831" s="29">
        <v>10</v>
      </c>
      <c r="O831" s="115">
        <v>10</v>
      </c>
      <c r="P831" s="29">
        <v>10.362099325878329</v>
      </c>
      <c r="Q831" s="29">
        <v>1</v>
      </c>
      <c r="R831" s="29">
        <v>95</v>
      </c>
      <c r="S831" s="29">
        <v>0.85</v>
      </c>
      <c r="T831" s="29">
        <v>10</v>
      </c>
      <c r="U831" s="29">
        <v>0</v>
      </c>
      <c r="V831" s="29">
        <v>0</v>
      </c>
      <c r="W831" s="29">
        <v>0</v>
      </c>
      <c r="X831" s="29">
        <v>0</v>
      </c>
      <c r="Y831" s="29">
        <v>1.0526315789473684</v>
      </c>
      <c r="Z831" s="29">
        <v>0.65236246147694976</v>
      </c>
      <c r="AA831" s="29" t="s">
        <v>1602</v>
      </c>
      <c r="AB831" s="29"/>
      <c r="AC831" s="29"/>
      <c r="AD831" s="29"/>
      <c r="AE831" s="29" t="s">
        <v>1703</v>
      </c>
      <c r="AF831" s="29"/>
      <c r="AG831" s="29"/>
    </row>
    <row r="832" spans="1:33">
      <c r="A832" s="29" t="s">
        <v>1584</v>
      </c>
      <c r="B832" s="29" t="s">
        <v>1595</v>
      </c>
      <c r="C832" s="29" t="s">
        <v>1596</v>
      </c>
      <c r="D832" s="29" t="s">
        <v>708</v>
      </c>
      <c r="E832" s="29" t="s">
        <v>15</v>
      </c>
      <c r="F832" s="29" t="s">
        <v>1089</v>
      </c>
      <c r="G832" s="29" t="s">
        <v>1705</v>
      </c>
      <c r="H832" s="29" t="s">
        <v>1706</v>
      </c>
      <c r="I832" s="116" t="s">
        <v>310</v>
      </c>
      <c r="J832" s="29" t="s">
        <v>711</v>
      </c>
      <c r="K832" s="29">
        <v>0.69</v>
      </c>
      <c r="L832" s="116" t="s">
        <v>1576</v>
      </c>
      <c r="M832" s="29" t="s">
        <v>363</v>
      </c>
      <c r="N832" s="29">
        <v>10</v>
      </c>
      <c r="O832" s="115">
        <v>10</v>
      </c>
      <c r="P832" s="29">
        <v>10.362099325878329</v>
      </c>
      <c r="Q832" s="29">
        <v>1</v>
      </c>
      <c r="R832" s="29">
        <v>95</v>
      </c>
      <c r="S832" s="29">
        <v>0.85</v>
      </c>
      <c r="T832" s="29">
        <v>10</v>
      </c>
      <c r="U832" s="29">
        <v>0</v>
      </c>
      <c r="V832" s="29">
        <v>0</v>
      </c>
      <c r="W832" s="29">
        <v>0</v>
      </c>
      <c r="X832" s="29">
        <v>0</v>
      </c>
      <c r="Y832" s="29">
        <v>1.0526315789473684</v>
      </c>
      <c r="Z832" s="29">
        <v>0.65236246147694976</v>
      </c>
      <c r="AA832" s="29" t="s">
        <v>1602</v>
      </c>
      <c r="AB832" s="29"/>
      <c r="AC832" s="29"/>
      <c r="AD832" s="29"/>
      <c r="AE832" s="29" t="s">
        <v>1707</v>
      </c>
      <c r="AF832" s="29"/>
      <c r="AG832" s="29"/>
    </row>
    <row r="833" spans="1:33">
      <c r="A833" s="29" t="s">
        <v>1584</v>
      </c>
      <c r="B833" s="29" t="s">
        <v>1575</v>
      </c>
      <c r="C833" s="29" t="s">
        <v>317</v>
      </c>
      <c r="D833" s="29" t="s">
        <v>845</v>
      </c>
      <c r="E833" s="29" t="s">
        <v>15</v>
      </c>
      <c r="F833" s="29" t="s">
        <v>1155</v>
      </c>
      <c r="G833" s="29" t="s">
        <v>1156</v>
      </c>
      <c r="H833" s="29" t="s">
        <v>1157</v>
      </c>
      <c r="I833" s="116" t="s">
        <v>310</v>
      </c>
      <c r="J833" s="29" t="s">
        <v>41</v>
      </c>
      <c r="K833" s="29">
        <v>0.4</v>
      </c>
      <c r="L833" s="116"/>
      <c r="M833" s="29" t="s">
        <v>311</v>
      </c>
      <c r="N833" s="29">
        <v>27</v>
      </c>
      <c r="O833" s="115">
        <v>30</v>
      </c>
      <c r="P833" s="29">
        <v>53.623864011420338</v>
      </c>
      <c r="Q833" s="29">
        <v>0.9</v>
      </c>
      <c r="R833" s="29">
        <v>95</v>
      </c>
      <c r="S833" s="29">
        <v>0.85</v>
      </c>
      <c r="T833" s="29">
        <v>100</v>
      </c>
      <c r="U833" s="29">
        <v>28.421052631578945</v>
      </c>
      <c r="V833" s="29">
        <v>17.613786459877641</v>
      </c>
      <c r="W833" s="29">
        <v>0</v>
      </c>
      <c r="X833" s="29">
        <v>0</v>
      </c>
      <c r="Y833" s="29">
        <v>0</v>
      </c>
      <c r="Z833" s="29">
        <v>0</v>
      </c>
      <c r="AA833" s="29" t="s">
        <v>1602</v>
      </c>
      <c r="AB833" s="29"/>
      <c r="AC833" s="29"/>
      <c r="AD833" s="29"/>
      <c r="AE833" s="29" t="s">
        <v>1708</v>
      </c>
      <c r="AF833" s="29"/>
      <c r="AG833" s="29"/>
    </row>
    <row r="834" spans="1:33">
      <c r="A834" s="29" t="s">
        <v>1584</v>
      </c>
      <c r="B834" s="29" t="s">
        <v>1575</v>
      </c>
      <c r="C834" s="29" t="s">
        <v>317</v>
      </c>
      <c r="D834" s="29" t="s">
        <v>845</v>
      </c>
      <c r="E834" s="29" t="s">
        <v>321</v>
      </c>
      <c r="F834" s="29" t="s">
        <v>1158</v>
      </c>
      <c r="G834" s="29" t="s">
        <v>1159</v>
      </c>
      <c r="H834" s="29" t="s">
        <v>1160</v>
      </c>
      <c r="I834" s="116" t="s">
        <v>310</v>
      </c>
      <c r="J834" s="29" t="s">
        <v>41</v>
      </c>
      <c r="K834" s="29">
        <v>0.4</v>
      </c>
      <c r="L834" s="116"/>
      <c r="M834" s="29" t="s">
        <v>363</v>
      </c>
      <c r="N834" s="29">
        <v>27</v>
      </c>
      <c r="O834" s="115">
        <v>30</v>
      </c>
      <c r="P834" s="29">
        <v>53.623864011420338</v>
      </c>
      <c r="Q834" s="29">
        <v>0.9</v>
      </c>
      <c r="R834" s="29">
        <v>95</v>
      </c>
      <c r="S834" s="29">
        <v>0.85</v>
      </c>
      <c r="T834" s="29">
        <v>10</v>
      </c>
      <c r="U834" s="29">
        <v>0</v>
      </c>
      <c r="V834" s="29">
        <v>0</v>
      </c>
      <c r="W834" s="29">
        <v>0</v>
      </c>
      <c r="X834" s="29">
        <v>0</v>
      </c>
      <c r="Y834" s="29">
        <v>2.8421052631578947</v>
      </c>
      <c r="Z834" s="29">
        <v>1.7613786459877643</v>
      </c>
      <c r="AA834" s="29" t="s">
        <v>1602</v>
      </c>
      <c r="AB834" s="29"/>
      <c r="AC834" s="29"/>
      <c r="AD834" s="29"/>
      <c r="AE834" s="29" t="s">
        <v>1708</v>
      </c>
      <c r="AF834" s="29"/>
      <c r="AG834" s="29"/>
    </row>
    <row r="835" spans="1:33">
      <c r="A835" s="29" t="s">
        <v>1584</v>
      </c>
      <c r="B835" s="29" t="s">
        <v>1575</v>
      </c>
      <c r="C835" s="29" t="s">
        <v>317</v>
      </c>
      <c r="D835" s="29" t="s">
        <v>845</v>
      </c>
      <c r="E835" s="29" t="s">
        <v>15</v>
      </c>
      <c r="F835" s="29" t="s">
        <v>1155</v>
      </c>
      <c r="G835" s="29" t="s">
        <v>1161</v>
      </c>
      <c r="H835" s="29" t="s">
        <v>1162</v>
      </c>
      <c r="I835" s="116" t="s">
        <v>310</v>
      </c>
      <c r="J835" s="29" t="s">
        <v>1030</v>
      </c>
      <c r="K835" s="29">
        <v>0.4</v>
      </c>
      <c r="L835" s="116"/>
      <c r="M835" s="29" t="s">
        <v>353</v>
      </c>
      <c r="N835" s="29">
        <v>38.700000000000003</v>
      </c>
      <c r="O835" s="115">
        <v>43</v>
      </c>
      <c r="P835" s="29">
        <v>76.860871749702483</v>
      </c>
      <c r="Q835" s="29">
        <v>0.9</v>
      </c>
      <c r="R835" s="29">
        <v>95</v>
      </c>
      <c r="S835" s="29">
        <v>0.85</v>
      </c>
      <c r="T835" s="29">
        <v>30</v>
      </c>
      <c r="U835" s="29">
        <v>0</v>
      </c>
      <c r="V835" s="29">
        <v>0</v>
      </c>
      <c r="W835" s="29">
        <v>12.221052631578948</v>
      </c>
      <c r="X835" s="29">
        <v>7.5739281777473861</v>
      </c>
      <c r="Y835" s="29">
        <v>0</v>
      </c>
      <c r="Z835" s="29">
        <v>0</v>
      </c>
      <c r="AA835" s="29" t="s">
        <v>1602</v>
      </c>
      <c r="AB835" s="29"/>
      <c r="AC835" s="29"/>
      <c r="AD835" s="29"/>
      <c r="AE835" s="29" t="s">
        <v>1708</v>
      </c>
      <c r="AF835" s="29"/>
      <c r="AG835" s="29"/>
    </row>
    <row r="836" spans="1:33">
      <c r="A836" s="29" t="s">
        <v>1585</v>
      </c>
      <c r="B836" s="29" t="s">
        <v>1575</v>
      </c>
      <c r="C836" s="29" t="s">
        <v>317</v>
      </c>
      <c r="D836" s="29" t="s">
        <v>845</v>
      </c>
      <c r="E836" s="29" t="s">
        <v>15</v>
      </c>
      <c r="F836" s="29" t="s">
        <v>1155</v>
      </c>
      <c r="G836" s="29" t="s">
        <v>1163</v>
      </c>
      <c r="H836" s="29" t="s">
        <v>1164</v>
      </c>
      <c r="I836" s="116" t="s">
        <v>310</v>
      </c>
      <c r="J836" s="29" t="s">
        <v>41</v>
      </c>
      <c r="K836" s="29">
        <v>0.4</v>
      </c>
      <c r="L836" s="116"/>
      <c r="M836" s="29" t="s">
        <v>311</v>
      </c>
      <c r="N836" s="29">
        <v>9</v>
      </c>
      <c r="O836" s="115">
        <v>10</v>
      </c>
      <c r="P836" s="29">
        <v>17.874621337140113</v>
      </c>
      <c r="Q836" s="29">
        <v>0.9</v>
      </c>
      <c r="R836" s="29">
        <v>95</v>
      </c>
      <c r="S836" s="29">
        <v>0.85</v>
      </c>
      <c r="T836" s="29">
        <v>100</v>
      </c>
      <c r="U836" s="29">
        <v>9.4736842105263168</v>
      </c>
      <c r="V836" s="29">
        <v>5.8712621532925482</v>
      </c>
      <c r="W836" s="29">
        <v>0</v>
      </c>
      <c r="X836" s="29">
        <v>0</v>
      </c>
      <c r="Y836" s="29">
        <v>0</v>
      </c>
      <c r="Z836" s="29">
        <v>0</v>
      </c>
      <c r="AA836" s="29" t="s">
        <v>1602</v>
      </c>
      <c r="AB836" s="29"/>
      <c r="AC836" s="29"/>
      <c r="AD836" s="29"/>
      <c r="AE836" s="29" t="s">
        <v>1709</v>
      </c>
      <c r="AF836" s="29"/>
      <c r="AG836" s="29"/>
    </row>
    <row r="837" spans="1:33">
      <c r="A837" s="29" t="s">
        <v>1585</v>
      </c>
      <c r="B837" s="29" t="s">
        <v>1575</v>
      </c>
      <c r="C837" s="29" t="s">
        <v>317</v>
      </c>
      <c r="D837" s="29" t="s">
        <v>845</v>
      </c>
      <c r="E837" s="29" t="s">
        <v>321</v>
      </c>
      <c r="F837" s="29" t="s">
        <v>1158</v>
      </c>
      <c r="G837" s="29" t="s">
        <v>1165</v>
      </c>
      <c r="H837" s="29" t="s">
        <v>1166</v>
      </c>
      <c r="I837" s="116" t="s">
        <v>310</v>
      </c>
      <c r="J837" s="29" t="s">
        <v>41</v>
      </c>
      <c r="K837" s="29">
        <v>0.4</v>
      </c>
      <c r="L837" s="116"/>
      <c r="M837" s="29" t="s">
        <v>311</v>
      </c>
      <c r="N837" s="29">
        <v>9</v>
      </c>
      <c r="O837" s="115">
        <v>10</v>
      </c>
      <c r="P837" s="29">
        <v>17.874621337140113</v>
      </c>
      <c r="Q837" s="29">
        <v>0.9</v>
      </c>
      <c r="R837" s="29">
        <v>95</v>
      </c>
      <c r="S837" s="29">
        <v>0.85</v>
      </c>
      <c r="T837" s="29">
        <v>100</v>
      </c>
      <c r="U837" s="29">
        <v>9.4736842105263168</v>
      </c>
      <c r="V837" s="29">
        <v>5.8712621532925482</v>
      </c>
      <c r="W837" s="29">
        <v>0</v>
      </c>
      <c r="X837" s="29">
        <v>0</v>
      </c>
      <c r="Y837" s="29">
        <v>0</v>
      </c>
      <c r="Z837" s="29">
        <v>0</v>
      </c>
      <c r="AA837" s="29" t="s">
        <v>1602</v>
      </c>
      <c r="AB837" s="29"/>
      <c r="AC837" s="29"/>
      <c r="AD837" s="29"/>
      <c r="AE837" s="29" t="s">
        <v>1710</v>
      </c>
      <c r="AF837" s="29"/>
      <c r="AG837" s="29"/>
    </row>
    <row r="838" spans="1:33">
      <c r="A838" s="29" t="s">
        <v>1585</v>
      </c>
      <c r="B838" s="29" t="s">
        <v>1575</v>
      </c>
      <c r="C838" s="29" t="s">
        <v>317</v>
      </c>
      <c r="D838" s="29" t="s">
        <v>845</v>
      </c>
      <c r="E838" s="29" t="s">
        <v>15</v>
      </c>
      <c r="F838" s="29" t="s">
        <v>1155</v>
      </c>
      <c r="G838" s="29" t="s">
        <v>1167</v>
      </c>
      <c r="H838" s="29" t="s">
        <v>1168</v>
      </c>
      <c r="I838" s="116" t="s">
        <v>310</v>
      </c>
      <c r="J838" s="29" t="s">
        <v>41</v>
      </c>
      <c r="K838" s="29">
        <v>0.4</v>
      </c>
      <c r="L838" s="116"/>
      <c r="M838" s="29" t="s">
        <v>363</v>
      </c>
      <c r="N838" s="29">
        <v>9</v>
      </c>
      <c r="O838" s="115">
        <v>10</v>
      </c>
      <c r="P838" s="29">
        <v>17.874621337140113</v>
      </c>
      <c r="Q838" s="29">
        <v>0.9</v>
      </c>
      <c r="R838" s="29">
        <v>95</v>
      </c>
      <c r="S838" s="29">
        <v>0.85</v>
      </c>
      <c r="T838" s="29">
        <v>10</v>
      </c>
      <c r="U838" s="29">
        <v>0</v>
      </c>
      <c r="V838" s="29">
        <v>0</v>
      </c>
      <c r="W838" s="29">
        <v>0</v>
      </c>
      <c r="X838" s="29">
        <v>0</v>
      </c>
      <c r="Y838" s="29">
        <v>0.94736842105263164</v>
      </c>
      <c r="Z838" s="29">
        <v>0.5871262153292548</v>
      </c>
      <c r="AA838" s="29" t="s">
        <v>1602</v>
      </c>
      <c r="AB838" s="29"/>
      <c r="AC838" s="29"/>
      <c r="AD838" s="29"/>
      <c r="AE838" s="29" t="s">
        <v>1711</v>
      </c>
      <c r="AF838" s="29"/>
      <c r="AG838" s="29"/>
    </row>
    <row r="839" spans="1:33">
      <c r="A839" s="29" t="s">
        <v>321</v>
      </c>
      <c r="B839" s="29" t="s">
        <v>1575</v>
      </c>
      <c r="C839" s="29" t="s">
        <v>317</v>
      </c>
      <c r="D839" s="29" t="s">
        <v>845</v>
      </c>
      <c r="E839" s="29" t="s">
        <v>321</v>
      </c>
      <c r="F839" s="29" t="s">
        <v>1158</v>
      </c>
      <c r="G839" s="29" t="s">
        <v>1169</v>
      </c>
      <c r="H839" s="29" t="s">
        <v>1170</v>
      </c>
      <c r="I839" s="116" t="s">
        <v>310</v>
      </c>
      <c r="J839" s="29" t="s">
        <v>41</v>
      </c>
      <c r="K839" s="29">
        <v>0.4</v>
      </c>
      <c r="L839" s="116"/>
      <c r="M839" s="29" t="s">
        <v>311</v>
      </c>
      <c r="N839" s="29">
        <v>0.9</v>
      </c>
      <c r="O839" s="115">
        <v>1</v>
      </c>
      <c r="P839" s="29">
        <v>1.7874621337140113</v>
      </c>
      <c r="Q839" s="29">
        <v>0.9</v>
      </c>
      <c r="R839" s="29">
        <v>95</v>
      </c>
      <c r="S839" s="29">
        <v>0.85</v>
      </c>
      <c r="T839" s="29">
        <v>100</v>
      </c>
      <c r="U839" s="29">
        <v>0.94736842105263164</v>
      </c>
      <c r="V839" s="29">
        <v>0.5871262153292548</v>
      </c>
      <c r="W839" s="29">
        <v>0</v>
      </c>
      <c r="X839" s="29">
        <v>0</v>
      </c>
      <c r="Y839" s="29">
        <v>0</v>
      </c>
      <c r="Z839" s="29">
        <v>0</v>
      </c>
      <c r="AA839" s="29" t="s">
        <v>1602</v>
      </c>
      <c r="AB839" s="29"/>
      <c r="AC839" s="29"/>
      <c r="AD839" s="29"/>
      <c r="AE839" s="29" t="s">
        <v>1712</v>
      </c>
      <c r="AF839" s="29"/>
      <c r="AG839" s="29"/>
    </row>
    <row r="840" spans="1:33">
      <c r="A840" s="29" t="s">
        <v>1585</v>
      </c>
      <c r="B840" s="29" t="s">
        <v>1575</v>
      </c>
      <c r="C840" s="29" t="s">
        <v>1713</v>
      </c>
      <c r="D840" s="29" t="s">
        <v>845</v>
      </c>
      <c r="E840" s="29" t="s">
        <v>15</v>
      </c>
      <c r="F840" s="29" t="s">
        <v>1155</v>
      </c>
      <c r="G840" s="29" t="s">
        <v>1714</v>
      </c>
      <c r="H840" s="29" t="s">
        <v>1715</v>
      </c>
      <c r="I840" s="116" t="s">
        <v>310</v>
      </c>
      <c r="J840" s="29" t="s">
        <v>20</v>
      </c>
      <c r="K840" s="29">
        <v>0.4</v>
      </c>
      <c r="L840" s="116"/>
      <c r="M840" s="29" t="s">
        <v>311</v>
      </c>
      <c r="N840" s="29">
        <v>72</v>
      </c>
      <c r="O840" s="115">
        <v>80</v>
      </c>
      <c r="P840" s="29">
        <v>142.9969706971209</v>
      </c>
      <c r="Q840" s="29">
        <v>0.9</v>
      </c>
      <c r="R840" s="29">
        <v>95</v>
      </c>
      <c r="S840" s="29">
        <v>0.85</v>
      </c>
      <c r="T840" s="29">
        <v>100</v>
      </c>
      <c r="U840" s="29">
        <v>75.789473684210535</v>
      </c>
      <c r="V840" s="29">
        <v>46.970097226340386</v>
      </c>
      <c r="W840" s="29">
        <v>0</v>
      </c>
      <c r="X840" s="29">
        <v>0</v>
      </c>
      <c r="Y840" s="29">
        <v>0</v>
      </c>
      <c r="Z840" s="29">
        <v>0</v>
      </c>
      <c r="AA840" s="29" t="s">
        <v>1602</v>
      </c>
      <c r="AB840" s="29"/>
      <c r="AC840" s="29"/>
      <c r="AD840" s="29"/>
      <c r="AE840" s="29" t="s">
        <v>1716</v>
      </c>
      <c r="AF840" s="29"/>
      <c r="AG840" s="29"/>
    </row>
    <row r="841" spans="1:33">
      <c r="A841" s="29" t="s">
        <v>1585</v>
      </c>
      <c r="B841" s="29" t="s">
        <v>1575</v>
      </c>
      <c r="C841" s="29" t="s">
        <v>1713</v>
      </c>
      <c r="D841" s="29" t="s">
        <v>845</v>
      </c>
      <c r="E841" s="29" t="s">
        <v>15</v>
      </c>
      <c r="F841" s="29" t="s">
        <v>1155</v>
      </c>
      <c r="G841" s="29" t="s">
        <v>1717</v>
      </c>
      <c r="H841" s="29" t="s">
        <v>1718</v>
      </c>
      <c r="I841" s="116" t="s">
        <v>310</v>
      </c>
      <c r="J841" s="29" t="s">
        <v>16</v>
      </c>
      <c r="K841" s="29">
        <v>0.4</v>
      </c>
      <c r="L841" s="116"/>
      <c r="M841" s="29" t="s">
        <v>311</v>
      </c>
      <c r="N841" s="29">
        <v>90</v>
      </c>
      <c r="O841" s="115">
        <v>100</v>
      </c>
      <c r="P841" s="29">
        <v>178.74621337140113</v>
      </c>
      <c r="Q841" s="29">
        <v>0.9</v>
      </c>
      <c r="R841" s="29">
        <v>95</v>
      </c>
      <c r="S841" s="29">
        <v>0.85</v>
      </c>
      <c r="T841" s="29">
        <v>100</v>
      </c>
      <c r="U841" s="29">
        <v>94.73684210526315</v>
      </c>
      <c r="V841" s="29">
        <v>58.712621532925475</v>
      </c>
      <c r="W841" s="29">
        <v>0</v>
      </c>
      <c r="X841" s="29">
        <v>0</v>
      </c>
      <c r="Y841" s="29">
        <v>0</v>
      </c>
      <c r="Z841" s="29">
        <v>0</v>
      </c>
      <c r="AA841" s="29" t="s">
        <v>1602</v>
      </c>
      <c r="AB841" s="29"/>
      <c r="AC841" s="29"/>
      <c r="AD841" s="29"/>
      <c r="AE841" s="29" t="s">
        <v>1719</v>
      </c>
      <c r="AF841" s="29"/>
      <c r="AG841" s="29"/>
    </row>
    <row r="842" spans="1:33">
      <c r="A842" s="29" t="s">
        <v>1584</v>
      </c>
      <c r="B842" s="29" t="s">
        <v>1575</v>
      </c>
      <c r="C842" s="29" t="s">
        <v>317</v>
      </c>
      <c r="D842" s="29" t="s">
        <v>845</v>
      </c>
      <c r="E842" s="29" t="s">
        <v>15</v>
      </c>
      <c r="F842" s="29" t="s">
        <v>1155</v>
      </c>
      <c r="G842" s="29" t="s">
        <v>1173</v>
      </c>
      <c r="H842" s="29" t="s">
        <v>1157</v>
      </c>
      <c r="I842" s="116" t="s">
        <v>310</v>
      </c>
      <c r="J842" s="29" t="s">
        <v>41</v>
      </c>
      <c r="K842" s="29">
        <v>0.4</v>
      </c>
      <c r="L842" s="116"/>
      <c r="M842" s="29" t="s">
        <v>311</v>
      </c>
      <c r="N842" s="29">
        <v>27</v>
      </c>
      <c r="O842" s="115">
        <v>30</v>
      </c>
      <c r="P842" s="29">
        <v>53.623864011420338</v>
      </c>
      <c r="Q842" s="29">
        <v>0.9</v>
      </c>
      <c r="R842" s="29">
        <v>95</v>
      </c>
      <c r="S842" s="29">
        <v>0.85</v>
      </c>
      <c r="T842" s="29">
        <v>100</v>
      </c>
      <c r="U842" s="29">
        <v>28.421052631578945</v>
      </c>
      <c r="V842" s="29">
        <v>17.613786459877641</v>
      </c>
      <c r="W842" s="29">
        <v>0</v>
      </c>
      <c r="X842" s="29">
        <v>0</v>
      </c>
      <c r="Y842" s="29">
        <v>0</v>
      </c>
      <c r="Z842" s="29">
        <v>0</v>
      </c>
      <c r="AA842" s="29" t="s">
        <v>1602</v>
      </c>
      <c r="AB842" s="29"/>
      <c r="AC842" s="29"/>
      <c r="AD842" s="29"/>
      <c r="AE842" s="29" t="s">
        <v>1708</v>
      </c>
      <c r="AF842" s="29"/>
      <c r="AG842" s="29"/>
    </row>
    <row r="843" spans="1:33">
      <c r="A843" s="29" t="s">
        <v>1584</v>
      </c>
      <c r="B843" s="29" t="s">
        <v>1575</v>
      </c>
      <c r="C843" s="29" t="s">
        <v>317</v>
      </c>
      <c r="D843" s="29" t="s">
        <v>845</v>
      </c>
      <c r="E843" s="29" t="s">
        <v>321</v>
      </c>
      <c r="F843" s="29" t="s">
        <v>1158</v>
      </c>
      <c r="G843" s="29" t="s">
        <v>1174</v>
      </c>
      <c r="H843" s="29" t="s">
        <v>1160</v>
      </c>
      <c r="I843" s="116" t="s">
        <v>310</v>
      </c>
      <c r="J843" s="29" t="s">
        <v>41</v>
      </c>
      <c r="K843" s="29">
        <v>0.4</v>
      </c>
      <c r="L843" s="116"/>
      <c r="M843" s="29" t="s">
        <v>363</v>
      </c>
      <c r="N843" s="29">
        <v>27</v>
      </c>
      <c r="O843" s="115">
        <v>30</v>
      </c>
      <c r="P843" s="29">
        <v>53.623864011420338</v>
      </c>
      <c r="Q843" s="29">
        <v>0.9</v>
      </c>
      <c r="R843" s="29">
        <v>95</v>
      </c>
      <c r="S843" s="29">
        <v>0.85</v>
      </c>
      <c r="T843" s="29">
        <v>10</v>
      </c>
      <c r="U843" s="29">
        <v>0</v>
      </c>
      <c r="V843" s="29">
        <v>0</v>
      </c>
      <c r="W843" s="29">
        <v>0</v>
      </c>
      <c r="X843" s="29">
        <v>0</v>
      </c>
      <c r="Y843" s="29">
        <v>2.8421052631578947</v>
      </c>
      <c r="Z843" s="29">
        <v>1.7613786459877643</v>
      </c>
      <c r="AA843" s="29" t="s">
        <v>1602</v>
      </c>
      <c r="AB843" s="29"/>
      <c r="AC843" s="29"/>
      <c r="AD843" s="29"/>
      <c r="AE843" s="29" t="s">
        <v>1708</v>
      </c>
      <c r="AF843" s="29"/>
      <c r="AG843" s="29"/>
    </row>
    <row r="844" spans="1:33">
      <c r="A844" s="29" t="s">
        <v>1584</v>
      </c>
      <c r="B844" s="29" t="s">
        <v>1575</v>
      </c>
      <c r="C844" s="29" t="s">
        <v>317</v>
      </c>
      <c r="D844" s="29" t="s">
        <v>845</v>
      </c>
      <c r="E844" s="29" t="s">
        <v>15</v>
      </c>
      <c r="F844" s="29" t="s">
        <v>1155</v>
      </c>
      <c r="G844" s="29" t="s">
        <v>1175</v>
      </c>
      <c r="H844" s="29" t="s">
        <v>1162</v>
      </c>
      <c r="I844" s="116" t="s">
        <v>310</v>
      </c>
      <c r="J844" s="29" t="s">
        <v>1030</v>
      </c>
      <c r="K844" s="29">
        <v>0.4</v>
      </c>
      <c r="L844" s="116"/>
      <c r="M844" s="29" t="s">
        <v>353</v>
      </c>
      <c r="N844" s="29">
        <v>38.700000000000003</v>
      </c>
      <c r="O844" s="115">
        <v>43</v>
      </c>
      <c r="P844" s="29">
        <v>76.860871749702483</v>
      </c>
      <c r="Q844" s="29">
        <v>0.9</v>
      </c>
      <c r="R844" s="29">
        <v>95</v>
      </c>
      <c r="S844" s="29">
        <v>0.85</v>
      </c>
      <c r="T844" s="29">
        <v>30</v>
      </c>
      <c r="U844" s="29">
        <v>0</v>
      </c>
      <c r="V844" s="29">
        <v>0</v>
      </c>
      <c r="W844" s="29">
        <v>12.221052631578948</v>
      </c>
      <c r="X844" s="29">
        <v>7.5739281777473861</v>
      </c>
      <c r="Y844" s="29">
        <v>0</v>
      </c>
      <c r="Z844" s="29">
        <v>0</v>
      </c>
      <c r="AA844" s="29" t="s">
        <v>1602</v>
      </c>
      <c r="AB844" s="29"/>
      <c r="AC844" s="29"/>
      <c r="AD844" s="29"/>
      <c r="AE844" s="29" t="s">
        <v>1708</v>
      </c>
      <c r="AF844" s="29"/>
      <c r="AG844" s="29"/>
    </row>
    <row r="845" spans="1:33">
      <c r="A845" s="29" t="s">
        <v>1585</v>
      </c>
      <c r="B845" s="29" t="s">
        <v>1575</v>
      </c>
      <c r="C845" s="29" t="s">
        <v>317</v>
      </c>
      <c r="D845" s="29" t="s">
        <v>845</v>
      </c>
      <c r="E845" s="29" t="s">
        <v>15</v>
      </c>
      <c r="F845" s="29" t="s">
        <v>1155</v>
      </c>
      <c r="G845" s="29" t="s">
        <v>1176</v>
      </c>
      <c r="H845" s="29" t="s">
        <v>1164</v>
      </c>
      <c r="I845" s="116" t="s">
        <v>310</v>
      </c>
      <c r="J845" s="29" t="s">
        <v>41</v>
      </c>
      <c r="K845" s="29">
        <v>0.4</v>
      </c>
      <c r="L845" s="116"/>
      <c r="M845" s="29" t="s">
        <v>311</v>
      </c>
      <c r="N845" s="29">
        <v>9</v>
      </c>
      <c r="O845" s="115">
        <v>10</v>
      </c>
      <c r="P845" s="29">
        <v>17.874621337140113</v>
      </c>
      <c r="Q845" s="29">
        <v>0.9</v>
      </c>
      <c r="R845" s="29">
        <v>95</v>
      </c>
      <c r="S845" s="29">
        <v>0.85</v>
      </c>
      <c r="T845" s="29">
        <v>100</v>
      </c>
      <c r="U845" s="29">
        <v>9.4736842105263168</v>
      </c>
      <c r="V845" s="29">
        <v>5.8712621532925482</v>
      </c>
      <c r="W845" s="29">
        <v>0</v>
      </c>
      <c r="X845" s="29">
        <v>0</v>
      </c>
      <c r="Y845" s="29">
        <v>0</v>
      </c>
      <c r="Z845" s="29">
        <v>0</v>
      </c>
      <c r="AA845" s="29" t="s">
        <v>1602</v>
      </c>
      <c r="AB845" s="29"/>
      <c r="AC845" s="29"/>
      <c r="AD845" s="29"/>
      <c r="AE845" s="29" t="s">
        <v>1709</v>
      </c>
      <c r="AF845" s="29"/>
      <c r="AG845" s="29"/>
    </row>
    <row r="846" spans="1:33">
      <c r="A846" s="29" t="s">
        <v>1585</v>
      </c>
      <c r="B846" s="29" t="s">
        <v>1575</v>
      </c>
      <c r="C846" s="29" t="s">
        <v>317</v>
      </c>
      <c r="D846" s="29" t="s">
        <v>845</v>
      </c>
      <c r="E846" s="29" t="s">
        <v>321</v>
      </c>
      <c r="F846" s="29" t="s">
        <v>1158</v>
      </c>
      <c r="G846" s="29" t="s">
        <v>1177</v>
      </c>
      <c r="H846" s="29" t="s">
        <v>1166</v>
      </c>
      <c r="I846" s="116" t="s">
        <v>310</v>
      </c>
      <c r="J846" s="29" t="s">
        <v>41</v>
      </c>
      <c r="K846" s="29">
        <v>0.4</v>
      </c>
      <c r="L846" s="116"/>
      <c r="M846" s="29" t="s">
        <v>311</v>
      </c>
      <c r="N846" s="29">
        <v>9</v>
      </c>
      <c r="O846" s="115">
        <v>10</v>
      </c>
      <c r="P846" s="29">
        <v>17.874621337140113</v>
      </c>
      <c r="Q846" s="29">
        <v>0.9</v>
      </c>
      <c r="R846" s="29">
        <v>95</v>
      </c>
      <c r="S846" s="29">
        <v>0.85</v>
      </c>
      <c r="T846" s="29">
        <v>100</v>
      </c>
      <c r="U846" s="29">
        <v>9.4736842105263168</v>
      </c>
      <c r="V846" s="29">
        <v>5.8712621532925482</v>
      </c>
      <c r="W846" s="29">
        <v>0</v>
      </c>
      <c r="X846" s="29">
        <v>0</v>
      </c>
      <c r="Y846" s="29">
        <v>0</v>
      </c>
      <c r="Z846" s="29">
        <v>0</v>
      </c>
      <c r="AA846" s="29" t="s">
        <v>1602</v>
      </c>
      <c r="AB846" s="29"/>
      <c r="AC846" s="29"/>
      <c r="AD846" s="29"/>
      <c r="AE846" s="29" t="s">
        <v>1710</v>
      </c>
      <c r="AF846" s="29"/>
      <c r="AG846" s="29"/>
    </row>
    <row r="847" spans="1:33">
      <c r="A847" s="29" t="s">
        <v>1585</v>
      </c>
      <c r="B847" s="29" t="s">
        <v>1575</v>
      </c>
      <c r="C847" s="29" t="s">
        <v>317</v>
      </c>
      <c r="D847" s="29" t="s">
        <v>845</v>
      </c>
      <c r="E847" s="29" t="s">
        <v>15</v>
      </c>
      <c r="F847" s="29" t="s">
        <v>1155</v>
      </c>
      <c r="G847" s="29" t="s">
        <v>1178</v>
      </c>
      <c r="H847" s="29" t="s">
        <v>1168</v>
      </c>
      <c r="I847" s="116" t="s">
        <v>310</v>
      </c>
      <c r="J847" s="29" t="s">
        <v>41</v>
      </c>
      <c r="K847" s="29">
        <v>0.4</v>
      </c>
      <c r="L847" s="116"/>
      <c r="M847" s="29" t="s">
        <v>363</v>
      </c>
      <c r="N847" s="29">
        <v>9</v>
      </c>
      <c r="O847" s="115">
        <v>10</v>
      </c>
      <c r="P847" s="29">
        <v>17.874621337140113</v>
      </c>
      <c r="Q847" s="29">
        <v>0.9</v>
      </c>
      <c r="R847" s="29">
        <v>95</v>
      </c>
      <c r="S847" s="29">
        <v>0.85</v>
      </c>
      <c r="T847" s="29">
        <v>10</v>
      </c>
      <c r="U847" s="29">
        <v>0</v>
      </c>
      <c r="V847" s="29">
        <v>0</v>
      </c>
      <c r="W847" s="29">
        <v>0</v>
      </c>
      <c r="X847" s="29">
        <v>0</v>
      </c>
      <c r="Y847" s="29">
        <v>0.94736842105263164</v>
      </c>
      <c r="Z847" s="29">
        <v>0.5871262153292548</v>
      </c>
      <c r="AA847" s="29" t="s">
        <v>1602</v>
      </c>
      <c r="AB847" s="29"/>
      <c r="AC847" s="29"/>
      <c r="AD847" s="29"/>
      <c r="AE847" s="29" t="s">
        <v>1711</v>
      </c>
      <c r="AF847" s="29"/>
      <c r="AG847" s="29"/>
    </row>
    <row r="848" spans="1:33">
      <c r="A848" s="29" t="s">
        <v>321</v>
      </c>
      <c r="B848" s="29" t="s">
        <v>1575</v>
      </c>
      <c r="C848" s="29" t="s">
        <v>317</v>
      </c>
      <c r="D848" s="29" t="s">
        <v>845</v>
      </c>
      <c r="E848" s="29" t="s">
        <v>321</v>
      </c>
      <c r="F848" s="29" t="s">
        <v>1158</v>
      </c>
      <c r="G848" s="29" t="s">
        <v>1179</v>
      </c>
      <c r="H848" s="29" t="s">
        <v>1170</v>
      </c>
      <c r="I848" s="116" t="s">
        <v>310</v>
      </c>
      <c r="J848" s="29" t="s">
        <v>41</v>
      </c>
      <c r="K848" s="29">
        <v>0.4</v>
      </c>
      <c r="L848" s="116"/>
      <c r="M848" s="29" t="s">
        <v>311</v>
      </c>
      <c r="N848" s="29">
        <v>0.9</v>
      </c>
      <c r="O848" s="115">
        <v>1</v>
      </c>
      <c r="P848" s="29">
        <v>1.7874621337140113</v>
      </c>
      <c r="Q848" s="29">
        <v>0.9</v>
      </c>
      <c r="R848" s="29">
        <v>95</v>
      </c>
      <c r="S848" s="29">
        <v>0.85</v>
      </c>
      <c r="T848" s="29">
        <v>100</v>
      </c>
      <c r="U848" s="29">
        <v>0.94736842105263164</v>
      </c>
      <c r="V848" s="29">
        <v>0.5871262153292548</v>
      </c>
      <c r="W848" s="29">
        <v>0</v>
      </c>
      <c r="X848" s="29">
        <v>0</v>
      </c>
      <c r="Y848" s="29">
        <v>0</v>
      </c>
      <c r="Z848" s="29">
        <v>0</v>
      </c>
      <c r="AA848" s="29" t="s">
        <v>1602</v>
      </c>
      <c r="AB848" s="29"/>
      <c r="AC848" s="29"/>
      <c r="AD848" s="29"/>
      <c r="AE848" s="29" t="s">
        <v>1712</v>
      </c>
      <c r="AF848" s="29"/>
      <c r="AG848" s="29"/>
    </row>
    <row r="849" spans="1:33">
      <c r="A849" s="29" t="s">
        <v>1585</v>
      </c>
      <c r="B849" s="29" t="s">
        <v>1575</v>
      </c>
      <c r="C849" s="29" t="s">
        <v>1713</v>
      </c>
      <c r="D849" s="29" t="s">
        <v>845</v>
      </c>
      <c r="E849" s="29" t="s">
        <v>15</v>
      </c>
      <c r="F849" s="29" t="s">
        <v>1155</v>
      </c>
      <c r="G849" s="29" t="s">
        <v>1720</v>
      </c>
      <c r="H849" s="29" t="s">
        <v>1715</v>
      </c>
      <c r="I849" s="116" t="s">
        <v>310</v>
      </c>
      <c r="J849" s="29" t="s">
        <v>20</v>
      </c>
      <c r="K849" s="29">
        <v>0.4</v>
      </c>
      <c r="L849" s="116"/>
      <c r="M849" s="29" t="s">
        <v>311</v>
      </c>
      <c r="N849" s="29">
        <v>72</v>
      </c>
      <c r="O849" s="115">
        <v>80</v>
      </c>
      <c r="P849" s="29">
        <v>142.9969706971209</v>
      </c>
      <c r="Q849" s="29">
        <v>0.9</v>
      </c>
      <c r="R849" s="29">
        <v>95</v>
      </c>
      <c r="S849" s="29">
        <v>0.85</v>
      </c>
      <c r="T849" s="29">
        <v>100</v>
      </c>
      <c r="U849" s="29">
        <v>75.789473684210535</v>
      </c>
      <c r="V849" s="29">
        <v>46.970097226340386</v>
      </c>
      <c r="W849" s="29">
        <v>0</v>
      </c>
      <c r="X849" s="29">
        <v>0</v>
      </c>
      <c r="Y849" s="29">
        <v>0</v>
      </c>
      <c r="Z849" s="29">
        <v>0</v>
      </c>
      <c r="AA849" s="29" t="s">
        <v>1602</v>
      </c>
      <c r="AB849" s="29"/>
      <c r="AC849" s="29"/>
      <c r="AD849" s="29"/>
      <c r="AE849" s="29" t="s">
        <v>1716</v>
      </c>
      <c r="AF849" s="29"/>
      <c r="AG849" s="29"/>
    </row>
    <row r="850" spans="1:33">
      <c r="A850" s="29" t="s">
        <v>1585</v>
      </c>
      <c r="B850" s="29" t="s">
        <v>1575</v>
      </c>
      <c r="C850" s="29" t="s">
        <v>1713</v>
      </c>
      <c r="D850" s="29" t="s">
        <v>845</v>
      </c>
      <c r="E850" s="29" t="s">
        <v>15</v>
      </c>
      <c r="F850" s="29" t="s">
        <v>1155</v>
      </c>
      <c r="G850" s="29" t="s">
        <v>1721</v>
      </c>
      <c r="H850" s="29" t="s">
        <v>1718</v>
      </c>
      <c r="I850" s="116" t="s">
        <v>310</v>
      </c>
      <c r="J850" s="29" t="s">
        <v>16</v>
      </c>
      <c r="K850" s="29">
        <v>0.4</v>
      </c>
      <c r="L850" s="116"/>
      <c r="M850" s="29" t="s">
        <v>311</v>
      </c>
      <c r="N850" s="29">
        <v>90</v>
      </c>
      <c r="O850" s="115">
        <v>100</v>
      </c>
      <c r="P850" s="29">
        <v>178.74621337140113</v>
      </c>
      <c r="Q850" s="29">
        <v>0.9</v>
      </c>
      <c r="R850" s="29">
        <v>95</v>
      </c>
      <c r="S850" s="29">
        <v>0.85</v>
      </c>
      <c r="T850" s="29">
        <v>100</v>
      </c>
      <c r="U850" s="29">
        <v>94.73684210526315</v>
      </c>
      <c r="V850" s="29">
        <v>58.712621532925475</v>
      </c>
      <c r="W850" s="29">
        <v>0</v>
      </c>
      <c r="X850" s="29">
        <v>0</v>
      </c>
      <c r="Y850" s="29">
        <v>0</v>
      </c>
      <c r="Z850" s="29">
        <v>0</v>
      </c>
      <c r="AA850" s="29" t="s">
        <v>1602</v>
      </c>
      <c r="AB850" s="29"/>
      <c r="AC850" s="29"/>
      <c r="AD850" s="29"/>
      <c r="AE850" s="29" t="s">
        <v>1719</v>
      </c>
      <c r="AF850" s="29"/>
      <c r="AG850" s="29"/>
    </row>
    <row r="851" spans="1:33">
      <c r="A851" s="29" t="s">
        <v>15</v>
      </c>
      <c r="B851" s="29" t="s">
        <v>1575</v>
      </c>
      <c r="C851" s="29" t="s">
        <v>317</v>
      </c>
      <c r="D851" s="29" t="s">
        <v>845</v>
      </c>
      <c r="E851" s="29" t="s">
        <v>15</v>
      </c>
      <c r="F851" s="29" t="s">
        <v>1155</v>
      </c>
      <c r="G851" s="29" t="s">
        <v>1181</v>
      </c>
      <c r="H851" s="29" t="s">
        <v>1182</v>
      </c>
      <c r="I851" s="116" t="s">
        <v>310</v>
      </c>
      <c r="J851" s="29" t="s">
        <v>41</v>
      </c>
      <c r="K851" s="29">
        <v>0.4</v>
      </c>
      <c r="L851" s="116"/>
      <c r="M851" s="29" t="s">
        <v>353</v>
      </c>
      <c r="N851" s="29">
        <v>4.95</v>
      </c>
      <c r="O851" s="115">
        <v>5.5</v>
      </c>
      <c r="P851" s="29">
        <v>9.8310417354270623</v>
      </c>
      <c r="Q851" s="29">
        <v>0.9</v>
      </c>
      <c r="R851" s="29">
        <v>95</v>
      </c>
      <c r="S851" s="29">
        <v>0.85</v>
      </c>
      <c r="T851" s="29">
        <v>30</v>
      </c>
      <c r="U851" s="29">
        <v>0</v>
      </c>
      <c r="V851" s="29">
        <v>0</v>
      </c>
      <c r="W851" s="29">
        <v>1.5631578947368421</v>
      </c>
      <c r="X851" s="29">
        <v>0.96875825529327031</v>
      </c>
      <c r="Y851" s="29">
        <v>0</v>
      </c>
      <c r="Z851" s="29">
        <v>0</v>
      </c>
      <c r="AA851" s="29" t="s">
        <v>1602</v>
      </c>
      <c r="AB851" s="29"/>
      <c r="AC851" s="29"/>
      <c r="AD851" s="29"/>
      <c r="AE851" s="29" t="s">
        <v>1722</v>
      </c>
      <c r="AF851" s="29"/>
      <c r="AG851" s="29"/>
    </row>
    <row r="852" spans="1:33">
      <c r="A852" s="29" t="s">
        <v>15</v>
      </c>
      <c r="B852" s="29" t="s">
        <v>1575</v>
      </c>
      <c r="C852" s="29" t="s">
        <v>317</v>
      </c>
      <c r="D852" s="29" t="s">
        <v>845</v>
      </c>
      <c r="E852" s="29" t="s">
        <v>321</v>
      </c>
      <c r="F852" s="29" t="s">
        <v>1158</v>
      </c>
      <c r="G852" s="29" t="s">
        <v>1183</v>
      </c>
      <c r="H852" s="29" t="s">
        <v>1184</v>
      </c>
      <c r="I852" s="116" t="s">
        <v>310</v>
      </c>
      <c r="J852" s="29" t="s">
        <v>41</v>
      </c>
      <c r="K852" s="29">
        <v>0.4</v>
      </c>
      <c r="L852" s="116"/>
      <c r="M852" s="29" t="s">
        <v>311</v>
      </c>
      <c r="N852" s="29">
        <v>6.75</v>
      </c>
      <c r="O852" s="115">
        <v>7.5</v>
      </c>
      <c r="P852" s="29">
        <v>13.405966002855084</v>
      </c>
      <c r="Q852" s="29">
        <v>0.9</v>
      </c>
      <c r="R852" s="29">
        <v>95</v>
      </c>
      <c r="S852" s="29">
        <v>0.85</v>
      </c>
      <c r="T852" s="29">
        <v>100</v>
      </c>
      <c r="U852" s="29">
        <v>7.1052631578947363</v>
      </c>
      <c r="V852" s="29">
        <v>4.4034466149694103</v>
      </c>
      <c r="W852" s="29">
        <v>0</v>
      </c>
      <c r="X852" s="29">
        <v>0</v>
      </c>
      <c r="Y852" s="29">
        <v>0</v>
      </c>
      <c r="Z852" s="29">
        <v>0</v>
      </c>
      <c r="AA852" s="29" t="s">
        <v>1602</v>
      </c>
      <c r="AB852" s="29"/>
      <c r="AC852" s="29"/>
      <c r="AD852" s="29"/>
      <c r="AE852" s="29" t="s">
        <v>1722</v>
      </c>
      <c r="AF852" s="29"/>
      <c r="AG852" s="29"/>
    </row>
    <row r="853" spans="1:33">
      <c r="A853" s="29" t="s">
        <v>15</v>
      </c>
      <c r="B853" s="29" t="s">
        <v>1575</v>
      </c>
      <c r="C853" s="29" t="s">
        <v>317</v>
      </c>
      <c r="D853" s="29" t="s">
        <v>845</v>
      </c>
      <c r="E853" s="29" t="s">
        <v>15</v>
      </c>
      <c r="F853" s="29" t="s">
        <v>1155</v>
      </c>
      <c r="G853" s="29" t="s">
        <v>1185</v>
      </c>
      <c r="H853" s="29" t="s">
        <v>1186</v>
      </c>
      <c r="I853" s="116" t="s">
        <v>310</v>
      </c>
      <c r="J853" s="29" t="s">
        <v>41</v>
      </c>
      <c r="K853" s="29">
        <v>0.4</v>
      </c>
      <c r="L853" s="116"/>
      <c r="M853" s="29" t="s">
        <v>363</v>
      </c>
      <c r="N853" s="29">
        <v>6.75</v>
      </c>
      <c r="O853" s="115">
        <v>7.5</v>
      </c>
      <c r="P853" s="29">
        <v>13.405966002855084</v>
      </c>
      <c r="Q853" s="29">
        <v>0.9</v>
      </c>
      <c r="R853" s="29">
        <v>95</v>
      </c>
      <c r="S853" s="29">
        <v>0.85</v>
      </c>
      <c r="T853" s="29">
        <v>10</v>
      </c>
      <c r="U853" s="29">
        <v>0</v>
      </c>
      <c r="V853" s="29">
        <v>0</v>
      </c>
      <c r="W853" s="29">
        <v>0</v>
      </c>
      <c r="X853" s="29">
        <v>0</v>
      </c>
      <c r="Y853" s="29">
        <v>0.71052631578947367</v>
      </c>
      <c r="Z853" s="29">
        <v>0.44034466149694107</v>
      </c>
      <c r="AA853" s="29" t="s">
        <v>1602</v>
      </c>
      <c r="AB853" s="29"/>
      <c r="AC853" s="29"/>
      <c r="AD853" s="29"/>
      <c r="AE853" s="29" t="s">
        <v>1722</v>
      </c>
      <c r="AF853" s="29"/>
      <c r="AG853" s="29"/>
    </row>
    <row r="854" spans="1:33">
      <c r="A854" s="29" t="s">
        <v>15</v>
      </c>
      <c r="B854" s="29" t="s">
        <v>1575</v>
      </c>
      <c r="C854" s="29" t="s">
        <v>317</v>
      </c>
      <c r="D854" s="29" t="s">
        <v>845</v>
      </c>
      <c r="E854" s="29" t="s">
        <v>15</v>
      </c>
      <c r="F854" s="29" t="s">
        <v>1155</v>
      </c>
      <c r="G854" s="29" t="s">
        <v>1187</v>
      </c>
      <c r="H854" s="29" t="s">
        <v>1188</v>
      </c>
      <c r="I854" s="116" t="s">
        <v>310</v>
      </c>
      <c r="J854" s="29" t="s">
        <v>1030</v>
      </c>
      <c r="K854" s="29">
        <v>0.4</v>
      </c>
      <c r="L854" s="116"/>
      <c r="M854" s="29" t="s">
        <v>353</v>
      </c>
      <c r="N854" s="29">
        <v>2.7</v>
      </c>
      <c r="O854" s="115">
        <v>3</v>
      </c>
      <c r="P854" s="29">
        <v>5.3623864011420332</v>
      </c>
      <c r="Q854" s="29">
        <v>0.9</v>
      </c>
      <c r="R854" s="29">
        <v>95</v>
      </c>
      <c r="S854" s="29">
        <v>0.85</v>
      </c>
      <c r="T854" s="29">
        <v>30</v>
      </c>
      <c r="U854" s="29">
        <v>0</v>
      </c>
      <c r="V854" s="29">
        <v>0</v>
      </c>
      <c r="W854" s="29">
        <v>0.85263157894736841</v>
      </c>
      <c r="X854" s="29">
        <v>0.52841359379632924</v>
      </c>
      <c r="Y854" s="29">
        <v>0</v>
      </c>
      <c r="Z854" s="29">
        <v>0</v>
      </c>
      <c r="AA854" s="29" t="s">
        <v>1602</v>
      </c>
      <c r="AB854" s="29"/>
      <c r="AC854" s="29"/>
      <c r="AD854" s="29"/>
      <c r="AE854" s="29" t="s">
        <v>1722</v>
      </c>
      <c r="AF854" s="29"/>
      <c r="AG854" s="29"/>
    </row>
    <row r="855" spans="1:33">
      <c r="A855" s="29" t="s">
        <v>1584</v>
      </c>
      <c r="B855" s="29" t="s">
        <v>1575</v>
      </c>
      <c r="C855" s="29" t="s">
        <v>317</v>
      </c>
      <c r="D855" s="29" t="s">
        <v>845</v>
      </c>
      <c r="E855" s="29" t="s">
        <v>321</v>
      </c>
      <c r="F855" s="29" t="s">
        <v>1158</v>
      </c>
      <c r="G855" s="29" t="s">
        <v>1189</v>
      </c>
      <c r="H855" s="29" t="s">
        <v>1190</v>
      </c>
      <c r="I855" s="116" t="s">
        <v>310</v>
      </c>
      <c r="J855" s="29" t="s">
        <v>1030</v>
      </c>
      <c r="K855" s="29">
        <v>0.4</v>
      </c>
      <c r="L855" s="116"/>
      <c r="M855" s="29" t="s">
        <v>353</v>
      </c>
      <c r="N855" s="29">
        <v>13.5</v>
      </c>
      <c r="O855" s="115">
        <v>15</v>
      </c>
      <c r="P855" s="29">
        <v>26.811932005710169</v>
      </c>
      <c r="Q855" s="29">
        <v>0.9</v>
      </c>
      <c r="R855" s="29">
        <v>95</v>
      </c>
      <c r="S855" s="29">
        <v>0.85</v>
      </c>
      <c r="T855" s="29">
        <v>30</v>
      </c>
      <c r="U855" s="29">
        <v>0</v>
      </c>
      <c r="V855" s="29">
        <v>0</v>
      </c>
      <c r="W855" s="29">
        <v>4.2631578947368425</v>
      </c>
      <c r="X855" s="29">
        <v>2.642067968981646</v>
      </c>
      <c r="Y855" s="29">
        <v>0</v>
      </c>
      <c r="Z855" s="29">
        <v>0</v>
      </c>
      <c r="AA855" s="29" t="s">
        <v>1602</v>
      </c>
      <c r="AB855" s="29"/>
      <c r="AC855" s="29"/>
      <c r="AD855" s="29"/>
      <c r="AE855" s="29" t="s">
        <v>1708</v>
      </c>
      <c r="AF855" s="29"/>
      <c r="AG855" s="29"/>
    </row>
    <row r="856" spans="1:33">
      <c r="A856" s="29" t="s">
        <v>15</v>
      </c>
      <c r="B856" s="29" t="s">
        <v>1575</v>
      </c>
      <c r="C856" s="29" t="s">
        <v>317</v>
      </c>
      <c r="D856" s="29" t="s">
        <v>845</v>
      </c>
      <c r="E856" s="29" t="s">
        <v>15</v>
      </c>
      <c r="F856" s="29" t="s">
        <v>1155</v>
      </c>
      <c r="G856" s="29" t="s">
        <v>1191</v>
      </c>
      <c r="H856" s="29" t="s">
        <v>1192</v>
      </c>
      <c r="I856" s="116" t="s">
        <v>310</v>
      </c>
      <c r="J856" s="29" t="s">
        <v>41</v>
      </c>
      <c r="K856" s="29">
        <v>0.4</v>
      </c>
      <c r="L856" s="116"/>
      <c r="M856" s="29" t="s">
        <v>353</v>
      </c>
      <c r="N856" s="29">
        <v>1.35</v>
      </c>
      <c r="O856" s="115">
        <v>1.5</v>
      </c>
      <c r="P856" s="29">
        <v>2.6811932005710166</v>
      </c>
      <c r="Q856" s="29">
        <v>0.9</v>
      </c>
      <c r="R856" s="29">
        <v>95</v>
      </c>
      <c r="S856" s="29">
        <v>0.85</v>
      </c>
      <c r="T856" s="29">
        <v>30</v>
      </c>
      <c r="U856" s="29">
        <v>0</v>
      </c>
      <c r="V856" s="29">
        <v>0</v>
      </c>
      <c r="W856" s="29">
        <v>0.4263157894736842</v>
      </c>
      <c r="X856" s="29">
        <v>0.26420679689816462</v>
      </c>
      <c r="Y856" s="29">
        <v>0</v>
      </c>
      <c r="Z856" s="29">
        <v>0</v>
      </c>
      <c r="AA856" s="29" t="s">
        <v>1602</v>
      </c>
      <c r="AB856" s="29"/>
      <c r="AC856" s="29"/>
      <c r="AD856" s="29"/>
      <c r="AE856" s="29" t="s">
        <v>1722</v>
      </c>
      <c r="AF856" s="29"/>
      <c r="AG856" s="29"/>
    </row>
    <row r="857" spans="1:33">
      <c r="A857" s="29" t="s">
        <v>15</v>
      </c>
      <c r="B857" s="29" t="s">
        <v>1575</v>
      </c>
      <c r="C857" s="29" t="s">
        <v>317</v>
      </c>
      <c r="D857" s="29" t="s">
        <v>845</v>
      </c>
      <c r="E857" s="29" t="s">
        <v>15</v>
      </c>
      <c r="F857" s="29" t="s">
        <v>1155</v>
      </c>
      <c r="G857" s="29" t="s">
        <v>1193</v>
      </c>
      <c r="H857" s="29" t="s">
        <v>1194</v>
      </c>
      <c r="I857" s="116" t="s">
        <v>310</v>
      </c>
      <c r="J857" s="29" t="s">
        <v>41</v>
      </c>
      <c r="K857" s="29">
        <v>0.4</v>
      </c>
      <c r="L857" s="116"/>
      <c r="M857" s="29" t="s">
        <v>311</v>
      </c>
      <c r="N857" s="29">
        <v>6.75</v>
      </c>
      <c r="O857" s="115">
        <v>7.5</v>
      </c>
      <c r="P857" s="29">
        <v>13.405966002855084</v>
      </c>
      <c r="Q857" s="29">
        <v>0.9</v>
      </c>
      <c r="R857" s="29">
        <v>95</v>
      </c>
      <c r="S857" s="29">
        <v>0.85</v>
      </c>
      <c r="T857" s="29">
        <v>100</v>
      </c>
      <c r="U857" s="29">
        <v>7.1052631578947363</v>
      </c>
      <c r="V857" s="29">
        <v>4.4034466149694103</v>
      </c>
      <c r="W857" s="29">
        <v>0</v>
      </c>
      <c r="X857" s="29">
        <v>0</v>
      </c>
      <c r="Y857" s="29">
        <v>0</v>
      </c>
      <c r="Z857" s="29">
        <v>0</v>
      </c>
      <c r="AA857" s="29" t="s">
        <v>1602</v>
      </c>
      <c r="AB857" s="29"/>
      <c r="AC857" s="29"/>
      <c r="AD857" s="29"/>
      <c r="AE857" s="29" t="s">
        <v>1722</v>
      </c>
      <c r="AF857" s="29"/>
      <c r="AG857" s="29"/>
    </row>
    <row r="858" spans="1:33">
      <c r="A858" s="29" t="s">
        <v>1584</v>
      </c>
      <c r="B858" s="29" t="s">
        <v>1575</v>
      </c>
      <c r="C858" s="29" t="s">
        <v>317</v>
      </c>
      <c r="D858" s="29" t="s">
        <v>845</v>
      </c>
      <c r="E858" s="29" t="s">
        <v>321</v>
      </c>
      <c r="F858" s="29" t="s">
        <v>1158</v>
      </c>
      <c r="G858" s="29" t="s">
        <v>1195</v>
      </c>
      <c r="H858" s="29" t="s">
        <v>1723</v>
      </c>
      <c r="I858" s="116" t="s">
        <v>310</v>
      </c>
      <c r="J858" s="29" t="s">
        <v>41</v>
      </c>
      <c r="K858" s="29">
        <v>0.4</v>
      </c>
      <c r="L858" s="116"/>
      <c r="M858" s="29" t="s">
        <v>311</v>
      </c>
      <c r="N858" s="29">
        <v>6.75</v>
      </c>
      <c r="O858" s="115">
        <v>7.5</v>
      </c>
      <c r="P858" s="29">
        <v>13.405966002855084</v>
      </c>
      <c r="Q858" s="29">
        <v>0.9</v>
      </c>
      <c r="R858" s="29">
        <v>95</v>
      </c>
      <c r="S858" s="29">
        <v>0.85</v>
      </c>
      <c r="T858" s="29">
        <v>100</v>
      </c>
      <c r="U858" s="29">
        <v>7.1052631578947363</v>
      </c>
      <c r="V858" s="29">
        <v>4.4034466149694103</v>
      </c>
      <c r="W858" s="29">
        <v>0</v>
      </c>
      <c r="X858" s="29">
        <v>0</v>
      </c>
      <c r="Y858" s="29">
        <v>0</v>
      </c>
      <c r="Z858" s="29">
        <v>0</v>
      </c>
      <c r="AA858" s="29" t="s">
        <v>1602</v>
      </c>
      <c r="AB858" s="29"/>
      <c r="AC858" s="29"/>
      <c r="AD858" s="29"/>
      <c r="AE858" s="29" t="s">
        <v>1724</v>
      </c>
      <c r="AF858" s="29"/>
      <c r="AG858" s="29"/>
    </row>
    <row r="859" spans="1:33">
      <c r="A859" s="29" t="s">
        <v>1584</v>
      </c>
      <c r="B859" s="29" t="s">
        <v>1575</v>
      </c>
      <c r="C859" s="29" t="s">
        <v>317</v>
      </c>
      <c r="D859" s="29" t="s">
        <v>845</v>
      </c>
      <c r="E859" s="29" t="s">
        <v>321</v>
      </c>
      <c r="F859" s="29" t="s">
        <v>1158</v>
      </c>
      <c r="G859" s="29" t="s">
        <v>1725</v>
      </c>
      <c r="H859" s="29" t="s">
        <v>1726</v>
      </c>
      <c r="I859" s="116" t="s">
        <v>310</v>
      </c>
      <c r="J859" s="29" t="s">
        <v>41</v>
      </c>
      <c r="K859" s="29">
        <v>0.4</v>
      </c>
      <c r="L859" s="116"/>
      <c r="M859" s="29" t="s">
        <v>363</v>
      </c>
      <c r="N859" s="29">
        <v>6.75</v>
      </c>
      <c r="O859" s="115">
        <v>7.5</v>
      </c>
      <c r="P859" s="29">
        <v>13.405966002855084</v>
      </c>
      <c r="Q859" s="29">
        <v>0.9</v>
      </c>
      <c r="R859" s="29">
        <v>95</v>
      </c>
      <c r="S859" s="29">
        <v>0.85</v>
      </c>
      <c r="T859" s="29">
        <v>10</v>
      </c>
      <c r="U859" s="29">
        <v>0</v>
      </c>
      <c r="V859" s="29">
        <v>0</v>
      </c>
      <c r="W859" s="29">
        <v>0</v>
      </c>
      <c r="X859" s="29">
        <v>0</v>
      </c>
      <c r="Y859" s="29">
        <v>0.71052631578947367</v>
      </c>
      <c r="Z859" s="29">
        <v>0.44034466149694107</v>
      </c>
      <c r="AA859" s="29" t="s">
        <v>1602</v>
      </c>
      <c r="AB859" s="29"/>
      <c r="AC859" s="29"/>
      <c r="AD859" s="29"/>
      <c r="AE859" s="29" t="s">
        <v>1727</v>
      </c>
      <c r="AF859" s="29"/>
      <c r="AG859" s="29"/>
    </row>
    <row r="860" spans="1:33">
      <c r="A860" s="29" t="s">
        <v>15</v>
      </c>
      <c r="B860" s="29" t="s">
        <v>1575</v>
      </c>
      <c r="C860" s="29" t="s">
        <v>317</v>
      </c>
      <c r="D860" s="29" t="s">
        <v>845</v>
      </c>
      <c r="E860" s="29" t="s">
        <v>15</v>
      </c>
      <c r="F860" s="29" t="s">
        <v>1155</v>
      </c>
      <c r="G860" s="29" t="s">
        <v>1196</v>
      </c>
      <c r="H860" s="29" t="s">
        <v>1197</v>
      </c>
      <c r="I860" s="116" t="s">
        <v>310</v>
      </c>
      <c r="J860" s="29" t="s">
        <v>41</v>
      </c>
      <c r="K860" s="29">
        <v>0.4</v>
      </c>
      <c r="L860" s="116"/>
      <c r="M860" s="29" t="s">
        <v>311</v>
      </c>
      <c r="N860" s="29">
        <v>9.9</v>
      </c>
      <c r="O860" s="115">
        <v>11</v>
      </c>
      <c r="P860" s="29">
        <v>19.662083470854125</v>
      </c>
      <c r="Q860" s="29">
        <v>0.9</v>
      </c>
      <c r="R860" s="29">
        <v>95</v>
      </c>
      <c r="S860" s="29">
        <v>0.85</v>
      </c>
      <c r="T860" s="29">
        <v>100</v>
      </c>
      <c r="U860" s="29">
        <v>10.421052631578947</v>
      </c>
      <c r="V860" s="29">
        <v>6.4583883686218027</v>
      </c>
      <c r="W860" s="29">
        <v>0</v>
      </c>
      <c r="X860" s="29">
        <v>0</v>
      </c>
      <c r="Y860" s="29">
        <v>0</v>
      </c>
      <c r="Z860" s="29">
        <v>0</v>
      </c>
      <c r="AA860" s="29" t="s">
        <v>1602</v>
      </c>
      <c r="AB860" s="29"/>
      <c r="AC860" s="29"/>
      <c r="AD860" s="29"/>
      <c r="AE860" s="29" t="s">
        <v>1722</v>
      </c>
      <c r="AF860" s="29"/>
      <c r="AG860" s="29"/>
    </row>
    <row r="861" spans="1:33">
      <c r="A861" s="29" t="s">
        <v>1584</v>
      </c>
      <c r="B861" s="29" t="s">
        <v>1575</v>
      </c>
      <c r="C861" s="29" t="s">
        <v>317</v>
      </c>
      <c r="D861" s="29" t="s">
        <v>845</v>
      </c>
      <c r="E861" s="29" t="s">
        <v>15</v>
      </c>
      <c r="F861" s="29" t="s">
        <v>1155</v>
      </c>
      <c r="G861" s="29" t="s">
        <v>1198</v>
      </c>
      <c r="H861" s="29" t="s">
        <v>1199</v>
      </c>
      <c r="I861" s="116" t="s">
        <v>310</v>
      </c>
      <c r="J861" s="29" t="s">
        <v>41</v>
      </c>
      <c r="K861" s="29">
        <v>0.4</v>
      </c>
      <c r="L861" s="116"/>
      <c r="M861" s="29" t="s">
        <v>311</v>
      </c>
      <c r="N861" s="29">
        <v>9.9</v>
      </c>
      <c r="O861" s="115">
        <v>11</v>
      </c>
      <c r="P861" s="29">
        <v>19.662083470854125</v>
      </c>
      <c r="Q861" s="29">
        <v>0.9</v>
      </c>
      <c r="R861" s="29">
        <v>95</v>
      </c>
      <c r="S861" s="29">
        <v>0.85</v>
      </c>
      <c r="T861" s="29">
        <v>100</v>
      </c>
      <c r="U861" s="29">
        <v>10.421052631578947</v>
      </c>
      <c r="V861" s="29">
        <v>6.4583883686218027</v>
      </c>
      <c r="W861" s="29">
        <v>0</v>
      </c>
      <c r="X861" s="29">
        <v>0</v>
      </c>
      <c r="Y861" s="29">
        <v>0</v>
      </c>
      <c r="Z861" s="29">
        <v>0</v>
      </c>
      <c r="AA861" s="29" t="s">
        <v>1602</v>
      </c>
      <c r="AB861" s="29"/>
      <c r="AC861" s="29"/>
      <c r="AD861" s="29"/>
      <c r="AE861" s="29" t="s">
        <v>1728</v>
      </c>
      <c r="AF861" s="29"/>
      <c r="AG861" s="29"/>
    </row>
    <row r="862" spans="1:33">
      <c r="A862" s="29" t="s">
        <v>1584</v>
      </c>
      <c r="B862" s="29" t="s">
        <v>1575</v>
      </c>
      <c r="C862" s="29" t="s">
        <v>317</v>
      </c>
      <c r="D862" s="29" t="s">
        <v>845</v>
      </c>
      <c r="E862" s="29" t="s">
        <v>321</v>
      </c>
      <c r="F862" s="29" t="s">
        <v>1158</v>
      </c>
      <c r="G862" s="29" t="s">
        <v>1729</v>
      </c>
      <c r="H862" s="29" t="s">
        <v>1730</v>
      </c>
      <c r="I862" s="116" t="s">
        <v>310</v>
      </c>
      <c r="J862" s="29" t="s">
        <v>41</v>
      </c>
      <c r="K862" s="29">
        <v>0.4</v>
      </c>
      <c r="L862" s="116"/>
      <c r="M862" s="29" t="s">
        <v>363</v>
      </c>
      <c r="N862" s="29">
        <v>9.9</v>
      </c>
      <c r="O862" s="115">
        <v>11</v>
      </c>
      <c r="P862" s="29">
        <v>19.662083470854125</v>
      </c>
      <c r="Q862" s="29">
        <v>0.9</v>
      </c>
      <c r="R862" s="29">
        <v>95</v>
      </c>
      <c r="S862" s="29">
        <v>0.85</v>
      </c>
      <c r="T862" s="29">
        <v>10</v>
      </c>
      <c r="U862" s="29">
        <v>0</v>
      </c>
      <c r="V862" s="29">
        <v>0</v>
      </c>
      <c r="W862" s="29">
        <v>0</v>
      </c>
      <c r="X862" s="29">
        <v>0</v>
      </c>
      <c r="Y862" s="29">
        <v>1.0421052631578949</v>
      </c>
      <c r="Z862" s="29">
        <v>0.64583883686218035</v>
      </c>
      <c r="AA862" s="29" t="s">
        <v>1602</v>
      </c>
      <c r="AB862" s="29"/>
      <c r="AC862" s="29"/>
      <c r="AD862" s="29"/>
      <c r="AE862" s="29" t="s">
        <v>1727</v>
      </c>
      <c r="AF862" s="29"/>
      <c r="AG862" s="29"/>
    </row>
    <row r="863" spans="1:33">
      <c r="A863" s="29" t="s">
        <v>1584</v>
      </c>
      <c r="B863" s="29" t="s">
        <v>1575</v>
      </c>
      <c r="C863" s="29" t="s">
        <v>317</v>
      </c>
      <c r="D863" s="29" t="s">
        <v>845</v>
      </c>
      <c r="E863" s="29" t="s">
        <v>321</v>
      </c>
      <c r="F863" s="29" t="s">
        <v>1158</v>
      </c>
      <c r="G863" s="29" t="s">
        <v>1731</v>
      </c>
      <c r="H863" s="29" t="s">
        <v>1732</v>
      </c>
      <c r="I863" s="116" t="s">
        <v>310</v>
      </c>
      <c r="J863" s="29" t="s">
        <v>1030</v>
      </c>
      <c r="K863" s="29">
        <v>0.4</v>
      </c>
      <c r="L863" s="116"/>
      <c r="M863" s="29" t="s">
        <v>353</v>
      </c>
      <c r="N863" s="29">
        <v>0.9</v>
      </c>
      <c r="O863" s="115">
        <v>1</v>
      </c>
      <c r="P863" s="29">
        <v>1.7874621337140113</v>
      </c>
      <c r="Q863" s="29">
        <v>0.9</v>
      </c>
      <c r="R863" s="29">
        <v>95</v>
      </c>
      <c r="S863" s="29">
        <v>0.85</v>
      </c>
      <c r="T863" s="29">
        <v>30</v>
      </c>
      <c r="U863" s="29">
        <v>0</v>
      </c>
      <c r="V863" s="29">
        <v>0</v>
      </c>
      <c r="W863" s="29">
        <v>0.28421052631578947</v>
      </c>
      <c r="X863" s="29">
        <v>0.17613786459877642</v>
      </c>
      <c r="Y863" s="29">
        <v>0</v>
      </c>
      <c r="Z863" s="29">
        <v>0</v>
      </c>
      <c r="AA863" s="29" t="s">
        <v>1602</v>
      </c>
      <c r="AB863" s="29"/>
      <c r="AC863" s="29"/>
      <c r="AD863" s="29"/>
      <c r="AE863" s="29" t="s">
        <v>1727</v>
      </c>
      <c r="AF863" s="29"/>
      <c r="AG863" s="29"/>
    </row>
    <row r="864" spans="1:33">
      <c r="A864" s="29" t="s">
        <v>15</v>
      </c>
      <c r="B864" s="29" t="s">
        <v>1575</v>
      </c>
      <c r="C864" s="29" t="s">
        <v>1581</v>
      </c>
      <c r="D864" s="29" t="s">
        <v>845</v>
      </c>
      <c r="E864" s="29" t="s">
        <v>15</v>
      </c>
      <c r="F864" s="29" t="s">
        <v>1155</v>
      </c>
      <c r="G864" s="29" t="s">
        <v>1200</v>
      </c>
      <c r="H864" s="29" t="s">
        <v>1201</v>
      </c>
      <c r="I864" s="116" t="s">
        <v>310</v>
      </c>
      <c r="J864" s="29" t="s">
        <v>41</v>
      </c>
      <c r="K864" s="29">
        <v>0.4</v>
      </c>
      <c r="L864" s="116"/>
      <c r="M864" s="29" t="s">
        <v>363</v>
      </c>
      <c r="N864" s="29">
        <v>4.5</v>
      </c>
      <c r="O864" s="115">
        <v>5</v>
      </c>
      <c r="P864" s="29">
        <v>8.9373106685700563</v>
      </c>
      <c r="Q864" s="29">
        <v>0.9</v>
      </c>
      <c r="R864" s="29">
        <v>95</v>
      </c>
      <c r="S864" s="29">
        <v>0.85</v>
      </c>
      <c r="T864" s="29">
        <v>10</v>
      </c>
      <c r="U864" s="29">
        <v>0</v>
      </c>
      <c r="V864" s="29">
        <v>0</v>
      </c>
      <c r="W864" s="29">
        <v>0</v>
      </c>
      <c r="X864" s="29">
        <v>0</v>
      </c>
      <c r="Y864" s="29">
        <v>0.47368421052631582</v>
      </c>
      <c r="Z864" s="29">
        <v>0.2935631076646274</v>
      </c>
      <c r="AA864" s="29" t="s">
        <v>1592</v>
      </c>
      <c r="AB864" s="29" t="s">
        <v>1733</v>
      </c>
      <c r="AC864" s="29"/>
      <c r="AD864" s="29"/>
      <c r="AE864" s="29" t="s">
        <v>1734</v>
      </c>
      <c r="AF864" s="29"/>
      <c r="AG864" s="29"/>
    </row>
    <row r="865" spans="1:33">
      <c r="A865" s="29" t="s">
        <v>1584</v>
      </c>
      <c r="B865" s="29" t="s">
        <v>1575</v>
      </c>
      <c r="C865" s="29" t="s">
        <v>1581</v>
      </c>
      <c r="D865" s="29" t="s">
        <v>845</v>
      </c>
      <c r="E865" s="29" t="s">
        <v>15</v>
      </c>
      <c r="F865" s="29" t="s">
        <v>1155</v>
      </c>
      <c r="G865" s="29" t="s">
        <v>1735</v>
      </c>
      <c r="H865" s="29" t="s">
        <v>1736</v>
      </c>
      <c r="I865" s="116" t="s">
        <v>310</v>
      </c>
      <c r="J865" s="29" t="s">
        <v>41</v>
      </c>
      <c r="K865" s="29">
        <v>0.4</v>
      </c>
      <c r="L865" s="116"/>
      <c r="M865" s="29" t="s">
        <v>363</v>
      </c>
      <c r="N865" s="29">
        <v>4.5</v>
      </c>
      <c r="O865" s="115">
        <v>5</v>
      </c>
      <c r="P865" s="29">
        <v>8.9373106685700563</v>
      </c>
      <c r="Q865" s="29">
        <v>0.9</v>
      </c>
      <c r="R865" s="29">
        <v>95</v>
      </c>
      <c r="S865" s="29">
        <v>0.85</v>
      </c>
      <c r="T865" s="29">
        <v>10</v>
      </c>
      <c r="U865" s="29">
        <v>0</v>
      </c>
      <c r="V865" s="29">
        <v>0</v>
      </c>
      <c r="W865" s="29">
        <v>0</v>
      </c>
      <c r="X865" s="29">
        <v>0</v>
      </c>
      <c r="Y865" s="29">
        <v>0.47368421052631582</v>
      </c>
      <c r="Z865" s="29">
        <v>0.2935631076646274</v>
      </c>
      <c r="AA865" s="29" t="s">
        <v>1602</v>
      </c>
      <c r="AB865" s="29"/>
      <c r="AC865" s="29"/>
      <c r="AD865" s="29"/>
      <c r="AE865" s="29" t="s">
        <v>1727</v>
      </c>
      <c r="AF865" s="29"/>
      <c r="AG865" s="29"/>
    </row>
    <row r="866" spans="1:33">
      <c r="A866" s="29" t="s">
        <v>15</v>
      </c>
      <c r="B866" s="29" t="s">
        <v>1575</v>
      </c>
      <c r="C866" s="29" t="s">
        <v>1581</v>
      </c>
      <c r="D866" s="29" t="s">
        <v>845</v>
      </c>
      <c r="E866" s="29" t="s">
        <v>321</v>
      </c>
      <c r="F866" s="29" t="s">
        <v>1158</v>
      </c>
      <c r="G866" s="29" t="s">
        <v>1202</v>
      </c>
      <c r="H866" s="29" t="s">
        <v>1203</v>
      </c>
      <c r="I866" s="116" t="s">
        <v>310</v>
      </c>
      <c r="J866" s="29" t="s">
        <v>41</v>
      </c>
      <c r="K866" s="29">
        <v>0.4</v>
      </c>
      <c r="L866" s="116"/>
      <c r="M866" s="29" t="s">
        <v>353</v>
      </c>
      <c r="N866" s="29">
        <v>4.5</v>
      </c>
      <c r="O866" s="115">
        <v>5</v>
      </c>
      <c r="P866" s="29">
        <v>8.9373106685700563</v>
      </c>
      <c r="Q866" s="29">
        <v>0.9</v>
      </c>
      <c r="R866" s="29">
        <v>95</v>
      </c>
      <c r="S866" s="29">
        <v>0.85</v>
      </c>
      <c r="T866" s="29">
        <v>30</v>
      </c>
      <c r="U866" s="29">
        <v>0</v>
      </c>
      <c r="V866" s="29">
        <v>0</v>
      </c>
      <c r="W866" s="29">
        <v>1.4210526315789473</v>
      </c>
      <c r="X866" s="29">
        <v>0.88068932299388225</v>
      </c>
      <c r="Y866" s="29">
        <v>0</v>
      </c>
      <c r="Z866" s="29">
        <v>0</v>
      </c>
      <c r="AA866" s="29" t="s">
        <v>1592</v>
      </c>
      <c r="AB866" s="29" t="s">
        <v>1733</v>
      </c>
      <c r="AC866" s="29"/>
      <c r="AD866" s="29"/>
      <c r="AE866" s="29" t="s">
        <v>1734</v>
      </c>
      <c r="AF866" s="29"/>
      <c r="AG866" s="29"/>
    </row>
    <row r="867" spans="1:33">
      <c r="A867" s="29" t="s">
        <v>1584</v>
      </c>
      <c r="B867" s="29" t="s">
        <v>1575</v>
      </c>
      <c r="C867" s="29" t="s">
        <v>1581</v>
      </c>
      <c r="D867" s="29" t="s">
        <v>845</v>
      </c>
      <c r="E867" s="29" t="s">
        <v>321</v>
      </c>
      <c r="F867" s="29" t="s">
        <v>1158</v>
      </c>
      <c r="G867" s="29" t="s">
        <v>1737</v>
      </c>
      <c r="H867" s="29" t="s">
        <v>1738</v>
      </c>
      <c r="I867" s="116" t="s">
        <v>310</v>
      </c>
      <c r="J867" s="29" t="s">
        <v>41</v>
      </c>
      <c r="K867" s="29">
        <v>0.4</v>
      </c>
      <c r="L867" s="116"/>
      <c r="M867" s="29" t="s">
        <v>353</v>
      </c>
      <c r="N867" s="29">
        <v>4.5</v>
      </c>
      <c r="O867" s="115">
        <v>5</v>
      </c>
      <c r="P867" s="29">
        <v>8.9373106685700563</v>
      </c>
      <c r="Q867" s="29">
        <v>0.9</v>
      </c>
      <c r="R867" s="29">
        <v>95</v>
      </c>
      <c r="S867" s="29">
        <v>0.85</v>
      </c>
      <c r="T867" s="29">
        <v>30</v>
      </c>
      <c r="U867" s="29">
        <v>0</v>
      </c>
      <c r="V867" s="29">
        <v>0</v>
      </c>
      <c r="W867" s="29">
        <v>1.4210526315789473</v>
      </c>
      <c r="X867" s="29">
        <v>0.88068932299388225</v>
      </c>
      <c r="Y867" s="29">
        <v>0</v>
      </c>
      <c r="Z867" s="29">
        <v>0</v>
      </c>
      <c r="AA867" s="29" t="s">
        <v>1602</v>
      </c>
      <c r="AB867" s="29"/>
      <c r="AC867" s="29"/>
      <c r="AD867" s="29"/>
      <c r="AE867" s="29" t="s">
        <v>1727</v>
      </c>
      <c r="AF867" s="29"/>
      <c r="AG867" s="29"/>
    </row>
    <row r="868" spans="1:33">
      <c r="A868" s="29" t="s">
        <v>15</v>
      </c>
      <c r="B868" s="29" t="s">
        <v>1575</v>
      </c>
      <c r="C868" s="29" t="s">
        <v>1581</v>
      </c>
      <c r="D868" s="29" t="s">
        <v>845</v>
      </c>
      <c r="E868" s="29" t="s">
        <v>321</v>
      </c>
      <c r="F868" s="29" t="s">
        <v>1158</v>
      </c>
      <c r="G868" s="29" t="s">
        <v>1204</v>
      </c>
      <c r="H868" s="29" t="s">
        <v>1205</v>
      </c>
      <c r="I868" s="116" t="s">
        <v>310</v>
      </c>
      <c r="J868" s="29" t="s">
        <v>41</v>
      </c>
      <c r="K868" s="29">
        <v>0.4</v>
      </c>
      <c r="L868" s="116"/>
      <c r="M868" s="29" t="s">
        <v>353</v>
      </c>
      <c r="N868" s="29">
        <v>4.5</v>
      </c>
      <c r="O868" s="115">
        <v>5</v>
      </c>
      <c r="P868" s="29">
        <v>8.9373106685700563</v>
      </c>
      <c r="Q868" s="29">
        <v>0.9</v>
      </c>
      <c r="R868" s="29">
        <v>95</v>
      </c>
      <c r="S868" s="29">
        <v>0.85</v>
      </c>
      <c r="T868" s="29">
        <v>30</v>
      </c>
      <c r="U868" s="29">
        <v>0</v>
      </c>
      <c r="V868" s="29">
        <v>0</v>
      </c>
      <c r="W868" s="29">
        <v>1.4210526315789473</v>
      </c>
      <c r="X868" s="29">
        <v>0.88068932299388225</v>
      </c>
      <c r="Y868" s="29">
        <v>0</v>
      </c>
      <c r="Z868" s="29">
        <v>0</v>
      </c>
      <c r="AA868" s="29" t="s">
        <v>1592</v>
      </c>
      <c r="AB868" s="29" t="s">
        <v>1733</v>
      </c>
      <c r="AC868" s="29"/>
      <c r="AD868" s="29"/>
      <c r="AE868" s="29" t="s">
        <v>1734</v>
      </c>
      <c r="AF868" s="29"/>
      <c r="AG868" s="29"/>
    </row>
    <row r="869" spans="1:33">
      <c r="A869" s="29" t="s">
        <v>1584</v>
      </c>
      <c r="B869" s="29" t="s">
        <v>1575</v>
      </c>
      <c r="C869" s="29" t="s">
        <v>1581</v>
      </c>
      <c r="D869" s="29" t="s">
        <v>845</v>
      </c>
      <c r="E869" s="29" t="s">
        <v>321</v>
      </c>
      <c r="F869" s="29" t="s">
        <v>1158</v>
      </c>
      <c r="G869" s="29" t="s">
        <v>1739</v>
      </c>
      <c r="H869" s="29" t="s">
        <v>1740</v>
      </c>
      <c r="I869" s="116" t="s">
        <v>310</v>
      </c>
      <c r="J869" s="29" t="s">
        <v>41</v>
      </c>
      <c r="K869" s="29">
        <v>0.4</v>
      </c>
      <c r="L869" s="116"/>
      <c r="M869" s="29" t="s">
        <v>353</v>
      </c>
      <c r="N869" s="29">
        <v>4.5</v>
      </c>
      <c r="O869" s="115">
        <v>5</v>
      </c>
      <c r="P869" s="29">
        <v>8.9373106685700563</v>
      </c>
      <c r="Q869" s="29">
        <v>0.9</v>
      </c>
      <c r="R869" s="29">
        <v>95</v>
      </c>
      <c r="S869" s="29">
        <v>0.85</v>
      </c>
      <c r="T869" s="29">
        <v>30</v>
      </c>
      <c r="U869" s="29">
        <v>0</v>
      </c>
      <c r="V869" s="29">
        <v>0</v>
      </c>
      <c r="W869" s="29">
        <v>1.4210526315789473</v>
      </c>
      <c r="X869" s="29">
        <v>0.88068932299388225</v>
      </c>
      <c r="Y869" s="29">
        <v>0</v>
      </c>
      <c r="Z869" s="29">
        <v>0</v>
      </c>
      <c r="AA869" s="29" t="s">
        <v>1602</v>
      </c>
      <c r="AB869" s="29"/>
      <c r="AC869" s="29"/>
      <c r="AD869" s="29"/>
      <c r="AE869" s="29" t="s">
        <v>1727</v>
      </c>
      <c r="AF869" s="29"/>
      <c r="AG869" s="29"/>
    </row>
    <row r="870" spans="1:33">
      <c r="A870" s="29"/>
      <c r="B870" s="29" t="s">
        <v>1580</v>
      </c>
      <c r="C870" s="29" t="s">
        <v>1581</v>
      </c>
      <c r="D870" s="29" t="s">
        <v>845</v>
      </c>
      <c r="E870" s="29" t="s">
        <v>321</v>
      </c>
      <c r="F870" s="29" t="s">
        <v>1158</v>
      </c>
      <c r="G870" s="29" t="s">
        <v>870</v>
      </c>
      <c r="H870" s="29" t="s">
        <v>871</v>
      </c>
      <c r="I870" s="116" t="s">
        <v>310</v>
      </c>
      <c r="J870" s="29" t="s">
        <v>20</v>
      </c>
      <c r="K870" s="29">
        <v>0.4</v>
      </c>
      <c r="L870" s="116"/>
      <c r="M870" s="29" t="s">
        <v>311</v>
      </c>
      <c r="N870" s="29">
        <v>3.8</v>
      </c>
      <c r="O870" s="115">
        <v>5</v>
      </c>
      <c r="P870" s="29">
        <v>8.9373106685700563</v>
      </c>
      <c r="Q870" s="29">
        <v>0.76</v>
      </c>
      <c r="R870" s="29">
        <v>95</v>
      </c>
      <c r="S870" s="29">
        <v>0.85</v>
      </c>
      <c r="T870" s="29">
        <v>100</v>
      </c>
      <c r="U870" s="29">
        <v>4</v>
      </c>
      <c r="V870" s="29">
        <v>2.4789773536124091</v>
      </c>
      <c r="W870" s="29">
        <v>0</v>
      </c>
      <c r="X870" s="29">
        <v>0</v>
      </c>
      <c r="Y870" s="29">
        <v>0</v>
      </c>
      <c r="Z870" s="29">
        <v>0</v>
      </c>
      <c r="AA870" s="29" t="s">
        <v>1589</v>
      </c>
      <c r="AB870" s="29"/>
      <c r="AC870" s="29"/>
      <c r="AD870" s="29"/>
      <c r="AE870" s="29" t="s">
        <v>1583</v>
      </c>
      <c r="AF870" s="29"/>
      <c r="AG870" s="29"/>
    </row>
    <row r="871" spans="1:33">
      <c r="A871" s="29" t="s">
        <v>1584</v>
      </c>
      <c r="B871" s="29" t="s">
        <v>1575</v>
      </c>
      <c r="C871" s="29" t="s">
        <v>1581</v>
      </c>
      <c r="D871" s="29" t="s">
        <v>845</v>
      </c>
      <c r="E871" s="29" t="s">
        <v>15</v>
      </c>
      <c r="F871" s="29" t="s">
        <v>1155</v>
      </c>
      <c r="G871" s="29" t="s">
        <v>1206</v>
      </c>
      <c r="H871" s="29" t="s">
        <v>1741</v>
      </c>
      <c r="I871" s="116" t="s">
        <v>310</v>
      </c>
      <c r="J871" s="29" t="s">
        <v>16</v>
      </c>
      <c r="K871" s="29">
        <v>0.4</v>
      </c>
      <c r="L871" s="116"/>
      <c r="M871" s="29" t="s">
        <v>311</v>
      </c>
      <c r="N871" s="29">
        <v>65</v>
      </c>
      <c r="O871" s="115">
        <v>75</v>
      </c>
      <c r="P871" s="29">
        <v>136.2103497616292</v>
      </c>
      <c r="Q871" s="29">
        <v>0.8666666666666667</v>
      </c>
      <c r="R871" s="29">
        <v>93.5</v>
      </c>
      <c r="S871" s="29">
        <v>0.85</v>
      </c>
      <c r="T871" s="29">
        <v>100</v>
      </c>
      <c r="U871" s="29">
        <v>69.518716577540104</v>
      </c>
      <c r="V871" s="29">
        <v>43.083831011980372</v>
      </c>
      <c r="W871" s="29">
        <v>0</v>
      </c>
      <c r="X871" s="29">
        <v>0</v>
      </c>
      <c r="Y871" s="29">
        <v>0</v>
      </c>
      <c r="Z871" s="29">
        <v>0</v>
      </c>
      <c r="AA871" s="29" t="s">
        <v>1577</v>
      </c>
      <c r="AB871" s="29" t="s">
        <v>1742</v>
      </c>
      <c r="AC871" s="29"/>
      <c r="AD871" s="29"/>
      <c r="AE871" s="29" t="s">
        <v>1743</v>
      </c>
      <c r="AF871" s="29"/>
      <c r="AG871" s="29"/>
    </row>
    <row r="872" spans="1:33">
      <c r="A872" s="29" t="s">
        <v>1584</v>
      </c>
      <c r="B872" s="29" t="s">
        <v>1575</v>
      </c>
      <c r="C872" s="29" t="s">
        <v>1581</v>
      </c>
      <c r="D872" s="29" t="s">
        <v>845</v>
      </c>
      <c r="E872" s="29" t="s">
        <v>321</v>
      </c>
      <c r="F872" s="29" t="s">
        <v>1158</v>
      </c>
      <c r="G872" s="29" t="s">
        <v>1208</v>
      </c>
      <c r="H872" s="29" t="s">
        <v>1744</v>
      </c>
      <c r="I872" s="116" t="s">
        <v>310</v>
      </c>
      <c r="J872" s="29" t="s">
        <v>16</v>
      </c>
      <c r="K872" s="29">
        <v>0.4</v>
      </c>
      <c r="L872" s="116"/>
      <c r="M872" s="29" t="s">
        <v>363</v>
      </c>
      <c r="N872" s="29">
        <v>65</v>
      </c>
      <c r="O872" s="115">
        <v>75</v>
      </c>
      <c r="P872" s="29">
        <v>136.2103497616292</v>
      </c>
      <c r="Q872" s="29">
        <v>0.8666666666666667</v>
      </c>
      <c r="R872" s="29">
        <v>93.5</v>
      </c>
      <c r="S872" s="29">
        <v>0.85</v>
      </c>
      <c r="T872" s="29">
        <v>10</v>
      </c>
      <c r="U872" s="29">
        <v>0</v>
      </c>
      <c r="V872" s="29">
        <v>0</v>
      </c>
      <c r="W872" s="29">
        <v>0</v>
      </c>
      <c r="X872" s="29">
        <v>0</v>
      </c>
      <c r="Y872" s="29">
        <v>6.9518716577540109</v>
      </c>
      <c r="Z872" s="29">
        <v>4.3083831011980376</v>
      </c>
      <c r="AA872" s="29" t="s">
        <v>1577</v>
      </c>
      <c r="AB872" s="29" t="s">
        <v>1742</v>
      </c>
      <c r="AC872" s="29"/>
      <c r="AD872" s="29"/>
      <c r="AE872" s="29" t="s">
        <v>1743</v>
      </c>
      <c r="AF872" s="29"/>
      <c r="AG872" s="29"/>
    </row>
    <row r="873" spans="1:33">
      <c r="A873" s="29" t="s">
        <v>321</v>
      </c>
      <c r="B873" s="29" t="s">
        <v>1575</v>
      </c>
      <c r="C873" s="29" t="s">
        <v>326</v>
      </c>
      <c r="D873" s="29" t="s">
        <v>845</v>
      </c>
      <c r="E873" s="29" t="s">
        <v>15</v>
      </c>
      <c r="F873" s="29" t="s">
        <v>1155</v>
      </c>
      <c r="G873" s="29" t="s">
        <v>1210</v>
      </c>
      <c r="H873" s="29" t="s">
        <v>1211</v>
      </c>
      <c r="I873" s="116" t="s">
        <v>310</v>
      </c>
      <c r="J873" s="29" t="s">
        <v>41</v>
      </c>
      <c r="K873" s="29">
        <v>0.4</v>
      </c>
      <c r="L873" s="116"/>
      <c r="M873" s="29" t="s">
        <v>353</v>
      </c>
      <c r="N873" s="29">
        <v>1.5</v>
      </c>
      <c r="O873" s="115">
        <v>3.7</v>
      </c>
      <c r="P873" s="29">
        <v>7.1412200337024485</v>
      </c>
      <c r="Q873" s="29">
        <v>0.40540540540540537</v>
      </c>
      <c r="R873" s="29">
        <v>91.2</v>
      </c>
      <c r="S873" s="29">
        <v>0.82</v>
      </c>
      <c r="T873" s="29">
        <v>30</v>
      </c>
      <c r="U873" s="29">
        <v>0</v>
      </c>
      <c r="V873" s="29">
        <v>0</v>
      </c>
      <c r="W873" s="29">
        <v>0.49342105263157893</v>
      </c>
      <c r="X873" s="29">
        <v>0.34441001334854421</v>
      </c>
      <c r="Y873" s="29">
        <v>0</v>
      </c>
      <c r="Z873" s="29">
        <v>0</v>
      </c>
      <c r="AA873" s="29" t="s">
        <v>1592</v>
      </c>
      <c r="AB873" s="29" t="s">
        <v>1745</v>
      </c>
      <c r="AC873" s="29"/>
      <c r="AD873" s="29"/>
      <c r="AE873" s="29" t="s">
        <v>1746</v>
      </c>
      <c r="AF873" s="29"/>
      <c r="AG873" s="29"/>
    </row>
    <row r="874" spans="1:33">
      <c r="A874" s="29" t="s">
        <v>321</v>
      </c>
      <c r="B874" s="29" t="s">
        <v>1575</v>
      </c>
      <c r="C874" s="29" t="s">
        <v>326</v>
      </c>
      <c r="D874" s="29" t="s">
        <v>845</v>
      </c>
      <c r="E874" s="29" t="s">
        <v>15</v>
      </c>
      <c r="F874" s="29" t="s">
        <v>1155</v>
      </c>
      <c r="G874" s="29" t="s">
        <v>1212</v>
      </c>
      <c r="H874" s="29" t="s">
        <v>1213</v>
      </c>
      <c r="I874" s="116" t="s">
        <v>310</v>
      </c>
      <c r="J874" s="29" t="s">
        <v>41</v>
      </c>
      <c r="K874" s="29">
        <v>0.4</v>
      </c>
      <c r="L874" s="116"/>
      <c r="M874" s="29" t="s">
        <v>353</v>
      </c>
      <c r="N874" s="29">
        <v>0.4</v>
      </c>
      <c r="O874" s="115">
        <v>0.55000000000000004</v>
      </c>
      <c r="P874" s="29">
        <v>1.0615327077125261</v>
      </c>
      <c r="Q874" s="29">
        <v>0.72727272727272729</v>
      </c>
      <c r="R874" s="29">
        <v>91.2</v>
      </c>
      <c r="S874" s="29">
        <v>0.82</v>
      </c>
      <c r="T874" s="29">
        <v>30</v>
      </c>
      <c r="U874" s="29">
        <v>0</v>
      </c>
      <c r="V874" s="29">
        <v>0</v>
      </c>
      <c r="W874" s="29">
        <v>0.13157894736842105</v>
      </c>
      <c r="X874" s="29">
        <v>9.1842670226278469E-2</v>
      </c>
      <c r="Y874" s="29">
        <v>0</v>
      </c>
      <c r="Z874" s="29">
        <v>0</v>
      </c>
      <c r="AA874" s="29" t="s">
        <v>1602</v>
      </c>
      <c r="AB874" s="29"/>
      <c r="AC874" s="29"/>
      <c r="AD874" s="29"/>
      <c r="AE874" s="29" t="s">
        <v>1712</v>
      </c>
      <c r="AF874" s="29"/>
      <c r="AG874" s="29"/>
    </row>
    <row r="875" spans="1:33">
      <c r="A875" s="29" t="s">
        <v>321</v>
      </c>
      <c r="B875" s="29" t="s">
        <v>1575</v>
      </c>
      <c r="C875" s="29" t="s">
        <v>326</v>
      </c>
      <c r="D875" s="29" t="s">
        <v>845</v>
      </c>
      <c r="E875" s="29" t="s">
        <v>321</v>
      </c>
      <c r="F875" s="29" t="s">
        <v>1158</v>
      </c>
      <c r="G875" s="29" t="s">
        <v>1214</v>
      </c>
      <c r="H875" s="29" t="s">
        <v>1211</v>
      </c>
      <c r="I875" s="116" t="s">
        <v>310</v>
      </c>
      <c r="J875" s="29" t="s">
        <v>41</v>
      </c>
      <c r="K875" s="29">
        <v>0.4</v>
      </c>
      <c r="L875" s="116"/>
      <c r="M875" s="29" t="s">
        <v>363</v>
      </c>
      <c r="N875" s="29">
        <v>1.5</v>
      </c>
      <c r="O875" s="115">
        <v>3.7</v>
      </c>
      <c r="P875" s="29">
        <v>7.1412200337024485</v>
      </c>
      <c r="Q875" s="29">
        <v>0.40540540540540537</v>
      </c>
      <c r="R875" s="29">
        <v>91.2</v>
      </c>
      <c r="S875" s="29">
        <v>0.82</v>
      </c>
      <c r="T875" s="29">
        <v>10</v>
      </c>
      <c r="U875" s="29">
        <v>0</v>
      </c>
      <c r="V875" s="29">
        <v>0</v>
      </c>
      <c r="W875" s="29">
        <v>0</v>
      </c>
      <c r="X875" s="29">
        <v>0</v>
      </c>
      <c r="Y875" s="29">
        <v>0.1644736842105263</v>
      </c>
      <c r="Z875" s="29">
        <v>0.11480333778284808</v>
      </c>
      <c r="AA875" s="29" t="s">
        <v>1592</v>
      </c>
      <c r="AB875" s="29" t="s">
        <v>1745</v>
      </c>
      <c r="AC875" s="29"/>
      <c r="AD875" s="29"/>
      <c r="AE875" s="29" t="s">
        <v>1746</v>
      </c>
      <c r="AF875" s="29"/>
      <c r="AG875" s="29"/>
    </row>
    <row r="876" spans="1:33">
      <c r="A876" s="29" t="s">
        <v>321</v>
      </c>
      <c r="B876" s="29" t="s">
        <v>1575</v>
      </c>
      <c r="C876" s="29" t="s">
        <v>326</v>
      </c>
      <c r="D876" s="29" t="s">
        <v>845</v>
      </c>
      <c r="E876" s="29" t="s">
        <v>321</v>
      </c>
      <c r="F876" s="29" t="s">
        <v>1158</v>
      </c>
      <c r="G876" s="29" t="s">
        <v>1215</v>
      </c>
      <c r="H876" s="29" t="s">
        <v>1213</v>
      </c>
      <c r="I876" s="116" t="s">
        <v>310</v>
      </c>
      <c r="J876" s="29" t="s">
        <v>41</v>
      </c>
      <c r="K876" s="29">
        <v>0.4</v>
      </c>
      <c r="L876" s="116"/>
      <c r="M876" s="29" t="s">
        <v>353</v>
      </c>
      <c r="N876" s="29">
        <v>0.4</v>
      </c>
      <c r="O876" s="115">
        <v>0.55000000000000004</v>
      </c>
      <c r="P876" s="29">
        <v>1.0615327077125261</v>
      </c>
      <c r="Q876" s="29">
        <v>0.72727272727272729</v>
      </c>
      <c r="R876" s="29">
        <v>91.2</v>
      </c>
      <c r="S876" s="29">
        <v>0.82</v>
      </c>
      <c r="T876" s="29">
        <v>30</v>
      </c>
      <c r="U876" s="29">
        <v>0</v>
      </c>
      <c r="V876" s="29">
        <v>0</v>
      </c>
      <c r="W876" s="29">
        <v>0.13157894736842105</v>
      </c>
      <c r="X876" s="29">
        <v>9.1842670226278469E-2</v>
      </c>
      <c r="Y876" s="29">
        <v>0</v>
      </c>
      <c r="Z876" s="29">
        <v>0</v>
      </c>
      <c r="AA876" s="29" t="s">
        <v>1602</v>
      </c>
      <c r="AB876" s="29"/>
      <c r="AC876" s="29"/>
      <c r="AD876" s="29"/>
      <c r="AE876" s="29" t="s">
        <v>1712</v>
      </c>
      <c r="AF876" s="29"/>
      <c r="AG876" s="29"/>
    </row>
    <row r="877" spans="1:33">
      <c r="A877" s="29" t="s">
        <v>1673</v>
      </c>
      <c r="B877" s="29" t="s">
        <v>1575</v>
      </c>
      <c r="C877" s="29" t="s">
        <v>1596</v>
      </c>
      <c r="D877" s="29" t="s">
        <v>845</v>
      </c>
      <c r="E877" s="29" t="s">
        <v>15</v>
      </c>
      <c r="F877" s="29" t="s">
        <v>1155</v>
      </c>
      <c r="G877" s="29" t="s">
        <v>1216</v>
      </c>
      <c r="H877" s="29" t="s">
        <v>1217</v>
      </c>
      <c r="I877" s="116" t="s">
        <v>310</v>
      </c>
      <c r="J877" s="29" t="s">
        <v>41</v>
      </c>
      <c r="K877" s="29">
        <v>0.4</v>
      </c>
      <c r="L877" s="116"/>
      <c r="M877" s="29" t="s">
        <v>353</v>
      </c>
      <c r="N877" s="29">
        <v>6.02</v>
      </c>
      <c r="O877" s="115">
        <v>7.5</v>
      </c>
      <c r="P877" s="29">
        <v>15.255520782561279</v>
      </c>
      <c r="Q877" s="29">
        <v>0.80266666666666664</v>
      </c>
      <c r="R877" s="29">
        <v>88.7</v>
      </c>
      <c r="S877" s="29">
        <v>0.8</v>
      </c>
      <c r="T877" s="29">
        <v>30</v>
      </c>
      <c r="U877" s="29">
        <v>0</v>
      </c>
      <c r="V877" s="29">
        <v>0</v>
      </c>
      <c r="W877" s="29">
        <v>2.0360766629086804</v>
      </c>
      <c r="X877" s="29">
        <v>1.5270574971815101</v>
      </c>
      <c r="Y877" s="29">
        <v>0</v>
      </c>
      <c r="Z877" s="29">
        <v>0</v>
      </c>
      <c r="AA877" s="29" t="s">
        <v>1577</v>
      </c>
      <c r="AB877" s="29" t="s">
        <v>1747</v>
      </c>
      <c r="AC877" s="29"/>
      <c r="AD877" s="29"/>
      <c r="AE877" s="29" t="s">
        <v>1748</v>
      </c>
      <c r="AF877" s="29"/>
      <c r="AG877" s="29"/>
    </row>
    <row r="878" spans="1:33">
      <c r="A878" s="29" t="s">
        <v>321</v>
      </c>
      <c r="B878" s="29" t="s">
        <v>1575</v>
      </c>
      <c r="C878" s="29" t="s">
        <v>1596</v>
      </c>
      <c r="D878" s="29" t="s">
        <v>845</v>
      </c>
      <c r="E878" s="29" t="s">
        <v>321</v>
      </c>
      <c r="F878" s="29" t="s">
        <v>1158</v>
      </c>
      <c r="G878" s="29" t="s">
        <v>1218</v>
      </c>
      <c r="H878" s="29" t="s">
        <v>1217</v>
      </c>
      <c r="I878" s="116" t="s">
        <v>310</v>
      </c>
      <c r="J878" s="29" t="s">
        <v>41</v>
      </c>
      <c r="K878" s="29">
        <v>0.4</v>
      </c>
      <c r="L878" s="116"/>
      <c r="M878" s="29" t="s">
        <v>363</v>
      </c>
      <c r="N878" s="29">
        <v>6.02</v>
      </c>
      <c r="O878" s="115">
        <v>7.5</v>
      </c>
      <c r="P878" s="29">
        <v>15.255520782561279</v>
      </c>
      <c r="Q878" s="29">
        <v>0.80266666666666664</v>
      </c>
      <c r="R878" s="29">
        <v>88.7</v>
      </c>
      <c r="S878" s="29">
        <v>0.8</v>
      </c>
      <c r="T878" s="29">
        <v>10</v>
      </c>
      <c r="U878" s="29">
        <v>0</v>
      </c>
      <c r="V878" s="29">
        <v>0</v>
      </c>
      <c r="W878" s="29">
        <v>0</v>
      </c>
      <c r="X878" s="29">
        <v>0</v>
      </c>
      <c r="Y878" s="29">
        <v>0.67869222096956017</v>
      </c>
      <c r="Z878" s="29">
        <v>0.50901916572716999</v>
      </c>
      <c r="AA878" s="29" t="s">
        <v>1577</v>
      </c>
      <c r="AB878" s="29" t="s">
        <v>1747</v>
      </c>
      <c r="AC878" s="29"/>
      <c r="AD878" s="29"/>
      <c r="AE878" s="29" t="s">
        <v>1749</v>
      </c>
      <c r="AF878" s="29"/>
      <c r="AG878" s="29"/>
    </row>
    <row r="879" spans="1:33">
      <c r="A879" s="29" t="s">
        <v>321</v>
      </c>
      <c r="B879" s="29" t="s">
        <v>1575</v>
      </c>
      <c r="C879" s="29" t="s">
        <v>1596</v>
      </c>
      <c r="D879" s="29" t="s">
        <v>845</v>
      </c>
      <c r="E879" s="29" t="s">
        <v>15</v>
      </c>
      <c r="F879" s="29" t="s">
        <v>1155</v>
      </c>
      <c r="G879" s="29" t="s">
        <v>1219</v>
      </c>
      <c r="H879" s="29" t="s">
        <v>1220</v>
      </c>
      <c r="I879" s="116" t="s">
        <v>310</v>
      </c>
      <c r="J879" s="29" t="s">
        <v>41</v>
      </c>
      <c r="K879" s="29">
        <v>0.4</v>
      </c>
      <c r="L879" s="116"/>
      <c r="M879" s="29" t="s">
        <v>353</v>
      </c>
      <c r="N879" s="29">
        <v>11.4</v>
      </c>
      <c r="O879" s="115">
        <v>15</v>
      </c>
      <c r="P879" s="29">
        <v>30.511041565122557</v>
      </c>
      <c r="Q879" s="29">
        <v>0.76</v>
      </c>
      <c r="R879" s="29">
        <v>88.7</v>
      </c>
      <c r="S879" s="29">
        <v>0.8</v>
      </c>
      <c r="T879" s="29">
        <v>30</v>
      </c>
      <c r="U879" s="29">
        <v>0</v>
      </c>
      <c r="V879" s="29">
        <v>0</v>
      </c>
      <c r="W879" s="29">
        <v>3.8556933483652758</v>
      </c>
      <c r="X879" s="29">
        <v>2.8917700112739557</v>
      </c>
      <c r="Y879" s="29">
        <v>0</v>
      </c>
      <c r="Z879" s="29">
        <v>0</v>
      </c>
      <c r="AA879" s="29" t="s">
        <v>1602</v>
      </c>
      <c r="AB879" s="29"/>
      <c r="AC879" s="29"/>
      <c r="AD879" s="29"/>
      <c r="AE879" s="29" t="s">
        <v>1712</v>
      </c>
      <c r="AF879" s="29"/>
      <c r="AG879" s="29"/>
    </row>
    <row r="880" spans="1:33">
      <c r="A880" s="29" t="s">
        <v>321</v>
      </c>
      <c r="B880" s="29" t="s">
        <v>1575</v>
      </c>
      <c r="C880" s="29" t="s">
        <v>1596</v>
      </c>
      <c r="D880" s="29" t="s">
        <v>845</v>
      </c>
      <c r="E880" s="29" t="s">
        <v>321</v>
      </c>
      <c r="F880" s="29" t="s">
        <v>1158</v>
      </c>
      <c r="G880" s="29" t="s">
        <v>1221</v>
      </c>
      <c r="H880" s="29" t="s">
        <v>1220</v>
      </c>
      <c r="I880" s="116" t="s">
        <v>310</v>
      </c>
      <c r="J880" s="29" t="s">
        <v>41</v>
      </c>
      <c r="K880" s="29">
        <v>0.4</v>
      </c>
      <c r="L880" s="116"/>
      <c r="M880" s="29" t="s">
        <v>363</v>
      </c>
      <c r="N880" s="29">
        <v>11.4</v>
      </c>
      <c r="O880" s="115">
        <v>15</v>
      </c>
      <c r="P880" s="29">
        <v>30.511041565122557</v>
      </c>
      <c r="Q880" s="29">
        <v>0.76</v>
      </c>
      <c r="R880" s="29">
        <v>88.7</v>
      </c>
      <c r="S880" s="29">
        <v>0.8</v>
      </c>
      <c r="T880" s="29">
        <v>10</v>
      </c>
      <c r="U880" s="29">
        <v>0</v>
      </c>
      <c r="V880" s="29">
        <v>0</v>
      </c>
      <c r="W880" s="29">
        <v>0</v>
      </c>
      <c r="X880" s="29">
        <v>0</v>
      </c>
      <c r="Y880" s="29">
        <v>1.2852311161217587</v>
      </c>
      <c r="Z880" s="29">
        <v>0.96392333709131861</v>
      </c>
      <c r="AA880" s="29" t="s">
        <v>1602</v>
      </c>
      <c r="AB880" s="29"/>
      <c r="AC880" s="29"/>
      <c r="AD880" s="29"/>
      <c r="AE880" s="29" t="s">
        <v>1712</v>
      </c>
      <c r="AF880" s="29"/>
      <c r="AG880" s="29"/>
    </row>
    <row r="881" spans="1:33">
      <c r="A881" s="29" t="s">
        <v>1585</v>
      </c>
      <c r="B881" s="29" t="s">
        <v>1575</v>
      </c>
      <c r="C881" s="29" t="s">
        <v>386</v>
      </c>
      <c r="D881" s="29" t="s">
        <v>845</v>
      </c>
      <c r="E881" s="29" t="s">
        <v>15</v>
      </c>
      <c r="F881" s="29" t="s">
        <v>1155</v>
      </c>
      <c r="G881" s="29" t="s">
        <v>791</v>
      </c>
      <c r="H881" s="29" t="s">
        <v>1750</v>
      </c>
      <c r="I881" s="116" t="s">
        <v>310</v>
      </c>
      <c r="J881" s="29" t="s">
        <v>41</v>
      </c>
      <c r="K881" s="29">
        <v>0.4</v>
      </c>
      <c r="L881" s="116"/>
      <c r="M881" s="29" t="s">
        <v>311</v>
      </c>
      <c r="N881" s="29">
        <v>5.2249999999999996</v>
      </c>
      <c r="O881" s="115">
        <v>5.5</v>
      </c>
      <c r="P881" s="29">
        <v>9.8310417354270623</v>
      </c>
      <c r="Q881" s="29">
        <v>0.95</v>
      </c>
      <c r="R881" s="29">
        <v>95</v>
      </c>
      <c r="S881" s="29">
        <v>0.85</v>
      </c>
      <c r="T881" s="29">
        <v>100</v>
      </c>
      <c r="U881" s="29">
        <v>5.4999999999999991</v>
      </c>
      <c r="V881" s="29">
        <v>3.4085938612170619</v>
      </c>
      <c r="W881" s="29">
        <v>0</v>
      </c>
      <c r="X881" s="29">
        <v>0</v>
      </c>
      <c r="Y881" s="29">
        <v>0</v>
      </c>
      <c r="Z881" s="29">
        <v>0</v>
      </c>
      <c r="AA881" s="29" t="s">
        <v>1602</v>
      </c>
      <c r="AB881" s="29"/>
      <c r="AC881" s="29"/>
      <c r="AD881" s="29"/>
      <c r="AE881" s="29" t="s">
        <v>1751</v>
      </c>
      <c r="AF881" s="29"/>
      <c r="AG881" s="29"/>
    </row>
    <row r="882" spans="1:33">
      <c r="A882" s="29" t="s">
        <v>1585</v>
      </c>
      <c r="B882" s="29" t="s">
        <v>1575</v>
      </c>
      <c r="C882" s="29" t="s">
        <v>386</v>
      </c>
      <c r="D882" s="29" t="s">
        <v>845</v>
      </c>
      <c r="E882" s="29" t="s">
        <v>15</v>
      </c>
      <c r="F882" s="29" t="s">
        <v>1155</v>
      </c>
      <c r="G882" s="29" t="s">
        <v>791</v>
      </c>
      <c r="H882" s="29" t="s">
        <v>1752</v>
      </c>
      <c r="I882" s="116" t="s">
        <v>310</v>
      </c>
      <c r="J882" s="29" t="s">
        <v>41</v>
      </c>
      <c r="K882" s="29">
        <v>0.4</v>
      </c>
      <c r="L882" s="116"/>
      <c r="M882" s="29" t="s">
        <v>363</v>
      </c>
      <c r="N882" s="29">
        <v>5.2249999999999996</v>
      </c>
      <c r="O882" s="115">
        <v>5.5</v>
      </c>
      <c r="P882" s="29">
        <v>9.8310417354270623</v>
      </c>
      <c r="Q882" s="29">
        <v>0.95</v>
      </c>
      <c r="R882" s="29">
        <v>95</v>
      </c>
      <c r="S882" s="29">
        <v>0.85</v>
      </c>
      <c r="T882" s="29">
        <v>10</v>
      </c>
      <c r="U882" s="29">
        <v>0</v>
      </c>
      <c r="V882" s="29">
        <v>0</v>
      </c>
      <c r="W882" s="29">
        <v>0</v>
      </c>
      <c r="X882" s="29">
        <v>0</v>
      </c>
      <c r="Y882" s="29">
        <v>0.54999999999999993</v>
      </c>
      <c r="Z882" s="29">
        <v>0.34085938612170619</v>
      </c>
      <c r="AA882" s="29" t="s">
        <v>1602</v>
      </c>
      <c r="AB882" s="29"/>
      <c r="AC882" s="29"/>
      <c r="AD882" s="29"/>
      <c r="AE882" s="29" t="s">
        <v>1751</v>
      </c>
      <c r="AF882" s="29"/>
      <c r="AG882" s="29"/>
    </row>
    <row r="883" spans="1:33">
      <c r="A883" s="29" t="s">
        <v>1584</v>
      </c>
      <c r="B883" s="29" t="s">
        <v>1575</v>
      </c>
      <c r="C883" s="29" t="s">
        <v>386</v>
      </c>
      <c r="D883" s="29" t="s">
        <v>845</v>
      </c>
      <c r="E883" s="29" t="s">
        <v>15</v>
      </c>
      <c r="F883" s="29" t="s">
        <v>1155</v>
      </c>
      <c r="G883" s="29" t="s">
        <v>791</v>
      </c>
      <c r="H883" s="29" t="s">
        <v>1753</v>
      </c>
      <c r="I883" s="116" t="s">
        <v>310</v>
      </c>
      <c r="J883" s="29" t="s">
        <v>41</v>
      </c>
      <c r="K883" s="29">
        <v>0.4</v>
      </c>
      <c r="L883" s="116"/>
      <c r="M883" s="29" t="s">
        <v>311</v>
      </c>
      <c r="N883" s="29">
        <v>2.85</v>
      </c>
      <c r="O883" s="115">
        <v>3</v>
      </c>
      <c r="P883" s="29">
        <v>5.3623864011420332</v>
      </c>
      <c r="Q883" s="29">
        <v>0.95000000000000007</v>
      </c>
      <c r="R883" s="29">
        <v>95</v>
      </c>
      <c r="S883" s="29">
        <v>0.85</v>
      </c>
      <c r="T883" s="29">
        <v>100</v>
      </c>
      <c r="U883" s="29">
        <v>3.0000000000000004</v>
      </c>
      <c r="V883" s="29">
        <v>1.8592330152093071</v>
      </c>
      <c r="W883" s="29">
        <v>0</v>
      </c>
      <c r="X883" s="29">
        <v>0</v>
      </c>
      <c r="Y883" s="29">
        <v>0</v>
      </c>
      <c r="Z883" s="29">
        <v>0</v>
      </c>
      <c r="AA883" s="29" t="s">
        <v>1602</v>
      </c>
      <c r="AB883" s="29"/>
      <c r="AC883" s="29"/>
      <c r="AD883" s="29"/>
      <c r="AE883" s="29" t="s">
        <v>1727</v>
      </c>
      <c r="AF883" s="29"/>
      <c r="AG883" s="29"/>
    </row>
    <row r="884" spans="1:33">
      <c r="A884" s="29" t="s">
        <v>1584</v>
      </c>
      <c r="B884" s="29" t="s">
        <v>1575</v>
      </c>
      <c r="C884" s="29" t="s">
        <v>386</v>
      </c>
      <c r="D884" s="29" t="s">
        <v>845</v>
      </c>
      <c r="E884" s="29" t="s">
        <v>15</v>
      </c>
      <c r="F884" s="29" t="s">
        <v>1155</v>
      </c>
      <c r="G884" s="29" t="s">
        <v>791</v>
      </c>
      <c r="H884" s="29" t="s">
        <v>1754</v>
      </c>
      <c r="I884" s="116" t="s">
        <v>310</v>
      </c>
      <c r="J884" s="29" t="s">
        <v>41</v>
      </c>
      <c r="K884" s="29">
        <v>0.4</v>
      </c>
      <c r="L884" s="116"/>
      <c r="M884" s="29" t="s">
        <v>363</v>
      </c>
      <c r="N884" s="29">
        <v>2.85</v>
      </c>
      <c r="O884" s="115">
        <v>3</v>
      </c>
      <c r="P884" s="29">
        <v>5.3623864011420332</v>
      </c>
      <c r="Q884" s="29">
        <v>0.95000000000000007</v>
      </c>
      <c r="R884" s="29">
        <v>95</v>
      </c>
      <c r="S884" s="29">
        <v>0.85</v>
      </c>
      <c r="T884" s="29">
        <v>10</v>
      </c>
      <c r="U884" s="29">
        <v>0</v>
      </c>
      <c r="V884" s="29">
        <v>0</v>
      </c>
      <c r="W884" s="29">
        <v>0</v>
      </c>
      <c r="X884" s="29">
        <v>0</v>
      </c>
      <c r="Y884" s="29">
        <v>0.30000000000000004</v>
      </c>
      <c r="Z884" s="29">
        <v>0.18592330152093073</v>
      </c>
      <c r="AA884" s="29" t="s">
        <v>1602</v>
      </c>
      <c r="AB884" s="29"/>
      <c r="AC884" s="29"/>
      <c r="AD884" s="29"/>
      <c r="AE884" s="29" t="s">
        <v>1727</v>
      </c>
      <c r="AF884" s="29"/>
      <c r="AG884" s="29"/>
    </row>
    <row r="885" spans="1:33">
      <c r="A885" s="29" t="s">
        <v>1584</v>
      </c>
      <c r="B885" s="29" t="s">
        <v>1575</v>
      </c>
      <c r="C885" s="29" t="s">
        <v>386</v>
      </c>
      <c r="D885" s="29" t="s">
        <v>845</v>
      </c>
      <c r="E885" s="29" t="s">
        <v>15</v>
      </c>
      <c r="F885" s="29" t="s">
        <v>1155</v>
      </c>
      <c r="G885" s="29" t="s">
        <v>791</v>
      </c>
      <c r="H885" s="29" t="s">
        <v>1755</v>
      </c>
      <c r="I885" s="116" t="s">
        <v>310</v>
      </c>
      <c r="J885" s="29" t="s">
        <v>41</v>
      </c>
      <c r="K885" s="29">
        <v>0.4</v>
      </c>
      <c r="L885" s="116"/>
      <c r="M885" s="29" t="s">
        <v>311</v>
      </c>
      <c r="N885" s="29">
        <v>1.9</v>
      </c>
      <c r="O885" s="115">
        <v>2</v>
      </c>
      <c r="P885" s="29">
        <v>3.5749242674280226</v>
      </c>
      <c r="Q885" s="29">
        <v>0.95</v>
      </c>
      <c r="R885" s="29">
        <v>95</v>
      </c>
      <c r="S885" s="29">
        <v>0.85</v>
      </c>
      <c r="T885" s="29">
        <v>100</v>
      </c>
      <c r="U885" s="29">
        <v>2</v>
      </c>
      <c r="V885" s="29">
        <v>1.2394886768062046</v>
      </c>
      <c r="W885" s="29">
        <v>0</v>
      </c>
      <c r="X885" s="29">
        <v>0</v>
      </c>
      <c r="Y885" s="29">
        <v>0</v>
      </c>
      <c r="Z885" s="29">
        <v>0</v>
      </c>
      <c r="AA885" s="29" t="s">
        <v>1602</v>
      </c>
      <c r="AB885" s="29"/>
      <c r="AC885" s="29"/>
      <c r="AD885" s="29"/>
      <c r="AE885" s="29" t="s">
        <v>1727</v>
      </c>
      <c r="AF885" s="29"/>
      <c r="AG885" s="29"/>
    </row>
    <row r="886" spans="1:33">
      <c r="A886" s="29" t="s">
        <v>1584</v>
      </c>
      <c r="B886" s="29" t="s">
        <v>1575</v>
      </c>
      <c r="C886" s="29" t="s">
        <v>386</v>
      </c>
      <c r="D886" s="29" t="s">
        <v>845</v>
      </c>
      <c r="E886" s="29" t="s">
        <v>15</v>
      </c>
      <c r="F886" s="29" t="s">
        <v>1155</v>
      </c>
      <c r="G886" s="29" t="s">
        <v>791</v>
      </c>
      <c r="H886" s="29" t="s">
        <v>1756</v>
      </c>
      <c r="I886" s="116" t="s">
        <v>310</v>
      </c>
      <c r="J886" s="29" t="s">
        <v>41</v>
      </c>
      <c r="K886" s="29">
        <v>0.4</v>
      </c>
      <c r="L886" s="116"/>
      <c r="M886" s="29" t="s">
        <v>353</v>
      </c>
      <c r="N886" s="29">
        <v>3</v>
      </c>
      <c r="O886" s="115">
        <v>3</v>
      </c>
      <c r="P886" s="29">
        <v>5.3623864011420332</v>
      </c>
      <c r="Q886" s="29">
        <v>1</v>
      </c>
      <c r="R886" s="29">
        <v>95</v>
      </c>
      <c r="S886" s="29">
        <v>0.85</v>
      </c>
      <c r="T886" s="29">
        <v>30</v>
      </c>
      <c r="U886" s="29">
        <v>0</v>
      </c>
      <c r="V886" s="29">
        <v>0</v>
      </c>
      <c r="W886" s="29">
        <v>0.94736842105263164</v>
      </c>
      <c r="X886" s="29">
        <v>0.5871262153292548</v>
      </c>
      <c r="Y886" s="29">
        <v>0</v>
      </c>
      <c r="Z886" s="29">
        <v>0</v>
      </c>
      <c r="AA886" s="29" t="s">
        <v>1602</v>
      </c>
      <c r="AB886" s="29"/>
      <c r="AC886" s="29"/>
      <c r="AD886" s="29"/>
      <c r="AE886" s="29" t="s">
        <v>1727</v>
      </c>
      <c r="AF886" s="29"/>
      <c r="AG886" s="29"/>
    </row>
    <row r="887" spans="1:33">
      <c r="A887" s="29" t="s">
        <v>1585</v>
      </c>
      <c r="B887" s="29" t="s">
        <v>1575</v>
      </c>
      <c r="C887" s="29" t="s">
        <v>386</v>
      </c>
      <c r="D887" s="29" t="s">
        <v>845</v>
      </c>
      <c r="E887" s="29" t="s">
        <v>321</v>
      </c>
      <c r="F887" s="29" t="s">
        <v>1158</v>
      </c>
      <c r="G887" s="29" t="s">
        <v>903</v>
      </c>
      <c r="H887" s="29" t="s">
        <v>1750</v>
      </c>
      <c r="I887" s="116" t="s">
        <v>310</v>
      </c>
      <c r="J887" s="29" t="s">
        <v>41</v>
      </c>
      <c r="K887" s="29">
        <v>0.4</v>
      </c>
      <c r="L887" s="116"/>
      <c r="M887" s="29" t="s">
        <v>353</v>
      </c>
      <c r="N887" s="29">
        <v>5.2249999999999996</v>
      </c>
      <c r="O887" s="115">
        <v>5.5</v>
      </c>
      <c r="P887" s="29">
        <v>9.8310417354270623</v>
      </c>
      <c r="Q887" s="29">
        <v>0.95</v>
      </c>
      <c r="R887" s="29">
        <v>95</v>
      </c>
      <c r="S887" s="29">
        <v>0.85</v>
      </c>
      <c r="T887" s="29">
        <v>30</v>
      </c>
      <c r="U887" s="29">
        <v>0</v>
      </c>
      <c r="V887" s="29">
        <v>0</v>
      </c>
      <c r="W887" s="29">
        <v>1.65</v>
      </c>
      <c r="X887" s="29">
        <v>1.0225781583651186</v>
      </c>
      <c r="Y887" s="29">
        <v>0</v>
      </c>
      <c r="Z887" s="29">
        <v>0</v>
      </c>
      <c r="AA887" s="29" t="s">
        <v>1602</v>
      </c>
      <c r="AB887" s="29"/>
      <c r="AC887" s="29"/>
      <c r="AD887" s="29"/>
      <c r="AE887" s="29" t="s">
        <v>1751</v>
      </c>
      <c r="AF887" s="29"/>
      <c r="AG887" s="29"/>
    </row>
    <row r="888" spans="1:33">
      <c r="A888" s="29" t="s">
        <v>1585</v>
      </c>
      <c r="B888" s="29" t="s">
        <v>1575</v>
      </c>
      <c r="C888" s="29" t="s">
        <v>386</v>
      </c>
      <c r="D888" s="29" t="s">
        <v>845</v>
      </c>
      <c r="E888" s="29" t="s">
        <v>321</v>
      </c>
      <c r="F888" s="29" t="s">
        <v>1158</v>
      </c>
      <c r="G888" s="29" t="s">
        <v>903</v>
      </c>
      <c r="H888" s="29" t="s">
        <v>1752</v>
      </c>
      <c r="I888" s="116" t="s">
        <v>310</v>
      </c>
      <c r="J888" s="29" t="s">
        <v>41</v>
      </c>
      <c r="K888" s="29">
        <v>0.4</v>
      </c>
      <c r="L888" s="116"/>
      <c r="M888" s="29" t="s">
        <v>363</v>
      </c>
      <c r="N888" s="29">
        <v>5.2249999999999996</v>
      </c>
      <c r="O888" s="115">
        <v>5.5</v>
      </c>
      <c r="P888" s="29">
        <v>9.8310417354270623</v>
      </c>
      <c r="Q888" s="29">
        <v>0.95</v>
      </c>
      <c r="R888" s="29">
        <v>95</v>
      </c>
      <c r="S888" s="29">
        <v>0.85</v>
      </c>
      <c r="T888" s="29">
        <v>10</v>
      </c>
      <c r="U888" s="29">
        <v>0</v>
      </c>
      <c r="V888" s="29">
        <v>0</v>
      </c>
      <c r="W888" s="29">
        <v>0</v>
      </c>
      <c r="X888" s="29">
        <v>0</v>
      </c>
      <c r="Y888" s="29">
        <v>0.54999999999999993</v>
      </c>
      <c r="Z888" s="29">
        <v>0.34085938612170619</v>
      </c>
      <c r="AA888" s="29" t="s">
        <v>1602</v>
      </c>
      <c r="AB888" s="29"/>
      <c r="AC888" s="29"/>
      <c r="AD888" s="29"/>
      <c r="AE888" s="29" t="s">
        <v>1751</v>
      </c>
      <c r="AF888" s="29"/>
      <c r="AG888" s="29"/>
    </row>
    <row r="889" spans="1:33">
      <c r="A889" s="29" t="s">
        <v>1584</v>
      </c>
      <c r="B889" s="29" t="s">
        <v>1575</v>
      </c>
      <c r="C889" s="29" t="s">
        <v>386</v>
      </c>
      <c r="D889" s="29" t="s">
        <v>845</v>
      </c>
      <c r="E889" s="29" t="s">
        <v>321</v>
      </c>
      <c r="F889" s="29" t="s">
        <v>1158</v>
      </c>
      <c r="G889" s="29" t="s">
        <v>903</v>
      </c>
      <c r="H889" s="29" t="s">
        <v>1753</v>
      </c>
      <c r="I889" s="116" t="s">
        <v>310</v>
      </c>
      <c r="J889" s="29" t="s">
        <v>41</v>
      </c>
      <c r="K889" s="29">
        <v>0.4</v>
      </c>
      <c r="L889" s="116"/>
      <c r="M889" s="29" t="s">
        <v>353</v>
      </c>
      <c r="N889" s="29">
        <v>2.85</v>
      </c>
      <c r="O889" s="115">
        <v>3</v>
      </c>
      <c r="P889" s="29">
        <v>5.3623864011420332</v>
      </c>
      <c r="Q889" s="29">
        <v>0.95000000000000007</v>
      </c>
      <c r="R889" s="29">
        <v>95</v>
      </c>
      <c r="S889" s="29">
        <v>0.85</v>
      </c>
      <c r="T889" s="29">
        <v>30</v>
      </c>
      <c r="U889" s="29">
        <v>0</v>
      </c>
      <c r="V889" s="29">
        <v>0</v>
      </c>
      <c r="W889" s="29">
        <v>0.9</v>
      </c>
      <c r="X889" s="29">
        <v>0.55776990456279207</v>
      </c>
      <c r="Y889" s="29">
        <v>0</v>
      </c>
      <c r="Z889" s="29">
        <v>0</v>
      </c>
      <c r="AA889" s="29" t="s">
        <v>1602</v>
      </c>
      <c r="AB889" s="29"/>
      <c r="AC889" s="29"/>
      <c r="AD889" s="29"/>
      <c r="AE889" s="29" t="s">
        <v>1727</v>
      </c>
      <c r="AF889" s="29"/>
      <c r="AG889" s="29"/>
    </row>
    <row r="890" spans="1:33">
      <c r="A890" s="29" t="s">
        <v>1584</v>
      </c>
      <c r="B890" s="29" t="s">
        <v>1575</v>
      </c>
      <c r="C890" s="29" t="s">
        <v>386</v>
      </c>
      <c r="D890" s="29" t="s">
        <v>845</v>
      </c>
      <c r="E890" s="29" t="s">
        <v>321</v>
      </c>
      <c r="F890" s="29" t="s">
        <v>1158</v>
      </c>
      <c r="G890" s="29" t="s">
        <v>903</v>
      </c>
      <c r="H890" s="29" t="s">
        <v>1754</v>
      </c>
      <c r="I890" s="116" t="s">
        <v>310</v>
      </c>
      <c r="J890" s="29" t="s">
        <v>41</v>
      </c>
      <c r="K890" s="29">
        <v>0.4</v>
      </c>
      <c r="L890" s="116"/>
      <c r="M890" s="29" t="s">
        <v>363</v>
      </c>
      <c r="N890" s="29">
        <v>2.85</v>
      </c>
      <c r="O890" s="115">
        <v>3</v>
      </c>
      <c r="P890" s="29">
        <v>5.3623864011420332</v>
      </c>
      <c r="Q890" s="29">
        <v>0.95000000000000007</v>
      </c>
      <c r="R890" s="29">
        <v>95</v>
      </c>
      <c r="S890" s="29">
        <v>0.85</v>
      </c>
      <c r="T890" s="29">
        <v>10</v>
      </c>
      <c r="U890" s="29">
        <v>0</v>
      </c>
      <c r="V890" s="29">
        <v>0</v>
      </c>
      <c r="W890" s="29">
        <v>0</v>
      </c>
      <c r="X890" s="29">
        <v>0</v>
      </c>
      <c r="Y890" s="29">
        <v>0.30000000000000004</v>
      </c>
      <c r="Z890" s="29">
        <v>0.18592330152093073</v>
      </c>
      <c r="AA890" s="29" t="s">
        <v>1602</v>
      </c>
      <c r="AB890" s="29"/>
      <c r="AC890" s="29"/>
      <c r="AD890" s="29"/>
      <c r="AE890" s="29" t="s">
        <v>1727</v>
      </c>
      <c r="AF890" s="29"/>
      <c r="AG890" s="29"/>
    </row>
    <row r="891" spans="1:33">
      <c r="A891" s="29" t="s">
        <v>1584</v>
      </c>
      <c r="B891" s="29" t="s">
        <v>1575</v>
      </c>
      <c r="C891" s="29" t="s">
        <v>386</v>
      </c>
      <c r="D891" s="29" t="s">
        <v>845</v>
      </c>
      <c r="E891" s="29" t="s">
        <v>321</v>
      </c>
      <c r="F891" s="29" t="s">
        <v>1158</v>
      </c>
      <c r="G891" s="29" t="s">
        <v>903</v>
      </c>
      <c r="H891" s="29" t="s">
        <v>1755</v>
      </c>
      <c r="I891" s="116" t="s">
        <v>310</v>
      </c>
      <c r="J891" s="29" t="s">
        <v>41</v>
      </c>
      <c r="K891" s="29">
        <v>0.4</v>
      </c>
      <c r="L891" s="116"/>
      <c r="M891" s="29" t="s">
        <v>353</v>
      </c>
      <c r="N891" s="29">
        <v>1.9</v>
      </c>
      <c r="O891" s="115">
        <v>2</v>
      </c>
      <c r="P891" s="29">
        <v>3.5749242674280226</v>
      </c>
      <c r="Q891" s="29">
        <v>0.95</v>
      </c>
      <c r="R891" s="29">
        <v>95</v>
      </c>
      <c r="S891" s="29">
        <v>0.85</v>
      </c>
      <c r="T891" s="29">
        <v>30</v>
      </c>
      <c r="U891" s="29">
        <v>0</v>
      </c>
      <c r="V891" s="29">
        <v>0</v>
      </c>
      <c r="W891" s="29">
        <v>0.6</v>
      </c>
      <c r="X891" s="29">
        <v>0.37184660304186135</v>
      </c>
      <c r="Y891" s="29">
        <v>0</v>
      </c>
      <c r="Z891" s="29">
        <v>0</v>
      </c>
      <c r="AA891" s="29" t="s">
        <v>1602</v>
      </c>
      <c r="AB891" s="29"/>
      <c r="AC891" s="29"/>
      <c r="AD891" s="29"/>
      <c r="AE891" s="29" t="s">
        <v>1727</v>
      </c>
      <c r="AF891" s="29"/>
      <c r="AG891" s="29"/>
    </row>
    <row r="892" spans="1:33">
      <c r="A892" s="29" t="s">
        <v>1584</v>
      </c>
      <c r="B892" s="29" t="s">
        <v>1575</v>
      </c>
      <c r="C892" s="29" t="s">
        <v>386</v>
      </c>
      <c r="D892" s="29" t="s">
        <v>845</v>
      </c>
      <c r="E892" s="29" t="s">
        <v>321</v>
      </c>
      <c r="F892" s="29" t="s">
        <v>1158</v>
      </c>
      <c r="G892" s="29" t="s">
        <v>903</v>
      </c>
      <c r="H892" s="29" t="s">
        <v>1756</v>
      </c>
      <c r="I892" s="116" t="s">
        <v>310</v>
      </c>
      <c r="J892" s="29" t="s">
        <v>41</v>
      </c>
      <c r="K892" s="29">
        <v>0.4</v>
      </c>
      <c r="L892" s="116"/>
      <c r="M892" s="29" t="s">
        <v>353</v>
      </c>
      <c r="N892" s="29">
        <v>3</v>
      </c>
      <c r="O892" s="115">
        <v>3</v>
      </c>
      <c r="P892" s="29">
        <v>5.3623864011420332</v>
      </c>
      <c r="Q892" s="29">
        <v>1</v>
      </c>
      <c r="R892" s="29">
        <v>95</v>
      </c>
      <c r="S892" s="29">
        <v>0.85</v>
      </c>
      <c r="T892" s="29">
        <v>30</v>
      </c>
      <c r="U892" s="29">
        <v>0</v>
      </c>
      <c r="V892" s="29">
        <v>0</v>
      </c>
      <c r="W892" s="29">
        <v>0.94736842105263164</v>
      </c>
      <c r="X892" s="29">
        <v>0.5871262153292548</v>
      </c>
      <c r="Y892" s="29">
        <v>0</v>
      </c>
      <c r="Z892" s="29">
        <v>0</v>
      </c>
      <c r="AA892" s="29" t="s">
        <v>1602</v>
      </c>
      <c r="AB892" s="29"/>
      <c r="AC892" s="29"/>
      <c r="AD892" s="29"/>
      <c r="AE892" s="29" t="s">
        <v>1727</v>
      </c>
      <c r="AF892" s="29"/>
      <c r="AG892" s="29"/>
    </row>
    <row r="893" spans="1:33">
      <c r="A893" s="29" t="s">
        <v>1585</v>
      </c>
      <c r="B893" s="29" t="s">
        <v>1575</v>
      </c>
      <c r="C893" s="29" t="s">
        <v>386</v>
      </c>
      <c r="D893" s="29" t="s">
        <v>845</v>
      </c>
      <c r="E893" s="29" t="s">
        <v>15</v>
      </c>
      <c r="F893" s="29" t="s">
        <v>1155</v>
      </c>
      <c r="G893" s="29" t="s">
        <v>1112</v>
      </c>
      <c r="H893" s="29" t="s">
        <v>1750</v>
      </c>
      <c r="I893" s="116" t="s">
        <v>310</v>
      </c>
      <c r="J893" s="29" t="s">
        <v>41</v>
      </c>
      <c r="K893" s="29">
        <v>0.4</v>
      </c>
      <c r="L893" s="116"/>
      <c r="M893" s="29" t="s">
        <v>363</v>
      </c>
      <c r="N893" s="29">
        <v>5.2249999999999996</v>
      </c>
      <c r="O893" s="115">
        <v>5.5</v>
      </c>
      <c r="P893" s="29">
        <v>9.8310417354270623</v>
      </c>
      <c r="Q893" s="29">
        <v>0.95</v>
      </c>
      <c r="R893" s="29">
        <v>95</v>
      </c>
      <c r="S893" s="29">
        <v>0.85</v>
      </c>
      <c r="T893" s="29">
        <v>10</v>
      </c>
      <c r="U893" s="29">
        <v>0</v>
      </c>
      <c r="V893" s="29">
        <v>0</v>
      </c>
      <c r="W893" s="29">
        <v>0</v>
      </c>
      <c r="X893" s="29">
        <v>0</v>
      </c>
      <c r="Y893" s="29">
        <v>0.54999999999999993</v>
      </c>
      <c r="Z893" s="29">
        <v>0.34085938612170619</v>
      </c>
      <c r="AA893" s="29" t="s">
        <v>1602</v>
      </c>
      <c r="AB893" s="29"/>
      <c r="AC893" s="29"/>
      <c r="AD893" s="29"/>
      <c r="AE893" s="29" t="s">
        <v>1751</v>
      </c>
      <c r="AF893" s="29"/>
      <c r="AG893" s="29"/>
    </row>
    <row r="894" spans="1:33">
      <c r="A894" s="29" t="s">
        <v>1585</v>
      </c>
      <c r="B894" s="29" t="s">
        <v>1575</v>
      </c>
      <c r="C894" s="29" t="s">
        <v>386</v>
      </c>
      <c r="D894" s="29" t="s">
        <v>845</v>
      </c>
      <c r="E894" s="29" t="s">
        <v>15</v>
      </c>
      <c r="F894" s="29" t="s">
        <v>1155</v>
      </c>
      <c r="G894" s="29" t="s">
        <v>1112</v>
      </c>
      <c r="H894" s="29" t="s">
        <v>1752</v>
      </c>
      <c r="I894" s="116" t="s">
        <v>310</v>
      </c>
      <c r="J894" s="29" t="s">
        <v>41</v>
      </c>
      <c r="K894" s="29">
        <v>0.4</v>
      </c>
      <c r="L894" s="116"/>
      <c r="M894" s="29" t="s">
        <v>363</v>
      </c>
      <c r="N894" s="29">
        <v>5.2249999999999996</v>
      </c>
      <c r="O894" s="115">
        <v>5.5</v>
      </c>
      <c r="P894" s="29">
        <v>9.8310417354270623</v>
      </c>
      <c r="Q894" s="29">
        <v>0.95</v>
      </c>
      <c r="R894" s="29">
        <v>95</v>
      </c>
      <c r="S894" s="29">
        <v>0.85</v>
      </c>
      <c r="T894" s="29">
        <v>10</v>
      </c>
      <c r="U894" s="29">
        <v>0</v>
      </c>
      <c r="V894" s="29">
        <v>0</v>
      </c>
      <c r="W894" s="29">
        <v>0</v>
      </c>
      <c r="X894" s="29">
        <v>0</v>
      </c>
      <c r="Y894" s="29">
        <v>0.54999999999999993</v>
      </c>
      <c r="Z894" s="29">
        <v>0.34085938612170619</v>
      </c>
      <c r="AA894" s="29" t="s">
        <v>1602</v>
      </c>
      <c r="AB894" s="29"/>
      <c r="AC894" s="29"/>
      <c r="AD894" s="29"/>
      <c r="AE894" s="29" t="s">
        <v>1751</v>
      </c>
      <c r="AF894" s="29"/>
      <c r="AG894" s="29"/>
    </row>
    <row r="895" spans="1:33">
      <c r="A895" s="29" t="s">
        <v>1584</v>
      </c>
      <c r="B895" s="29" t="s">
        <v>1575</v>
      </c>
      <c r="C895" s="29" t="s">
        <v>386</v>
      </c>
      <c r="D895" s="29" t="s">
        <v>845</v>
      </c>
      <c r="E895" s="29" t="s">
        <v>15</v>
      </c>
      <c r="F895" s="29" t="s">
        <v>1155</v>
      </c>
      <c r="G895" s="29" t="s">
        <v>1112</v>
      </c>
      <c r="H895" s="29" t="s">
        <v>1753</v>
      </c>
      <c r="I895" s="116" t="s">
        <v>310</v>
      </c>
      <c r="J895" s="29" t="s">
        <v>41</v>
      </c>
      <c r="K895" s="29">
        <v>0.4</v>
      </c>
      <c r="L895" s="116"/>
      <c r="M895" s="29" t="s">
        <v>363</v>
      </c>
      <c r="N895" s="29">
        <v>2.85</v>
      </c>
      <c r="O895" s="115">
        <v>3</v>
      </c>
      <c r="P895" s="29">
        <v>5.3623864011420332</v>
      </c>
      <c r="Q895" s="29">
        <v>0.95000000000000007</v>
      </c>
      <c r="R895" s="29">
        <v>95</v>
      </c>
      <c r="S895" s="29">
        <v>0.85</v>
      </c>
      <c r="T895" s="29">
        <v>10</v>
      </c>
      <c r="U895" s="29">
        <v>0</v>
      </c>
      <c r="V895" s="29">
        <v>0</v>
      </c>
      <c r="W895" s="29">
        <v>0</v>
      </c>
      <c r="X895" s="29">
        <v>0</v>
      </c>
      <c r="Y895" s="29">
        <v>0.30000000000000004</v>
      </c>
      <c r="Z895" s="29">
        <v>0.18592330152093073</v>
      </c>
      <c r="AA895" s="29" t="s">
        <v>1602</v>
      </c>
      <c r="AB895" s="29"/>
      <c r="AC895" s="29"/>
      <c r="AD895" s="29"/>
      <c r="AE895" s="29" t="s">
        <v>1727</v>
      </c>
      <c r="AF895" s="29"/>
      <c r="AG895" s="29"/>
    </row>
    <row r="896" spans="1:33">
      <c r="A896" s="29" t="s">
        <v>1584</v>
      </c>
      <c r="B896" s="29" t="s">
        <v>1575</v>
      </c>
      <c r="C896" s="29" t="s">
        <v>386</v>
      </c>
      <c r="D896" s="29" t="s">
        <v>845</v>
      </c>
      <c r="E896" s="29" t="s">
        <v>15</v>
      </c>
      <c r="F896" s="29" t="s">
        <v>1155</v>
      </c>
      <c r="G896" s="29" t="s">
        <v>1112</v>
      </c>
      <c r="H896" s="29" t="s">
        <v>1754</v>
      </c>
      <c r="I896" s="116" t="s">
        <v>310</v>
      </c>
      <c r="J896" s="29" t="s">
        <v>41</v>
      </c>
      <c r="K896" s="29">
        <v>0.4</v>
      </c>
      <c r="L896" s="116"/>
      <c r="M896" s="29" t="s">
        <v>363</v>
      </c>
      <c r="N896" s="29">
        <v>2.85</v>
      </c>
      <c r="O896" s="115">
        <v>3</v>
      </c>
      <c r="P896" s="29">
        <v>5.3623864011420332</v>
      </c>
      <c r="Q896" s="29">
        <v>0.95000000000000007</v>
      </c>
      <c r="R896" s="29">
        <v>95</v>
      </c>
      <c r="S896" s="29">
        <v>0.85</v>
      </c>
      <c r="T896" s="29">
        <v>10</v>
      </c>
      <c r="U896" s="29">
        <v>0</v>
      </c>
      <c r="V896" s="29">
        <v>0</v>
      </c>
      <c r="W896" s="29">
        <v>0</v>
      </c>
      <c r="X896" s="29">
        <v>0</v>
      </c>
      <c r="Y896" s="29">
        <v>0.30000000000000004</v>
      </c>
      <c r="Z896" s="29">
        <v>0.18592330152093073</v>
      </c>
      <c r="AA896" s="29" t="s">
        <v>1602</v>
      </c>
      <c r="AB896" s="29"/>
      <c r="AC896" s="29"/>
      <c r="AD896" s="29"/>
      <c r="AE896" s="29" t="s">
        <v>1727</v>
      </c>
      <c r="AF896" s="29"/>
      <c r="AG896" s="29"/>
    </row>
    <row r="897" spans="1:33">
      <c r="A897" s="29" t="s">
        <v>1584</v>
      </c>
      <c r="B897" s="29" t="s">
        <v>1575</v>
      </c>
      <c r="C897" s="29" t="s">
        <v>386</v>
      </c>
      <c r="D897" s="29" t="s">
        <v>845</v>
      </c>
      <c r="E897" s="29" t="s">
        <v>15</v>
      </c>
      <c r="F897" s="29" t="s">
        <v>1155</v>
      </c>
      <c r="G897" s="29" t="s">
        <v>1112</v>
      </c>
      <c r="H897" s="29" t="s">
        <v>1755</v>
      </c>
      <c r="I897" s="116" t="s">
        <v>310</v>
      </c>
      <c r="J897" s="29" t="s">
        <v>41</v>
      </c>
      <c r="K897" s="29">
        <v>0.4</v>
      </c>
      <c r="L897" s="116"/>
      <c r="M897" s="29" t="s">
        <v>363</v>
      </c>
      <c r="N897" s="29">
        <v>1.9</v>
      </c>
      <c r="O897" s="115">
        <v>2</v>
      </c>
      <c r="P897" s="29">
        <v>3.5749242674280226</v>
      </c>
      <c r="Q897" s="29">
        <v>0.95</v>
      </c>
      <c r="R897" s="29">
        <v>95</v>
      </c>
      <c r="S897" s="29">
        <v>0.85</v>
      </c>
      <c r="T897" s="29">
        <v>10</v>
      </c>
      <c r="U897" s="29">
        <v>0</v>
      </c>
      <c r="V897" s="29">
        <v>0</v>
      </c>
      <c r="W897" s="29">
        <v>0</v>
      </c>
      <c r="X897" s="29">
        <v>0</v>
      </c>
      <c r="Y897" s="29">
        <v>0.2</v>
      </c>
      <c r="Z897" s="29">
        <v>0.12394886768062047</v>
      </c>
      <c r="AA897" s="29" t="s">
        <v>1602</v>
      </c>
      <c r="AB897" s="29"/>
      <c r="AC897" s="29"/>
      <c r="AD897" s="29"/>
      <c r="AE897" s="29" t="s">
        <v>1727</v>
      </c>
      <c r="AF897" s="29"/>
      <c r="AG897" s="29"/>
    </row>
    <row r="898" spans="1:33">
      <c r="A898" s="29" t="s">
        <v>1584</v>
      </c>
      <c r="B898" s="29" t="s">
        <v>1575</v>
      </c>
      <c r="C898" s="29" t="s">
        <v>386</v>
      </c>
      <c r="D898" s="29" t="s">
        <v>845</v>
      </c>
      <c r="E898" s="29" t="s">
        <v>15</v>
      </c>
      <c r="F898" s="29" t="s">
        <v>1155</v>
      </c>
      <c r="G898" s="29" t="s">
        <v>1112</v>
      </c>
      <c r="H898" s="29" t="s">
        <v>1756</v>
      </c>
      <c r="I898" s="116" t="s">
        <v>310</v>
      </c>
      <c r="J898" s="29" t="s">
        <v>41</v>
      </c>
      <c r="K898" s="29">
        <v>0.4</v>
      </c>
      <c r="L898" s="116"/>
      <c r="M898" s="29" t="s">
        <v>363</v>
      </c>
      <c r="N898" s="29">
        <v>3</v>
      </c>
      <c r="O898" s="115">
        <v>3</v>
      </c>
      <c r="P898" s="29">
        <v>5.3623864011420332</v>
      </c>
      <c r="Q898" s="29">
        <v>1</v>
      </c>
      <c r="R898" s="29">
        <v>95</v>
      </c>
      <c r="S898" s="29">
        <v>0.85</v>
      </c>
      <c r="T898" s="29">
        <v>10</v>
      </c>
      <c r="U898" s="29">
        <v>0</v>
      </c>
      <c r="V898" s="29">
        <v>0</v>
      </c>
      <c r="W898" s="29">
        <v>0</v>
      </c>
      <c r="X898" s="29">
        <v>0</v>
      </c>
      <c r="Y898" s="29">
        <v>0.31578947368421051</v>
      </c>
      <c r="Z898" s="29">
        <v>0.19570873844308495</v>
      </c>
      <c r="AA898" s="29" t="s">
        <v>1602</v>
      </c>
      <c r="AB898" s="29"/>
      <c r="AC898" s="29"/>
      <c r="AD898" s="29"/>
      <c r="AE898" s="29" t="s">
        <v>1727</v>
      </c>
      <c r="AF898" s="29"/>
      <c r="AG898" s="29"/>
    </row>
    <row r="899" spans="1:33">
      <c r="A899" s="29"/>
      <c r="B899" s="29" t="s">
        <v>1575</v>
      </c>
      <c r="C899" s="29" t="s">
        <v>317</v>
      </c>
      <c r="D899" s="29" t="s">
        <v>845</v>
      </c>
      <c r="E899" s="29" t="s">
        <v>15</v>
      </c>
      <c r="F899" s="29" t="s">
        <v>1155</v>
      </c>
      <c r="G899" s="29" t="s">
        <v>307</v>
      </c>
      <c r="H899" s="29" t="s">
        <v>1222</v>
      </c>
      <c r="I899" s="116" t="s">
        <v>310</v>
      </c>
      <c r="J899" s="29" t="s">
        <v>41</v>
      </c>
      <c r="K899" s="29">
        <v>0.4</v>
      </c>
      <c r="L899" s="116"/>
      <c r="M899" s="29" t="s">
        <v>353</v>
      </c>
      <c r="N899" s="29">
        <v>3.2000000000000001E-2</v>
      </c>
      <c r="O899" s="115">
        <v>0.75</v>
      </c>
      <c r="P899" s="29">
        <v>1.6623644882225863</v>
      </c>
      <c r="Q899" s="29">
        <v>4.2666666666666665E-2</v>
      </c>
      <c r="R899" s="29">
        <v>81.400000000000006</v>
      </c>
      <c r="S899" s="29">
        <v>0.8</v>
      </c>
      <c r="T899" s="29">
        <v>30</v>
      </c>
      <c r="U899" s="29">
        <v>0</v>
      </c>
      <c r="V899" s="29">
        <v>0</v>
      </c>
      <c r="W899" s="29">
        <v>1.1793611793611793E-2</v>
      </c>
      <c r="X899" s="29">
        <v>8.8452088452088424E-3</v>
      </c>
      <c r="Y899" s="29">
        <v>0</v>
      </c>
      <c r="Z899" s="29">
        <v>0</v>
      </c>
      <c r="AA899" s="29" t="s">
        <v>1589</v>
      </c>
      <c r="AB899" s="29"/>
      <c r="AC899" s="29"/>
      <c r="AD899" s="29"/>
      <c r="AE899" s="29" t="s">
        <v>1590</v>
      </c>
      <c r="AF899" s="29"/>
      <c r="AG899" s="29"/>
    </row>
    <row r="900" spans="1:33">
      <c r="A900" s="29"/>
      <c r="B900" s="29" t="s">
        <v>1575</v>
      </c>
      <c r="C900" s="29" t="s">
        <v>1596</v>
      </c>
      <c r="D900" s="29" t="s">
        <v>845</v>
      </c>
      <c r="E900" s="29" t="s">
        <v>15</v>
      </c>
      <c r="F900" s="29" t="s">
        <v>1155</v>
      </c>
      <c r="G900" s="29" t="s">
        <v>1223</v>
      </c>
      <c r="H900" s="29" t="s">
        <v>1224</v>
      </c>
      <c r="I900" s="116" t="s">
        <v>310</v>
      </c>
      <c r="J900" s="29" t="s">
        <v>41</v>
      </c>
      <c r="K900" s="29">
        <v>0.4</v>
      </c>
      <c r="L900" s="116"/>
      <c r="M900" s="29" t="s">
        <v>311</v>
      </c>
      <c r="N900" s="29">
        <v>8.75</v>
      </c>
      <c r="O900" s="115">
        <v>11</v>
      </c>
      <c r="P900" s="29">
        <v>21.561644308102981</v>
      </c>
      <c r="Q900" s="29">
        <v>0.79545454545454541</v>
      </c>
      <c r="R900" s="29">
        <v>89.8</v>
      </c>
      <c r="S900" s="29">
        <v>0.82</v>
      </c>
      <c r="T900" s="29">
        <v>100</v>
      </c>
      <c r="U900" s="29">
        <v>9.7438752783964375</v>
      </c>
      <c r="V900" s="29">
        <v>6.80126678179011</v>
      </c>
      <c r="W900" s="29">
        <v>0</v>
      </c>
      <c r="X900" s="29">
        <v>0</v>
      </c>
      <c r="Y900" s="29">
        <v>0</v>
      </c>
      <c r="Z900" s="29">
        <v>0</v>
      </c>
      <c r="AA900" s="29" t="s">
        <v>1589</v>
      </c>
      <c r="AB900" s="29"/>
      <c r="AC900" s="29"/>
      <c r="AD900" s="29"/>
      <c r="AE900" s="29" t="s">
        <v>1590</v>
      </c>
      <c r="AF900" s="29"/>
      <c r="AG900" s="29"/>
    </row>
    <row r="901" spans="1:33">
      <c r="A901" s="29"/>
      <c r="B901" s="29" t="s">
        <v>1575</v>
      </c>
      <c r="C901" s="29" t="s">
        <v>1596</v>
      </c>
      <c r="D901" s="29" t="s">
        <v>845</v>
      </c>
      <c r="E901" s="29" t="s">
        <v>321</v>
      </c>
      <c r="F901" s="29" t="s">
        <v>1158</v>
      </c>
      <c r="G901" s="29" t="s">
        <v>1225</v>
      </c>
      <c r="H901" s="29" t="s">
        <v>1224</v>
      </c>
      <c r="I901" s="116" t="s">
        <v>310</v>
      </c>
      <c r="J901" s="29" t="s">
        <v>41</v>
      </c>
      <c r="K901" s="29">
        <v>0.4</v>
      </c>
      <c r="L901" s="116"/>
      <c r="M901" s="29" t="s">
        <v>363</v>
      </c>
      <c r="N901" s="29">
        <v>8.75</v>
      </c>
      <c r="O901" s="115">
        <v>11</v>
      </c>
      <c r="P901" s="29">
        <v>21.561644308102981</v>
      </c>
      <c r="Q901" s="29">
        <v>0.79545454545454541</v>
      </c>
      <c r="R901" s="29">
        <v>89.8</v>
      </c>
      <c r="S901" s="29">
        <v>0.82</v>
      </c>
      <c r="T901" s="29">
        <v>10</v>
      </c>
      <c r="U901" s="29">
        <v>0</v>
      </c>
      <c r="V901" s="29">
        <v>0</v>
      </c>
      <c r="W901" s="29">
        <v>0</v>
      </c>
      <c r="X901" s="29">
        <v>0</v>
      </c>
      <c r="Y901" s="29">
        <v>0.97438752783964366</v>
      </c>
      <c r="Z901" s="29">
        <v>0.68012667817901107</v>
      </c>
      <c r="AA901" s="29" t="s">
        <v>1589</v>
      </c>
      <c r="AB901" s="29"/>
      <c r="AC901" s="29"/>
      <c r="AD901" s="29"/>
      <c r="AE901" s="29" t="s">
        <v>1590</v>
      </c>
      <c r="AF901" s="29"/>
      <c r="AG901" s="29"/>
    </row>
    <row r="902" spans="1:33">
      <c r="A902" s="29" t="s">
        <v>1757</v>
      </c>
      <c r="B902" s="29" t="s">
        <v>1595</v>
      </c>
      <c r="C902" s="29" t="s">
        <v>1596</v>
      </c>
      <c r="D902" s="29" t="s">
        <v>845</v>
      </c>
      <c r="E902" s="29" t="s">
        <v>15</v>
      </c>
      <c r="F902" s="29" t="s">
        <v>1155</v>
      </c>
      <c r="G902" s="29" t="s">
        <v>1226</v>
      </c>
      <c r="H902" s="29" t="s">
        <v>1227</v>
      </c>
      <c r="I902" s="116" t="s">
        <v>310</v>
      </c>
      <c r="J902" s="29" t="s">
        <v>41</v>
      </c>
      <c r="K902" s="29">
        <v>0.4</v>
      </c>
      <c r="L902" s="116"/>
      <c r="M902" s="29" t="s">
        <v>311</v>
      </c>
      <c r="N902" s="29">
        <v>5.5</v>
      </c>
      <c r="O902" s="115">
        <v>5.5</v>
      </c>
      <c r="P902" s="29">
        <v>11.314946125081748</v>
      </c>
      <c r="Q902" s="29">
        <v>1</v>
      </c>
      <c r="R902" s="29">
        <v>87.7</v>
      </c>
      <c r="S902" s="29">
        <v>0.8</v>
      </c>
      <c r="T902" s="29">
        <v>100</v>
      </c>
      <c r="U902" s="29">
        <v>6.2713797035347767</v>
      </c>
      <c r="V902" s="29">
        <v>4.7035347776510807</v>
      </c>
      <c r="W902" s="29">
        <v>0</v>
      </c>
      <c r="X902" s="29">
        <v>0</v>
      </c>
      <c r="Y902" s="29">
        <v>0</v>
      </c>
      <c r="Z902" s="29">
        <v>0</v>
      </c>
      <c r="AA902" s="29" t="s">
        <v>1589</v>
      </c>
      <c r="AB902" s="29"/>
      <c r="AC902" s="29"/>
      <c r="AD902" s="29"/>
      <c r="AE902" s="29" t="s">
        <v>1758</v>
      </c>
      <c r="AF902" s="29"/>
      <c r="AG902" s="29"/>
    </row>
    <row r="903" spans="1:33">
      <c r="A903" s="29" t="s">
        <v>1757</v>
      </c>
      <c r="B903" s="29" t="s">
        <v>1595</v>
      </c>
      <c r="C903" s="29" t="s">
        <v>1596</v>
      </c>
      <c r="D903" s="29" t="s">
        <v>845</v>
      </c>
      <c r="E903" s="29" t="s">
        <v>321</v>
      </c>
      <c r="F903" s="29" t="s">
        <v>1158</v>
      </c>
      <c r="G903" s="29" t="s">
        <v>1228</v>
      </c>
      <c r="H903" s="29" t="s">
        <v>1229</v>
      </c>
      <c r="I903" s="116" t="s">
        <v>310</v>
      </c>
      <c r="J903" s="29" t="s">
        <v>41</v>
      </c>
      <c r="K903" s="29">
        <v>0.4</v>
      </c>
      <c r="L903" s="116"/>
      <c r="M903" s="29" t="s">
        <v>363</v>
      </c>
      <c r="N903" s="29">
        <v>5.5</v>
      </c>
      <c r="O903" s="115">
        <v>5.5</v>
      </c>
      <c r="P903" s="29">
        <v>11.314946125081748</v>
      </c>
      <c r="Q903" s="29">
        <v>1</v>
      </c>
      <c r="R903" s="29">
        <v>87.7</v>
      </c>
      <c r="S903" s="29">
        <v>0.8</v>
      </c>
      <c r="T903" s="29">
        <v>10</v>
      </c>
      <c r="U903" s="29">
        <v>0</v>
      </c>
      <c r="V903" s="29">
        <v>0</v>
      </c>
      <c r="W903" s="29">
        <v>0</v>
      </c>
      <c r="X903" s="29">
        <v>0</v>
      </c>
      <c r="Y903" s="29">
        <v>0.62713797035347763</v>
      </c>
      <c r="Z903" s="29">
        <v>0.47035347776510811</v>
      </c>
      <c r="AA903" s="29" t="s">
        <v>1589</v>
      </c>
      <c r="AB903" s="29"/>
      <c r="AC903" s="29"/>
      <c r="AD903" s="29"/>
      <c r="AE903" s="29" t="s">
        <v>1758</v>
      </c>
      <c r="AF903" s="29"/>
      <c r="AG903" s="29"/>
    </row>
    <row r="904" spans="1:33">
      <c r="A904" s="29" t="s">
        <v>1584</v>
      </c>
      <c r="B904" s="29" t="s">
        <v>1595</v>
      </c>
      <c r="C904" s="29" t="s">
        <v>1596</v>
      </c>
      <c r="D904" s="29" t="s">
        <v>845</v>
      </c>
      <c r="E904" s="29" t="s">
        <v>15</v>
      </c>
      <c r="F904" s="29" t="s">
        <v>1155</v>
      </c>
      <c r="G904" s="29" t="s">
        <v>1230</v>
      </c>
      <c r="H904" s="29" t="s">
        <v>1231</v>
      </c>
      <c r="I904" s="116" t="s">
        <v>310</v>
      </c>
      <c r="J904" s="29" t="s">
        <v>41</v>
      </c>
      <c r="K904" s="29">
        <v>0.4</v>
      </c>
      <c r="L904" s="116"/>
      <c r="M904" s="29" t="s">
        <v>311</v>
      </c>
      <c r="N904" s="29">
        <v>30</v>
      </c>
      <c r="O904" s="115">
        <v>30</v>
      </c>
      <c r="P904" s="29">
        <v>58.285239580603481</v>
      </c>
      <c r="Q904" s="29">
        <v>1</v>
      </c>
      <c r="R904" s="29">
        <v>90.6</v>
      </c>
      <c r="S904" s="29">
        <v>0.82</v>
      </c>
      <c r="T904" s="29">
        <v>100</v>
      </c>
      <c r="U904" s="29">
        <v>33.112582781456958</v>
      </c>
      <c r="V904" s="29">
        <v>23.112724957606506</v>
      </c>
      <c r="W904" s="29">
        <v>0</v>
      </c>
      <c r="X904" s="29">
        <v>0</v>
      </c>
      <c r="Y904" s="29">
        <v>0</v>
      </c>
      <c r="Z904" s="29">
        <v>0</v>
      </c>
      <c r="AA904" s="29" t="s">
        <v>1577</v>
      </c>
      <c r="AB904" s="29" t="s">
        <v>1759</v>
      </c>
      <c r="AC904" s="29"/>
      <c r="AD904" s="29"/>
      <c r="AE904" s="29" t="s">
        <v>1760</v>
      </c>
      <c r="AF904" s="29"/>
      <c r="AG904" s="29"/>
    </row>
    <row r="905" spans="1:33">
      <c r="A905" s="29" t="s">
        <v>1584</v>
      </c>
      <c r="B905" s="29" t="s">
        <v>1595</v>
      </c>
      <c r="C905" s="29" t="s">
        <v>1596</v>
      </c>
      <c r="D905" s="29" t="s">
        <v>845</v>
      </c>
      <c r="E905" s="29" t="s">
        <v>321</v>
      </c>
      <c r="F905" s="29" t="s">
        <v>1158</v>
      </c>
      <c r="G905" s="29" t="s">
        <v>1232</v>
      </c>
      <c r="H905" s="29" t="s">
        <v>1233</v>
      </c>
      <c r="I905" s="116" t="s">
        <v>310</v>
      </c>
      <c r="J905" s="29" t="s">
        <v>41</v>
      </c>
      <c r="K905" s="29">
        <v>0.4</v>
      </c>
      <c r="L905" s="116"/>
      <c r="M905" s="29" t="s">
        <v>363</v>
      </c>
      <c r="N905" s="29">
        <v>30</v>
      </c>
      <c r="O905" s="115">
        <v>30</v>
      </c>
      <c r="P905" s="29">
        <v>58.285239580603481</v>
      </c>
      <c r="Q905" s="29">
        <v>1</v>
      </c>
      <c r="R905" s="29">
        <v>90.6</v>
      </c>
      <c r="S905" s="29">
        <v>0.82</v>
      </c>
      <c r="T905" s="29">
        <v>10</v>
      </c>
      <c r="U905" s="29">
        <v>0</v>
      </c>
      <c r="V905" s="29">
        <v>0</v>
      </c>
      <c r="W905" s="29">
        <v>0</v>
      </c>
      <c r="X905" s="29">
        <v>0</v>
      </c>
      <c r="Y905" s="29">
        <v>3.3112582781456954</v>
      </c>
      <c r="Z905" s="29">
        <v>2.3112724957606505</v>
      </c>
      <c r="AA905" s="29" t="s">
        <v>1577</v>
      </c>
      <c r="AB905" s="29" t="s">
        <v>1759</v>
      </c>
      <c r="AC905" s="29"/>
      <c r="AD905" s="29"/>
      <c r="AE905" s="29" t="s">
        <v>1760</v>
      </c>
      <c r="AF905" s="29"/>
      <c r="AG905" s="29"/>
    </row>
    <row r="906" spans="1:33">
      <c r="A906" s="29" t="s">
        <v>1584</v>
      </c>
      <c r="B906" s="29" t="s">
        <v>1595</v>
      </c>
      <c r="C906" s="29" t="s">
        <v>1596</v>
      </c>
      <c r="D906" s="29" t="s">
        <v>845</v>
      </c>
      <c r="E906" s="29" t="s">
        <v>15</v>
      </c>
      <c r="F906" s="29" t="s">
        <v>1155</v>
      </c>
      <c r="G906" s="29" t="s">
        <v>1234</v>
      </c>
      <c r="H906" s="29" t="s">
        <v>1235</v>
      </c>
      <c r="I906" s="116" t="s">
        <v>310</v>
      </c>
      <c r="J906" s="29" t="s">
        <v>41</v>
      </c>
      <c r="K906" s="29">
        <v>0.4</v>
      </c>
      <c r="L906" s="116"/>
      <c r="M906" s="29" t="s">
        <v>353</v>
      </c>
      <c r="N906" s="29">
        <v>7.55</v>
      </c>
      <c r="O906" s="115">
        <v>7.55</v>
      </c>
      <c r="P906" s="29">
        <v>15.72962807585766</v>
      </c>
      <c r="Q906" s="29">
        <v>1</v>
      </c>
      <c r="R906" s="29">
        <v>86.6</v>
      </c>
      <c r="S906" s="29">
        <v>0.8</v>
      </c>
      <c r="T906" s="29">
        <v>30</v>
      </c>
      <c r="U906" s="29">
        <v>0</v>
      </c>
      <c r="V906" s="29">
        <v>0</v>
      </c>
      <c r="W906" s="29">
        <v>2.6154734411085454</v>
      </c>
      <c r="X906" s="29">
        <v>1.9616050808314081</v>
      </c>
      <c r="Y906" s="29">
        <v>0</v>
      </c>
      <c r="Z906" s="29">
        <v>0</v>
      </c>
      <c r="AA906" s="29" t="s">
        <v>1577</v>
      </c>
      <c r="AB906" s="29" t="s">
        <v>1761</v>
      </c>
      <c r="AC906" s="29"/>
      <c r="AD906" s="29"/>
      <c r="AE906" s="29" t="s">
        <v>1760</v>
      </c>
      <c r="AF906" s="29"/>
      <c r="AG906" s="29"/>
    </row>
    <row r="907" spans="1:33">
      <c r="A907" s="29" t="s">
        <v>1584</v>
      </c>
      <c r="B907" s="29" t="s">
        <v>1595</v>
      </c>
      <c r="C907" s="29" t="s">
        <v>1596</v>
      </c>
      <c r="D907" s="29" t="s">
        <v>845</v>
      </c>
      <c r="E907" s="29" t="s">
        <v>321</v>
      </c>
      <c r="F907" s="29" t="s">
        <v>1158</v>
      </c>
      <c r="G907" s="29" t="s">
        <v>1236</v>
      </c>
      <c r="H907" s="29" t="s">
        <v>1237</v>
      </c>
      <c r="I907" s="116" t="s">
        <v>310</v>
      </c>
      <c r="J907" s="29" t="s">
        <v>41</v>
      </c>
      <c r="K907" s="29">
        <v>0.4</v>
      </c>
      <c r="L907" s="116"/>
      <c r="M907" s="29" t="s">
        <v>363</v>
      </c>
      <c r="N907" s="29">
        <v>7.55</v>
      </c>
      <c r="O907" s="115">
        <v>7.55</v>
      </c>
      <c r="P907" s="29">
        <v>15.72962807585766</v>
      </c>
      <c r="Q907" s="29">
        <v>1</v>
      </c>
      <c r="R907" s="29">
        <v>86.6</v>
      </c>
      <c r="S907" s="29">
        <v>0.8</v>
      </c>
      <c r="T907" s="29">
        <v>10</v>
      </c>
      <c r="U907" s="29">
        <v>0</v>
      </c>
      <c r="V907" s="29">
        <v>0</v>
      </c>
      <c r="W907" s="29">
        <v>0</v>
      </c>
      <c r="X907" s="29">
        <v>0</v>
      </c>
      <c r="Y907" s="29">
        <v>0.8718244803695151</v>
      </c>
      <c r="Z907" s="29">
        <v>0.65386836027713613</v>
      </c>
      <c r="AA907" s="29" t="s">
        <v>1577</v>
      </c>
      <c r="AB907" s="29" t="s">
        <v>1761</v>
      </c>
      <c r="AC907" s="29"/>
      <c r="AD907" s="29"/>
      <c r="AE907" s="29" t="s">
        <v>1760</v>
      </c>
      <c r="AF907" s="29"/>
      <c r="AG907" s="29"/>
    </row>
    <row r="908" spans="1:33">
      <c r="A908" s="29"/>
      <c r="B908" s="29" t="s">
        <v>1575</v>
      </c>
      <c r="C908" s="29" t="s">
        <v>1596</v>
      </c>
      <c r="D908" s="29" t="s">
        <v>845</v>
      </c>
      <c r="E908" s="29" t="s">
        <v>15</v>
      </c>
      <c r="F908" s="29" t="s">
        <v>1155</v>
      </c>
      <c r="G908" s="29" t="s">
        <v>1238</v>
      </c>
      <c r="H908" s="29" t="s">
        <v>1239</v>
      </c>
      <c r="I908" s="116" t="s">
        <v>310</v>
      </c>
      <c r="J908" s="29" t="s">
        <v>41</v>
      </c>
      <c r="K908" s="29">
        <v>0.4</v>
      </c>
      <c r="L908" s="116"/>
      <c r="M908" s="29" t="s">
        <v>311</v>
      </c>
      <c r="N908" s="29">
        <v>2.5</v>
      </c>
      <c r="O908" s="115">
        <v>7.5</v>
      </c>
      <c r="P908" s="29">
        <v>15.826487642259478</v>
      </c>
      <c r="Q908" s="29">
        <v>0.33333333333333331</v>
      </c>
      <c r="R908" s="29">
        <v>85.5</v>
      </c>
      <c r="S908" s="29">
        <v>0.8</v>
      </c>
      <c r="T908" s="29">
        <v>100</v>
      </c>
      <c r="U908" s="29">
        <v>2.9239766081871341</v>
      </c>
      <c r="V908" s="29">
        <v>2.1929824561403501</v>
      </c>
      <c r="W908" s="29">
        <v>0</v>
      </c>
      <c r="X908" s="29">
        <v>0</v>
      </c>
      <c r="Y908" s="29">
        <v>0</v>
      </c>
      <c r="Z908" s="29">
        <v>0</v>
      </c>
      <c r="AA908" s="29" t="s">
        <v>1589</v>
      </c>
      <c r="AB908" s="29"/>
      <c r="AC908" s="29"/>
      <c r="AD908" s="29"/>
      <c r="AE908" s="29" t="s">
        <v>1590</v>
      </c>
      <c r="AF908" s="29"/>
      <c r="AG908" s="29"/>
    </row>
    <row r="909" spans="1:33">
      <c r="A909" s="29"/>
      <c r="B909" s="29" t="s">
        <v>1575</v>
      </c>
      <c r="C909" s="29" t="s">
        <v>1596</v>
      </c>
      <c r="D909" s="29" t="s">
        <v>845</v>
      </c>
      <c r="E909" s="29" t="s">
        <v>321</v>
      </c>
      <c r="F909" s="29" t="s">
        <v>1158</v>
      </c>
      <c r="G909" s="29" t="s">
        <v>1240</v>
      </c>
      <c r="H909" s="29" t="s">
        <v>1239</v>
      </c>
      <c r="I909" s="116" t="s">
        <v>310</v>
      </c>
      <c r="J909" s="29" t="s">
        <v>41</v>
      </c>
      <c r="K909" s="29">
        <v>0.4</v>
      </c>
      <c r="L909" s="116"/>
      <c r="M909" s="29" t="s">
        <v>363</v>
      </c>
      <c r="N909" s="29">
        <v>2.5</v>
      </c>
      <c r="O909" s="115">
        <v>7.5</v>
      </c>
      <c r="P909" s="29">
        <v>15.826487642259478</v>
      </c>
      <c r="Q909" s="29">
        <v>0.33333333333333331</v>
      </c>
      <c r="R909" s="29">
        <v>85.5</v>
      </c>
      <c r="S909" s="29">
        <v>0.8</v>
      </c>
      <c r="T909" s="29">
        <v>10</v>
      </c>
      <c r="U909" s="29">
        <v>0</v>
      </c>
      <c r="V909" s="29">
        <v>0</v>
      </c>
      <c r="W909" s="29">
        <v>0</v>
      </c>
      <c r="X909" s="29">
        <v>0</v>
      </c>
      <c r="Y909" s="29">
        <v>0.29239766081871343</v>
      </c>
      <c r="Z909" s="29">
        <v>0.21929824561403502</v>
      </c>
      <c r="AA909" s="29" t="s">
        <v>1589</v>
      </c>
      <c r="AB909" s="29"/>
      <c r="AC909" s="29"/>
      <c r="AD909" s="29"/>
      <c r="AE909" s="29" t="s">
        <v>1590</v>
      </c>
      <c r="AF909" s="29"/>
      <c r="AG909" s="29"/>
    </row>
    <row r="910" spans="1:33">
      <c r="A910" s="29"/>
      <c r="B910" s="29" t="s">
        <v>1575</v>
      </c>
      <c r="C910" s="29" t="s">
        <v>1596</v>
      </c>
      <c r="D910" s="29" t="s">
        <v>845</v>
      </c>
      <c r="E910" s="29" t="s">
        <v>321</v>
      </c>
      <c r="F910" s="29" t="s">
        <v>1158</v>
      </c>
      <c r="G910" s="29" t="s">
        <v>1241</v>
      </c>
      <c r="H910" s="29" t="s">
        <v>1242</v>
      </c>
      <c r="I910" s="116" t="s">
        <v>310</v>
      </c>
      <c r="J910" s="29" t="s">
        <v>41</v>
      </c>
      <c r="K910" s="29">
        <v>0.4</v>
      </c>
      <c r="L910" s="116"/>
      <c r="M910" s="29" t="s">
        <v>353</v>
      </c>
      <c r="N910" s="29">
        <v>3.63</v>
      </c>
      <c r="O910" s="115">
        <v>7.5</v>
      </c>
      <c r="P910" s="29">
        <v>15.826487642259478</v>
      </c>
      <c r="Q910" s="29">
        <v>0.48399999999999999</v>
      </c>
      <c r="R910" s="29">
        <v>85.5</v>
      </c>
      <c r="S910" s="29">
        <v>0.8</v>
      </c>
      <c r="T910" s="29">
        <v>30</v>
      </c>
      <c r="U910" s="29">
        <v>0</v>
      </c>
      <c r="V910" s="29">
        <v>0</v>
      </c>
      <c r="W910" s="29">
        <v>1.2736842105263158</v>
      </c>
      <c r="X910" s="29">
        <v>0.95526315789473648</v>
      </c>
      <c r="Y910" s="29">
        <v>0</v>
      </c>
      <c r="Z910" s="29">
        <v>0</v>
      </c>
      <c r="AA910" s="29" t="s">
        <v>1589</v>
      </c>
      <c r="AB910" s="29"/>
      <c r="AC910" s="29"/>
      <c r="AD910" s="29"/>
      <c r="AE910" s="29" t="s">
        <v>1590</v>
      </c>
      <c r="AF910" s="29"/>
      <c r="AG910" s="29"/>
    </row>
    <row r="911" spans="1:33">
      <c r="A911" s="29" t="s">
        <v>1636</v>
      </c>
      <c r="B911" s="29" t="s">
        <v>1580</v>
      </c>
      <c r="C911" s="29" t="s">
        <v>1629</v>
      </c>
      <c r="D911" s="29" t="s">
        <v>845</v>
      </c>
      <c r="E911" s="29" t="s">
        <v>15</v>
      </c>
      <c r="F911" s="29" t="s">
        <v>1155</v>
      </c>
      <c r="G911" s="29" t="s">
        <v>1243</v>
      </c>
      <c r="H911" s="29" t="s">
        <v>1244</v>
      </c>
      <c r="I911" s="116" t="s">
        <v>310</v>
      </c>
      <c r="J911" s="29" t="s">
        <v>43</v>
      </c>
      <c r="K911" s="29">
        <v>0.4</v>
      </c>
      <c r="L911" s="116"/>
      <c r="M911" s="29" t="s">
        <v>311</v>
      </c>
      <c r="N911" s="29">
        <v>2.1</v>
      </c>
      <c r="O911" s="115">
        <v>5</v>
      </c>
      <c r="P911" s="29">
        <v>8.9373106685700563</v>
      </c>
      <c r="Q911" s="29">
        <v>0.42000000000000004</v>
      </c>
      <c r="R911" s="29">
        <v>95</v>
      </c>
      <c r="S911" s="29">
        <v>0.85</v>
      </c>
      <c r="T911" s="29">
        <v>100</v>
      </c>
      <c r="U911" s="29">
        <v>2.2105263157894739</v>
      </c>
      <c r="V911" s="29">
        <v>1.3699611691015947</v>
      </c>
      <c r="W911" s="29">
        <v>0</v>
      </c>
      <c r="X911" s="29">
        <v>0</v>
      </c>
      <c r="Y911" s="29">
        <v>0</v>
      </c>
      <c r="Z911" s="29">
        <v>0</v>
      </c>
      <c r="AA911" s="29"/>
      <c r="AB911" s="29"/>
      <c r="AC911" s="29"/>
      <c r="AD911" s="29" t="s">
        <v>1630</v>
      </c>
      <c r="AE911" s="29" t="s">
        <v>1631</v>
      </c>
      <c r="AF911" s="29"/>
      <c r="AG911" s="29"/>
    </row>
    <row r="912" spans="1:33">
      <c r="A912" s="29" t="s">
        <v>1636</v>
      </c>
      <c r="B912" s="29" t="s">
        <v>1580</v>
      </c>
      <c r="C912" s="29" t="s">
        <v>1629</v>
      </c>
      <c r="D912" s="29" t="s">
        <v>845</v>
      </c>
      <c r="E912" s="29" t="s">
        <v>15</v>
      </c>
      <c r="F912" s="29" t="s">
        <v>1155</v>
      </c>
      <c r="G912" s="29" t="s">
        <v>1245</v>
      </c>
      <c r="H912" s="29" t="s">
        <v>1246</v>
      </c>
      <c r="I912" s="116" t="s">
        <v>310</v>
      </c>
      <c r="J912" s="29" t="s">
        <v>43</v>
      </c>
      <c r="K912" s="29">
        <v>0.4</v>
      </c>
      <c r="L912" s="116"/>
      <c r="M912" s="29" t="s">
        <v>311</v>
      </c>
      <c r="N912" s="29">
        <v>2.1</v>
      </c>
      <c r="O912" s="115">
        <v>5</v>
      </c>
      <c r="P912" s="29">
        <v>8.9373106685700563</v>
      </c>
      <c r="Q912" s="29">
        <v>0.42000000000000004</v>
      </c>
      <c r="R912" s="29">
        <v>95</v>
      </c>
      <c r="S912" s="29">
        <v>0.85</v>
      </c>
      <c r="T912" s="29">
        <v>100</v>
      </c>
      <c r="U912" s="29">
        <v>2.2105263157894739</v>
      </c>
      <c r="V912" s="29">
        <v>1.3699611691015947</v>
      </c>
      <c r="W912" s="29">
        <v>0</v>
      </c>
      <c r="X912" s="29">
        <v>0</v>
      </c>
      <c r="Y912" s="29">
        <v>0</v>
      </c>
      <c r="Z912" s="29">
        <v>0</v>
      </c>
      <c r="AA912" s="29"/>
      <c r="AB912" s="29"/>
      <c r="AC912" s="29"/>
      <c r="AD912" s="29" t="s">
        <v>1632</v>
      </c>
      <c r="AE912" s="29" t="s">
        <v>1583</v>
      </c>
      <c r="AF912" s="29"/>
      <c r="AG912" s="29"/>
    </row>
    <row r="913" spans="1:33">
      <c r="A913" s="29" t="s">
        <v>1636</v>
      </c>
      <c r="B913" s="29" t="s">
        <v>1580</v>
      </c>
      <c r="C913" s="29" t="s">
        <v>1581</v>
      </c>
      <c r="D913" s="29" t="s">
        <v>845</v>
      </c>
      <c r="E913" s="29" t="s">
        <v>15</v>
      </c>
      <c r="F913" s="29" t="s">
        <v>1155</v>
      </c>
      <c r="G913" s="29" t="s">
        <v>1247</v>
      </c>
      <c r="H913" s="29" t="s">
        <v>1248</v>
      </c>
      <c r="I913" s="116" t="s">
        <v>310</v>
      </c>
      <c r="J913" s="29" t="s">
        <v>43</v>
      </c>
      <c r="K913" s="29">
        <v>0.4</v>
      </c>
      <c r="L913" s="116"/>
      <c r="M913" s="29" t="s">
        <v>311</v>
      </c>
      <c r="N913" s="29">
        <v>26.5</v>
      </c>
      <c r="O913" s="115">
        <v>30</v>
      </c>
      <c r="P913" s="29">
        <v>53.623864011420338</v>
      </c>
      <c r="Q913" s="29">
        <v>0.8833333333333333</v>
      </c>
      <c r="R913" s="29">
        <v>95</v>
      </c>
      <c r="S913" s="29">
        <v>0.85</v>
      </c>
      <c r="T913" s="29">
        <v>100</v>
      </c>
      <c r="U913" s="29">
        <v>27.89473684210526</v>
      </c>
      <c r="V913" s="29">
        <v>17.287605229139167</v>
      </c>
      <c r="W913" s="29">
        <v>0</v>
      </c>
      <c r="X913" s="29">
        <v>0</v>
      </c>
      <c r="Y913" s="29">
        <v>0</v>
      </c>
      <c r="Z913" s="29">
        <v>0</v>
      </c>
      <c r="AA913" s="29"/>
      <c r="AB913" s="29"/>
      <c r="AC913" s="29"/>
      <c r="AD913" s="29"/>
      <c r="AE913" s="29" t="s">
        <v>1583</v>
      </c>
      <c r="AF913" s="29"/>
      <c r="AG913" s="29"/>
    </row>
    <row r="914" spans="1:33">
      <c r="A914" s="29" t="s">
        <v>1636</v>
      </c>
      <c r="B914" s="29" t="s">
        <v>1580</v>
      </c>
      <c r="C914" s="29" t="s">
        <v>1581</v>
      </c>
      <c r="D914" s="29" t="s">
        <v>845</v>
      </c>
      <c r="E914" s="29" t="s">
        <v>321</v>
      </c>
      <c r="F914" s="29" t="s">
        <v>1158</v>
      </c>
      <c r="G914" s="29" t="s">
        <v>1249</v>
      </c>
      <c r="H914" s="29" t="s">
        <v>1250</v>
      </c>
      <c r="I914" s="116" t="s">
        <v>310</v>
      </c>
      <c r="J914" s="29" t="s">
        <v>43</v>
      </c>
      <c r="K914" s="29">
        <v>0.4</v>
      </c>
      <c r="L914" s="116"/>
      <c r="M914" s="29" t="s">
        <v>311</v>
      </c>
      <c r="N914" s="29">
        <v>29</v>
      </c>
      <c r="O914" s="115">
        <v>30</v>
      </c>
      <c r="P914" s="29">
        <v>53.623864011420338</v>
      </c>
      <c r="Q914" s="29">
        <v>0.96666666666666667</v>
      </c>
      <c r="R914" s="29">
        <v>95</v>
      </c>
      <c r="S914" s="29">
        <v>0.85</v>
      </c>
      <c r="T914" s="29">
        <v>100</v>
      </c>
      <c r="U914" s="29">
        <v>30.526315789473685</v>
      </c>
      <c r="V914" s="29">
        <v>18.918511382831543</v>
      </c>
      <c r="W914" s="29">
        <v>0</v>
      </c>
      <c r="X914" s="29">
        <v>0</v>
      </c>
      <c r="Y914" s="29">
        <v>0</v>
      </c>
      <c r="Z914" s="29">
        <v>0</v>
      </c>
      <c r="AA914" s="29"/>
      <c r="AB914" s="29"/>
      <c r="AC914" s="29"/>
      <c r="AD914" s="29"/>
      <c r="AE914" s="29" t="s">
        <v>1583</v>
      </c>
      <c r="AF914" s="29"/>
      <c r="AG914" s="29"/>
    </row>
    <row r="915" spans="1:33">
      <c r="A915" s="29" t="s">
        <v>1636</v>
      </c>
      <c r="B915" s="29" t="s">
        <v>1580</v>
      </c>
      <c r="C915" s="29" t="s">
        <v>1633</v>
      </c>
      <c r="D915" s="29" t="s">
        <v>845</v>
      </c>
      <c r="E915" s="29" t="s">
        <v>15</v>
      </c>
      <c r="F915" s="29" t="s">
        <v>1155</v>
      </c>
      <c r="G915" s="29" t="s">
        <v>1251</v>
      </c>
      <c r="H915" s="29" t="s">
        <v>1252</v>
      </c>
      <c r="I915" s="116" t="s">
        <v>310</v>
      </c>
      <c r="J915" s="29" t="s">
        <v>43</v>
      </c>
      <c r="K915" s="29">
        <v>0.4</v>
      </c>
      <c r="L915" s="116"/>
      <c r="M915" s="29" t="s">
        <v>311</v>
      </c>
      <c r="N915" s="29">
        <v>24.5</v>
      </c>
      <c r="O915" s="115">
        <v>30</v>
      </c>
      <c r="P915" s="29">
        <v>53.623864011420338</v>
      </c>
      <c r="Q915" s="29">
        <v>0.81666666666666665</v>
      </c>
      <c r="R915" s="29">
        <v>95</v>
      </c>
      <c r="S915" s="29">
        <v>0.85</v>
      </c>
      <c r="T915" s="29">
        <v>100</v>
      </c>
      <c r="U915" s="29">
        <v>25.789473684210527</v>
      </c>
      <c r="V915" s="29">
        <v>15.982880306185271</v>
      </c>
      <c r="W915" s="29">
        <v>0</v>
      </c>
      <c r="X915" s="29">
        <v>0</v>
      </c>
      <c r="Y915" s="29">
        <v>0</v>
      </c>
      <c r="Z915" s="29">
        <v>0</v>
      </c>
      <c r="AA915" s="29"/>
      <c r="AB915" s="29"/>
      <c r="AC915" s="29"/>
      <c r="AD915" s="29"/>
      <c r="AE915" s="29" t="s">
        <v>1583</v>
      </c>
      <c r="AF915" s="29"/>
      <c r="AG915" s="29"/>
    </row>
    <row r="916" spans="1:33">
      <c r="A916" s="29" t="s">
        <v>1636</v>
      </c>
      <c r="B916" s="29" t="s">
        <v>1580</v>
      </c>
      <c r="C916" s="29" t="s">
        <v>1633</v>
      </c>
      <c r="D916" s="29" t="s">
        <v>845</v>
      </c>
      <c r="E916" s="29" t="s">
        <v>321</v>
      </c>
      <c r="F916" s="29" t="s">
        <v>1158</v>
      </c>
      <c r="G916" s="29" t="s">
        <v>1253</v>
      </c>
      <c r="H916" s="29" t="s">
        <v>1254</v>
      </c>
      <c r="I916" s="116" t="s">
        <v>310</v>
      </c>
      <c r="J916" s="29" t="s">
        <v>43</v>
      </c>
      <c r="K916" s="29">
        <v>0.4</v>
      </c>
      <c r="L916" s="116"/>
      <c r="M916" s="29" t="s">
        <v>311</v>
      </c>
      <c r="N916" s="29">
        <v>26</v>
      </c>
      <c r="O916" s="115">
        <v>30</v>
      </c>
      <c r="P916" s="29">
        <v>53.623864011420338</v>
      </c>
      <c r="Q916" s="29">
        <v>0.8666666666666667</v>
      </c>
      <c r="R916" s="29">
        <v>95</v>
      </c>
      <c r="S916" s="29">
        <v>0.85</v>
      </c>
      <c r="T916" s="29">
        <v>100</v>
      </c>
      <c r="U916" s="29">
        <v>27.368421052631582</v>
      </c>
      <c r="V916" s="29">
        <v>16.961423998400697</v>
      </c>
      <c r="W916" s="29">
        <v>0</v>
      </c>
      <c r="X916" s="29">
        <v>0</v>
      </c>
      <c r="Y916" s="29">
        <v>0</v>
      </c>
      <c r="Z916" s="29">
        <v>0</v>
      </c>
      <c r="AA916" s="29"/>
      <c r="AB916" s="29"/>
      <c r="AC916" s="29"/>
      <c r="AD916" s="29"/>
      <c r="AE916" s="29" t="s">
        <v>1583</v>
      </c>
      <c r="AF916" s="29"/>
      <c r="AG916" s="29"/>
    </row>
    <row r="917" spans="1:33">
      <c r="A917" s="29" t="s">
        <v>1636</v>
      </c>
      <c r="B917" s="29" t="s">
        <v>1580</v>
      </c>
      <c r="C917" s="29" t="s">
        <v>1633</v>
      </c>
      <c r="D917" s="29" t="s">
        <v>845</v>
      </c>
      <c r="E917" s="29" t="s">
        <v>321</v>
      </c>
      <c r="F917" s="29" t="s">
        <v>1158</v>
      </c>
      <c r="G917" s="29" t="s">
        <v>1255</v>
      </c>
      <c r="H917" s="29" t="s">
        <v>1256</v>
      </c>
      <c r="I917" s="116" t="s">
        <v>310</v>
      </c>
      <c r="J917" s="29" t="s">
        <v>43</v>
      </c>
      <c r="K917" s="29">
        <v>0.4</v>
      </c>
      <c r="L917" s="116"/>
      <c r="M917" s="29" t="s">
        <v>311</v>
      </c>
      <c r="N917" s="29">
        <v>24</v>
      </c>
      <c r="O917" s="115">
        <v>30</v>
      </c>
      <c r="P917" s="29">
        <v>53.623864011420338</v>
      </c>
      <c r="Q917" s="29">
        <v>0.8</v>
      </c>
      <c r="R917" s="29">
        <v>95</v>
      </c>
      <c r="S917" s="29">
        <v>0.85</v>
      </c>
      <c r="T917" s="29">
        <v>100</v>
      </c>
      <c r="U917" s="29">
        <v>25.263157894736842</v>
      </c>
      <c r="V917" s="29">
        <v>15.656699075446795</v>
      </c>
      <c r="W917" s="29">
        <v>0</v>
      </c>
      <c r="X917" s="29">
        <v>0</v>
      </c>
      <c r="Y917" s="29">
        <v>0</v>
      </c>
      <c r="Z917" s="29">
        <v>0</v>
      </c>
      <c r="AA917" s="29"/>
      <c r="AB917" s="29"/>
      <c r="AC917" s="29"/>
      <c r="AD917" s="29"/>
      <c r="AE917" s="29" t="s">
        <v>1583</v>
      </c>
      <c r="AF917" s="29"/>
      <c r="AG917" s="29"/>
    </row>
    <row r="918" spans="1:33">
      <c r="A918" s="29" t="s">
        <v>1636</v>
      </c>
      <c r="B918" s="29" t="s">
        <v>1580</v>
      </c>
      <c r="C918" s="29" t="s">
        <v>1633</v>
      </c>
      <c r="D918" s="29" t="s">
        <v>845</v>
      </c>
      <c r="E918" s="29" t="s">
        <v>15</v>
      </c>
      <c r="F918" s="29" t="s">
        <v>1155</v>
      </c>
      <c r="G918" s="29" t="s">
        <v>1257</v>
      </c>
      <c r="H918" s="29" t="s">
        <v>1258</v>
      </c>
      <c r="I918" s="116" t="s">
        <v>310</v>
      </c>
      <c r="J918" s="29" t="s">
        <v>43</v>
      </c>
      <c r="K918" s="29">
        <v>0.4</v>
      </c>
      <c r="L918" s="116"/>
      <c r="M918" s="29" t="s">
        <v>311</v>
      </c>
      <c r="N918" s="29">
        <v>40</v>
      </c>
      <c r="O918" s="115">
        <v>50</v>
      </c>
      <c r="P918" s="29">
        <v>89.373106685700563</v>
      </c>
      <c r="Q918" s="29">
        <v>0.8</v>
      </c>
      <c r="R918" s="29">
        <v>95</v>
      </c>
      <c r="S918" s="29">
        <v>0.85</v>
      </c>
      <c r="T918" s="29">
        <v>100</v>
      </c>
      <c r="U918" s="29">
        <v>42.105263157894733</v>
      </c>
      <c r="V918" s="29">
        <v>26.09449845907799</v>
      </c>
      <c r="W918" s="29">
        <v>0</v>
      </c>
      <c r="X918" s="29">
        <v>0</v>
      </c>
      <c r="Y918" s="29">
        <v>0</v>
      </c>
      <c r="Z918" s="29">
        <v>0</v>
      </c>
      <c r="AA918" s="29"/>
      <c r="AB918" s="29"/>
      <c r="AC918" s="29"/>
      <c r="AD918" s="29"/>
      <c r="AE918" s="29" t="s">
        <v>1583</v>
      </c>
      <c r="AF918" s="29"/>
      <c r="AG918" s="29"/>
    </row>
    <row r="919" spans="1:33">
      <c r="A919" s="29" t="s">
        <v>1636</v>
      </c>
      <c r="B919" s="29" t="s">
        <v>1580</v>
      </c>
      <c r="C919" s="29" t="s">
        <v>1581</v>
      </c>
      <c r="D919" s="29" t="s">
        <v>845</v>
      </c>
      <c r="E919" s="29" t="s">
        <v>15</v>
      </c>
      <c r="F919" s="29" t="s">
        <v>1155</v>
      </c>
      <c r="G919" s="29" t="s">
        <v>1259</v>
      </c>
      <c r="H919" s="29" t="s">
        <v>1260</v>
      </c>
      <c r="I919" s="116" t="s">
        <v>310</v>
      </c>
      <c r="J919" s="29" t="s">
        <v>43</v>
      </c>
      <c r="K919" s="29">
        <v>0.4</v>
      </c>
      <c r="L919" s="116"/>
      <c r="M919" s="29" t="s">
        <v>311</v>
      </c>
      <c r="N919" s="29">
        <v>23</v>
      </c>
      <c r="O919" s="115">
        <v>30</v>
      </c>
      <c r="P919" s="29">
        <v>53.623864011420338</v>
      </c>
      <c r="Q919" s="29">
        <v>0.76666666666666672</v>
      </c>
      <c r="R919" s="29">
        <v>95</v>
      </c>
      <c r="S919" s="29">
        <v>0.85</v>
      </c>
      <c r="T919" s="29">
        <v>100</v>
      </c>
      <c r="U919" s="29">
        <v>24.210526315789473</v>
      </c>
      <c r="V919" s="29">
        <v>15.004336613969844</v>
      </c>
      <c r="W919" s="29">
        <v>0</v>
      </c>
      <c r="X919" s="29">
        <v>0</v>
      </c>
      <c r="Y919" s="29">
        <v>0</v>
      </c>
      <c r="Z919" s="29">
        <v>0</v>
      </c>
      <c r="AA919" s="29"/>
      <c r="AB919" s="29"/>
      <c r="AC919" s="29"/>
      <c r="AD919" s="29"/>
      <c r="AE919" s="29" t="s">
        <v>1583</v>
      </c>
      <c r="AF919" s="29"/>
      <c r="AG919" s="29"/>
    </row>
    <row r="920" spans="1:33">
      <c r="A920" s="29" t="s">
        <v>1636</v>
      </c>
      <c r="B920" s="29" t="s">
        <v>1580</v>
      </c>
      <c r="C920" s="29" t="s">
        <v>1581</v>
      </c>
      <c r="D920" s="29" t="s">
        <v>845</v>
      </c>
      <c r="E920" s="29" t="s">
        <v>321</v>
      </c>
      <c r="F920" s="29" t="s">
        <v>1158</v>
      </c>
      <c r="G920" s="29" t="s">
        <v>1261</v>
      </c>
      <c r="H920" s="29" t="s">
        <v>1262</v>
      </c>
      <c r="I920" s="116" t="s">
        <v>310</v>
      </c>
      <c r="J920" s="29" t="s">
        <v>43</v>
      </c>
      <c r="K920" s="29">
        <v>0.4</v>
      </c>
      <c r="L920" s="116"/>
      <c r="M920" s="29" t="s">
        <v>311</v>
      </c>
      <c r="N920" s="29">
        <v>24</v>
      </c>
      <c r="O920" s="115">
        <v>30</v>
      </c>
      <c r="P920" s="29">
        <v>53.623864011420338</v>
      </c>
      <c r="Q920" s="29">
        <v>0.8</v>
      </c>
      <c r="R920" s="29">
        <v>95</v>
      </c>
      <c r="S920" s="29">
        <v>0.85</v>
      </c>
      <c r="T920" s="29">
        <v>100</v>
      </c>
      <c r="U920" s="29">
        <v>25.263157894736842</v>
      </c>
      <c r="V920" s="29">
        <v>15.656699075446795</v>
      </c>
      <c r="W920" s="29">
        <v>0</v>
      </c>
      <c r="X920" s="29">
        <v>0</v>
      </c>
      <c r="Y920" s="29">
        <v>0</v>
      </c>
      <c r="Z920" s="29">
        <v>0</v>
      </c>
      <c r="AA920" s="29"/>
      <c r="AB920" s="29"/>
      <c r="AC920" s="29"/>
      <c r="AD920" s="29"/>
      <c r="AE920" s="29" t="s">
        <v>1583</v>
      </c>
      <c r="AF920" s="29"/>
      <c r="AG920" s="29"/>
    </row>
    <row r="921" spans="1:33">
      <c r="A921" s="29" t="s">
        <v>1636</v>
      </c>
      <c r="B921" s="29" t="s">
        <v>1580</v>
      </c>
      <c r="C921" s="29" t="s">
        <v>1596</v>
      </c>
      <c r="D921" s="29" t="s">
        <v>845</v>
      </c>
      <c r="E921" s="29" t="s">
        <v>15</v>
      </c>
      <c r="F921" s="29" t="s">
        <v>1155</v>
      </c>
      <c r="G921" s="29" t="s">
        <v>1263</v>
      </c>
      <c r="H921" s="29" t="s">
        <v>1264</v>
      </c>
      <c r="I921" s="116" t="s">
        <v>310</v>
      </c>
      <c r="J921" s="29" t="s">
        <v>43</v>
      </c>
      <c r="K921" s="29">
        <v>0.4</v>
      </c>
      <c r="L921" s="116"/>
      <c r="M921" s="29" t="s">
        <v>311</v>
      </c>
      <c r="N921" s="29">
        <v>28</v>
      </c>
      <c r="O921" s="115">
        <v>30</v>
      </c>
      <c r="P921" s="29">
        <v>53.623864011420338</v>
      </c>
      <c r="Q921" s="29">
        <v>0.93333333333333335</v>
      </c>
      <c r="R921" s="29">
        <v>95</v>
      </c>
      <c r="S921" s="29">
        <v>0.85</v>
      </c>
      <c r="T921" s="29">
        <v>100</v>
      </c>
      <c r="U921" s="29">
        <v>29.473684210526311</v>
      </c>
      <c r="V921" s="29">
        <v>18.266148921354592</v>
      </c>
      <c r="W921" s="29">
        <v>0</v>
      </c>
      <c r="X921" s="29">
        <v>0</v>
      </c>
      <c r="Y921" s="29">
        <v>0</v>
      </c>
      <c r="Z921" s="29">
        <v>0</v>
      </c>
      <c r="AA921" s="29"/>
      <c r="AB921" s="29"/>
      <c r="AC921" s="29"/>
      <c r="AD921" s="29"/>
      <c r="AE921" s="29" t="s">
        <v>1583</v>
      </c>
      <c r="AF921" s="29"/>
      <c r="AG921" s="29"/>
    </row>
    <row r="922" spans="1:33">
      <c r="A922" s="29" t="s">
        <v>1636</v>
      </c>
      <c r="B922" s="29" t="s">
        <v>1580</v>
      </c>
      <c r="C922" s="29" t="s">
        <v>1596</v>
      </c>
      <c r="D922" s="29" t="s">
        <v>845</v>
      </c>
      <c r="E922" s="29" t="s">
        <v>321</v>
      </c>
      <c r="F922" s="29" t="s">
        <v>1158</v>
      </c>
      <c r="G922" s="29" t="s">
        <v>1265</v>
      </c>
      <c r="H922" s="29" t="s">
        <v>1266</v>
      </c>
      <c r="I922" s="116" t="s">
        <v>310</v>
      </c>
      <c r="J922" s="29" t="s">
        <v>43</v>
      </c>
      <c r="K922" s="29">
        <v>0.4</v>
      </c>
      <c r="L922" s="116"/>
      <c r="M922" s="29" t="s">
        <v>311</v>
      </c>
      <c r="N922" s="29">
        <v>25</v>
      </c>
      <c r="O922" s="115">
        <v>30</v>
      </c>
      <c r="P922" s="29">
        <v>53.623864011420338</v>
      </c>
      <c r="Q922" s="29">
        <v>0.83333333333333337</v>
      </c>
      <c r="R922" s="29">
        <v>95</v>
      </c>
      <c r="S922" s="29">
        <v>0.85</v>
      </c>
      <c r="T922" s="29">
        <v>100</v>
      </c>
      <c r="U922" s="29">
        <v>26.315789473684209</v>
      </c>
      <c r="V922" s="29">
        <v>16.309061536923743</v>
      </c>
      <c r="W922" s="29">
        <v>0</v>
      </c>
      <c r="X922" s="29">
        <v>0</v>
      </c>
      <c r="Y922" s="29">
        <v>0</v>
      </c>
      <c r="Z922" s="29">
        <v>0</v>
      </c>
      <c r="AA922" s="29"/>
      <c r="AB922" s="29"/>
      <c r="AC922" s="29"/>
      <c r="AD922" s="29"/>
      <c r="AE922" s="29" t="s">
        <v>1583</v>
      </c>
      <c r="AF922" s="29"/>
      <c r="AG922" s="29"/>
    </row>
    <row r="923" spans="1:33">
      <c r="A923" s="29" t="s">
        <v>1636</v>
      </c>
      <c r="B923" s="29" t="s">
        <v>1580</v>
      </c>
      <c r="C923" s="29" t="s">
        <v>1581</v>
      </c>
      <c r="D923" s="29" t="s">
        <v>845</v>
      </c>
      <c r="E923" s="29" t="s">
        <v>15</v>
      </c>
      <c r="F923" s="29" t="s">
        <v>1155</v>
      </c>
      <c r="G923" s="29" t="s">
        <v>1267</v>
      </c>
      <c r="H923" s="29" t="s">
        <v>1268</v>
      </c>
      <c r="I923" s="116" t="s">
        <v>310</v>
      </c>
      <c r="J923" s="29" t="s">
        <v>20</v>
      </c>
      <c r="K923" s="29">
        <v>0.4</v>
      </c>
      <c r="L923" s="116"/>
      <c r="M923" s="29" t="s">
        <v>311</v>
      </c>
      <c r="N923" s="29"/>
      <c r="O923" s="115"/>
      <c r="P923" s="29"/>
      <c r="Q923" s="29"/>
      <c r="R923" s="29"/>
      <c r="S923" s="29"/>
      <c r="T923" s="29">
        <v>100</v>
      </c>
      <c r="U923" s="29">
        <v>0</v>
      </c>
      <c r="V923" s="29">
        <v>0</v>
      </c>
      <c r="W923" s="29">
        <v>0</v>
      </c>
      <c r="X923" s="29">
        <v>0</v>
      </c>
      <c r="Y923" s="29">
        <v>59.726652631578972</v>
      </c>
      <c r="Z923" s="29">
        <v>0</v>
      </c>
      <c r="AA923" s="29"/>
      <c r="AB923" s="29"/>
      <c r="AC923" s="29"/>
      <c r="AD923" s="29"/>
      <c r="AE923" s="29" t="s">
        <v>1762</v>
      </c>
      <c r="AF923" s="29"/>
      <c r="AG923" s="29"/>
    </row>
    <row r="924" spans="1:33">
      <c r="A924" s="29" t="s">
        <v>1763</v>
      </c>
      <c r="B924" s="29" t="s">
        <v>1580</v>
      </c>
      <c r="C924" s="29" t="s">
        <v>1629</v>
      </c>
      <c r="D924" s="29" t="s">
        <v>845</v>
      </c>
      <c r="E924" s="29" t="s">
        <v>321</v>
      </c>
      <c r="F924" s="29" t="s">
        <v>1158</v>
      </c>
      <c r="G924" s="29" t="s">
        <v>1271</v>
      </c>
      <c r="H924" s="29" t="s">
        <v>1272</v>
      </c>
      <c r="I924" s="116" t="s">
        <v>310</v>
      </c>
      <c r="J924" s="29" t="s">
        <v>43</v>
      </c>
      <c r="K924" s="29">
        <v>0.4</v>
      </c>
      <c r="L924" s="116"/>
      <c r="M924" s="29"/>
      <c r="N924" s="29"/>
      <c r="O924" s="115"/>
      <c r="P924" s="29"/>
      <c r="Q924" s="29"/>
      <c r="R924" s="29"/>
      <c r="S924" s="29"/>
      <c r="T924" s="29"/>
      <c r="U924" s="29">
        <v>0</v>
      </c>
      <c r="V924" s="29">
        <v>0</v>
      </c>
      <c r="W924" s="29">
        <v>12.599999999999998</v>
      </c>
      <c r="X924" s="29">
        <v>7.808778663879087</v>
      </c>
      <c r="Y924" s="29">
        <v>0</v>
      </c>
      <c r="Z924" s="29">
        <v>0</v>
      </c>
      <c r="AA924" s="29"/>
      <c r="AB924" s="29"/>
      <c r="AC924" s="29"/>
      <c r="AD924" s="29"/>
      <c r="AE924" s="29" t="s">
        <v>1764</v>
      </c>
      <c r="AF924" s="29"/>
      <c r="AG924" s="29"/>
    </row>
    <row r="925" spans="1:33">
      <c r="A925" s="29" t="s">
        <v>1757</v>
      </c>
      <c r="B925" s="29" t="s">
        <v>1595</v>
      </c>
      <c r="C925" s="29" t="s">
        <v>1581</v>
      </c>
      <c r="D925" s="29" t="s">
        <v>845</v>
      </c>
      <c r="E925" s="29" t="s">
        <v>15</v>
      </c>
      <c r="F925" s="29" t="s">
        <v>1155</v>
      </c>
      <c r="G925" s="29" t="s">
        <v>1273</v>
      </c>
      <c r="H925" s="29" t="s">
        <v>830</v>
      </c>
      <c r="I925" s="116" t="s">
        <v>310</v>
      </c>
      <c r="J925" s="29" t="s">
        <v>41</v>
      </c>
      <c r="K925" s="29">
        <v>0.4</v>
      </c>
      <c r="L925" s="116"/>
      <c r="M925" s="29" t="s">
        <v>353</v>
      </c>
      <c r="N925" s="29">
        <v>2.2000000000000002</v>
      </c>
      <c r="O925" s="115">
        <v>2.2000000000000002</v>
      </c>
      <c r="P925" s="29">
        <v>4.7085208786223935</v>
      </c>
      <c r="Q925" s="29">
        <v>1</v>
      </c>
      <c r="R925" s="29">
        <v>84.3</v>
      </c>
      <c r="S925" s="29">
        <v>0.8</v>
      </c>
      <c r="T925" s="29">
        <v>30</v>
      </c>
      <c r="U925" s="29">
        <v>0</v>
      </c>
      <c r="V925" s="29">
        <v>0</v>
      </c>
      <c r="W925" s="29">
        <v>0.7829181494661922</v>
      </c>
      <c r="X925" s="29">
        <v>0.58718861209964401</v>
      </c>
      <c r="Y925" s="29">
        <v>0</v>
      </c>
      <c r="Z925" s="29">
        <v>0</v>
      </c>
      <c r="AA925" s="29" t="s">
        <v>1589</v>
      </c>
      <c r="AB925" s="29"/>
      <c r="AC925" s="29"/>
      <c r="AD925" s="29"/>
      <c r="AE925" s="29" t="s">
        <v>1765</v>
      </c>
      <c r="AF925" s="29"/>
      <c r="AG925" s="29"/>
    </row>
    <row r="926" spans="1:33">
      <c r="A926" s="29" t="s">
        <v>1757</v>
      </c>
      <c r="B926" s="29" t="s">
        <v>1595</v>
      </c>
      <c r="C926" s="29" t="s">
        <v>1581</v>
      </c>
      <c r="D926" s="29" t="s">
        <v>845</v>
      </c>
      <c r="E926" s="29" t="s">
        <v>321</v>
      </c>
      <c r="F926" s="29" t="s">
        <v>1158</v>
      </c>
      <c r="G926" s="29" t="s">
        <v>1274</v>
      </c>
      <c r="H926" s="29" t="s">
        <v>939</v>
      </c>
      <c r="I926" s="116" t="s">
        <v>310</v>
      </c>
      <c r="J926" s="29" t="s">
        <v>41</v>
      </c>
      <c r="K926" s="29">
        <v>0.4</v>
      </c>
      <c r="L926" s="116"/>
      <c r="M926" s="29" t="s">
        <v>363</v>
      </c>
      <c r="N926" s="29">
        <v>2.2000000000000002</v>
      </c>
      <c r="O926" s="115">
        <v>2.2000000000000002</v>
      </c>
      <c r="P926" s="29">
        <v>4.7085208786223935</v>
      </c>
      <c r="Q926" s="29">
        <v>1</v>
      </c>
      <c r="R926" s="29">
        <v>84.3</v>
      </c>
      <c r="S926" s="29">
        <v>0.8</v>
      </c>
      <c r="T926" s="29">
        <v>10</v>
      </c>
      <c r="U926" s="29">
        <v>0</v>
      </c>
      <c r="V926" s="29">
        <v>0</v>
      </c>
      <c r="W926" s="29">
        <v>0</v>
      </c>
      <c r="X926" s="29">
        <v>0</v>
      </c>
      <c r="Y926" s="29">
        <v>0.26097271648873077</v>
      </c>
      <c r="Z926" s="29">
        <v>0.19572953736654802</v>
      </c>
      <c r="AA926" s="29" t="s">
        <v>1589</v>
      </c>
      <c r="AB926" s="29"/>
      <c r="AC926" s="29"/>
      <c r="AD926" s="29"/>
      <c r="AE926" s="29" t="s">
        <v>1765</v>
      </c>
      <c r="AF926" s="29"/>
      <c r="AG926" s="29"/>
    </row>
    <row r="927" spans="1:33">
      <c r="A927" s="29"/>
      <c r="B927" s="29" t="s">
        <v>1575</v>
      </c>
      <c r="C927" s="29" t="s">
        <v>1596</v>
      </c>
      <c r="D927" s="29" t="s">
        <v>845</v>
      </c>
      <c r="E927" s="29" t="s">
        <v>15</v>
      </c>
      <c r="F927" s="29" t="s">
        <v>1155</v>
      </c>
      <c r="G927" s="29" t="s">
        <v>1275</v>
      </c>
      <c r="H927" s="29" t="s">
        <v>1276</v>
      </c>
      <c r="I927" s="116" t="s">
        <v>310</v>
      </c>
      <c r="J927" s="29" t="s">
        <v>16</v>
      </c>
      <c r="K927" s="29">
        <v>0.4</v>
      </c>
      <c r="L927" s="116"/>
      <c r="M927" s="29" t="s">
        <v>311</v>
      </c>
      <c r="N927" s="29">
        <v>79.2</v>
      </c>
      <c r="O927" s="115">
        <v>90</v>
      </c>
      <c r="P927" s="29">
        <v>163.45241971395507</v>
      </c>
      <c r="Q927" s="29">
        <v>0.88</v>
      </c>
      <c r="R927" s="29">
        <v>93.5</v>
      </c>
      <c r="S927" s="29">
        <v>0.85</v>
      </c>
      <c r="T927" s="29">
        <v>100</v>
      </c>
      <c r="U927" s="29">
        <v>84.705882352941174</v>
      </c>
      <c r="V927" s="29">
        <v>52.495991017674541</v>
      </c>
      <c r="W927" s="29">
        <v>0</v>
      </c>
      <c r="X927" s="29">
        <v>0</v>
      </c>
      <c r="Y927" s="29">
        <v>0</v>
      </c>
      <c r="Z927" s="29">
        <v>0</v>
      </c>
      <c r="AA927" s="29" t="s">
        <v>1589</v>
      </c>
      <c r="AB927" s="29"/>
      <c r="AC927" s="29"/>
      <c r="AD927" s="29"/>
      <c r="AE927" s="29" t="s">
        <v>1590</v>
      </c>
      <c r="AF927" s="29"/>
      <c r="AG927" s="29"/>
    </row>
    <row r="928" spans="1:33">
      <c r="A928" s="29"/>
      <c r="B928" s="29" t="s">
        <v>1575</v>
      </c>
      <c r="C928" s="29" t="s">
        <v>1596</v>
      </c>
      <c r="D928" s="29" t="s">
        <v>845</v>
      </c>
      <c r="E928" s="29" t="s">
        <v>321</v>
      </c>
      <c r="F928" s="29" t="s">
        <v>1158</v>
      </c>
      <c r="G928" s="29" t="s">
        <v>1277</v>
      </c>
      <c r="H928" s="29" t="s">
        <v>1276</v>
      </c>
      <c r="I928" s="116" t="s">
        <v>310</v>
      </c>
      <c r="J928" s="29" t="s">
        <v>16</v>
      </c>
      <c r="K928" s="29">
        <v>0.4</v>
      </c>
      <c r="L928" s="116"/>
      <c r="M928" s="29" t="s">
        <v>363</v>
      </c>
      <c r="N928" s="29">
        <v>79.2</v>
      </c>
      <c r="O928" s="115">
        <v>90</v>
      </c>
      <c r="P928" s="29">
        <v>163.45241971395507</v>
      </c>
      <c r="Q928" s="29">
        <v>0.88</v>
      </c>
      <c r="R928" s="29">
        <v>93.5</v>
      </c>
      <c r="S928" s="29">
        <v>0.85</v>
      </c>
      <c r="T928" s="29">
        <v>10</v>
      </c>
      <c r="U928" s="29">
        <v>0</v>
      </c>
      <c r="V928" s="29">
        <v>0</v>
      </c>
      <c r="W928" s="29">
        <v>0</v>
      </c>
      <c r="X928" s="29">
        <v>0</v>
      </c>
      <c r="Y928" s="29">
        <v>8.4705882352941178</v>
      </c>
      <c r="Z928" s="29">
        <v>5.2495991017674548</v>
      </c>
      <c r="AA928" s="29" t="s">
        <v>1589</v>
      </c>
      <c r="AB928" s="29"/>
      <c r="AC928" s="29"/>
      <c r="AD928" s="29"/>
      <c r="AE928" s="29" t="s">
        <v>1590</v>
      </c>
      <c r="AF928" s="29"/>
      <c r="AG928" s="29"/>
    </row>
    <row r="929" spans="1:33">
      <c r="A929" s="29" t="s">
        <v>1585</v>
      </c>
      <c r="B929" s="29" t="s">
        <v>1595</v>
      </c>
      <c r="C929" s="29" t="s">
        <v>1596</v>
      </c>
      <c r="D929" s="29" t="s">
        <v>845</v>
      </c>
      <c r="E929" s="29" t="s">
        <v>15</v>
      </c>
      <c r="F929" s="29" t="s">
        <v>1155</v>
      </c>
      <c r="G929" s="29" t="s">
        <v>1766</v>
      </c>
      <c r="H929" s="29" t="s">
        <v>1279</v>
      </c>
      <c r="I929" s="116" t="s">
        <v>310</v>
      </c>
      <c r="J929" s="29" t="s">
        <v>20</v>
      </c>
      <c r="K929" s="29">
        <v>0.4</v>
      </c>
      <c r="L929" s="116"/>
      <c r="M929" s="29" t="s">
        <v>311</v>
      </c>
      <c r="N929" s="29">
        <v>30</v>
      </c>
      <c r="O929" s="115">
        <v>30</v>
      </c>
      <c r="P929" s="29">
        <v>53.623864011420338</v>
      </c>
      <c r="Q929" s="29">
        <v>1</v>
      </c>
      <c r="R929" s="29">
        <v>95</v>
      </c>
      <c r="S929" s="29">
        <v>0.85</v>
      </c>
      <c r="T929" s="29">
        <v>100</v>
      </c>
      <c r="U929" s="29">
        <v>31.578947368421051</v>
      </c>
      <c r="V929" s="29">
        <v>19.570873844308494</v>
      </c>
      <c r="W929" s="29">
        <v>0</v>
      </c>
      <c r="X929" s="29">
        <v>0</v>
      </c>
      <c r="Y929" s="29">
        <v>0</v>
      </c>
      <c r="Z929" s="29">
        <v>0</v>
      </c>
      <c r="AA929" s="29" t="s">
        <v>1577</v>
      </c>
      <c r="AB929" s="29" t="s">
        <v>1767</v>
      </c>
      <c r="AC929" s="29"/>
      <c r="AD929" s="29"/>
      <c r="AE929" s="29" t="s">
        <v>1768</v>
      </c>
      <c r="AF929" s="29"/>
      <c r="AG929" s="29"/>
    </row>
    <row r="930" spans="1:33">
      <c r="A930" s="29" t="s">
        <v>1585</v>
      </c>
      <c r="B930" s="29" t="s">
        <v>1595</v>
      </c>
      <c r="C930" s="29" t="s">
        <v>1596</v>
      </c>
      <c r="D930" s="29" t="s">
        <v>845</v>
      </c>
      <c r="E930" s="29" t="s">
        <v>321</v>
      </c>
      <c r="F930" s="29" t="s">
        <v>1158</v>
      </c>
      <c r="G930" s="29" t="s">
        <v>1769</v>
      </c>
      <c r="H930" s="29" t="s">
        <v>1281</v>
      </c>
      <c r="I930" s="116" t="s">
        <v>310</v>
      </c>
      <c r="J930" s="29" t="s">
        <v>20</v>
      </c>
      <c r="K930" s="29">
        <v>0.4</v>
      </c>
      <c r="L930" s="116"/>
      <c r="M930" s="29" t="s">
        <v>311</v>
      </c>
      <c r="N930" s="29">
        <v>30</v>
      </c>
      <c r="O930" s="115">
        <v>30</v>
      </c>
      <c r="P930" s="29">
        <v>53.623864011420338</v>
      </c>
      <c r="Q930" s="29">
        <v>1</v>
      </c>
      <c r="R930" s="29">
        <v>95</v>
      </c>
      <c r="S930" s="29">
        <v>0.85</v>
      </c>
      <c r="T930" s="29">
        <v>100</v>
      </c>
      <c r="U930" s="29">
        <v>31.578947368421051</v>
      </c>
      <c r="V930" s="29">
        <v>19.570873844308494</v>
      </c>
      <c r="W930" s="29">
        <v>0</v>
      </c>
      <c r="X930" s="29">
        <v>0</v>
      </c>
      <c r="Y930" s="29">
        <v>0</v>
      </c>
      <c r="Z930" s="29">
        <v>0</v>
      </c>
      <c r="AA930" s="29" t="s">
        <v>1770</v>
      </c>
      <c r="AB930" s="29" t="s">
        <v>1771</v>
      </c>
      <c r="AC930" s="29"/>
      <c r="AD930" s="29"/>
      <c r="AE930" s="29" t="s">
        <v>1768</v>
      </c>
      <c r="AF930" s="29"/>
      <c r="AG930" s="29"/>
    </row>
    <row r="931" spans="1:33">
      <c r="A931" s="29" t="s">
        <v>1574</v>
      </c>
      <c r="B931" s="29" t="s">
        <v>1575</v>
      </c>
      <c r="C931" s="29" t="s">
        <v>1596</v>
      </c>
      <c r="D931" s="29" t="s">
        <v>845</v>
      </c>
      <c r="E931" s="29" t="s">
        <v>15</v>
      </c>
      <c r="F931" s="29" t="s">
        <v>1155</v>
      </c>
      <c r="G931" s="29" t="s">
        <v>1285</v>
      </c>
      <c r="H931" s="29" t="s">
        <v>1286</v>
      </c>
      <c r="I931" s="116" t="s">
        <v>310</v>
      </c>
      <c r="J931" s="29" t="s">
        <v>41</v>
      </c>
      <c r="K931" s="29">
        <v>0.4</v>
      </c>
      <c r="L931" s="116"/>
      <c r="M931" s="29" t="s">
        <v>311</v>
      </c>
      <c r="N931" s="29">
        <v>1.43</v>
      </c>
      <c r="O931" s="115">
        <v>1.5</v>
      </c>
      <c r="P931" s="29">
        <v>2.6811932005710166</v>
      </c>
      <c r="Q931" s="29">
        <v>0.95333333333333325</v>
      </c>
      <c r="R931" s="29">
        <v>95</v>
      </c>
      <c r="S931" s="29">
        <v>0.85</v>
      </c>
      <c r="T931" s="29">
        <v>100</v>
      </c>
      <c r="U931" s="29">
        <v>1.5052631578947369</v>
      </c>
      <c r="V931" s="29">
        <v>0.93287831991203818</v>
      </c>
      <c r="W931" s="29">
        <v>0</v>
      </c>
      <c r="X931" s="29">
        <v>0</v>
      </c>
      <c r="Y931" s="29">
        <v>0</v>
      </c>
      <c r="Z931" s="29">
        <v>0</v>
      </c>
      <c r="AA931" s="29" t="s">
        <v>1770</v>
      </c>
      <c r="AB931" s="29" t="s">
        <v>1772</v>
      </c>
      <c r="AC931" s="29"/>
      <c r="AD931" s="29"/>
      <c r="AE931" s="29" t="s">
        <v>1773</v>
      </c>
      <c r="AF931" s="29"/>
      <c r="AG931" s="29"/>
    </row>
    <row r="932" spans="1:33">
      <c r="A932" s="29" t="s">
        <v>1574</v>
      </c>
      <c r="B932" s="29" t="s">
        <v>1575</v>
      </c>
      <c r="C932" s="29" t="s">
        <v>1596</v>
      </c>
      <c r="D932" s="29" t="s">
        <v>845</v>
      </c>
      <c r="E932" s="29" t="s">
        <v>15</v>
      </c>
      <c r="F932" s="29" t="s">
        <v>1155</v>
      </c>
      <c r="G932" s="29" t="s">
        <v>1287</v>
      </c>
      <c r="H932" s="29" t="s">
        <v>1286</v>
      </c>
      <c r="I932" s="116" t="s">
        <v>310</v>
      </c>
      <c r="J932" s="29" t="s">
        <v>41</v>
      </c>
      <c r="K932" s="29">
        <v>0.4</v>
      </c>
      <c r="L932" s="116"/>
      <c r="M932" s="29" t="s">
        <v>363</v>
      </c>
      <c r="N932" s="29">
        <v>1.43</v>
      </c>
      <c r="O932" s="115">
        <v>1.5</v>
      </c>
      <c r="P932" s="29">
        <v>2.6811932005710166</v>
      </c>
      <c r="Q932" s="29">
        <v>0.95333333333333325</v>
      </c>
      <c r="R932" s="29">
        <v>95</v>
      </c>
      <c r="S932" s="29">
        <v>0.85</v>
      </c>
      <c r="T932" s="29">
        <v>10</v>
      </c>
      <c r="U932" s="29">
        <v>0</v>
      </c>
      <c r="V932" s="29">
        <v>0</v>
      </c>
      <c r="W932" s="29">
        <v>0</v>
      </c>
      <c r="X932" s="29">
        <v>0</v>
      </c>
      <c r="Y932" s="29">
        <v>0.15052631578947367</v>
      </c>
      <c r="Z932" s="29">
        <v>9.3287831991203829E-2</v>
      </c>
      <c r="AA932" s="29" t="s">
        <v>1602</v>
      </c>
      <c r="AB932" s="29"/>
      <c r="AC932" s="29"/>
      <c r="AD932" s="29"/>
      <c r="AE932" s="29" t="s">
        <v>1774</v>
      </c>
      <c r="AF932" s="29"/>
      <c r="AG932" s="29"/>
    </row>
    <row r="933" spans="1:33">
      <c r="A933" s="29" t="s">
        <v>1574</v>
      </c>
      <c r="B933" s="29" t="s">
        <v>1575</v>
      </c>
      <c r="C933" s="29" t="s">
        <v>1596</v>
      </c>
      <c r="D933" s="29" t="s">
        <v>845</v>
      </c>
      <c r="E933" s="29" t="s">
        <v>15</v>
      </c>
      <c r="F933" s="29" t="s">
        <v>1155</v>
      </c>
      <c r="G933" s="29" t="s">
        <v>1288</v>
      </c>
      <c r="H933" s="29" t="s">
        <v>1289</v>
      </c>
      <c r="I933" s="116" t="s">
        <v>310</v>
      </c>
      <c r="J933" s="29" t="s">
        <v>41</v>
      </c>
      <c r="K933" s="29">
        <v>0.4</v>
      </c>
      <c r="L933" s="116"/>
      <c r="M933" s="29" t="s">
        <v>311</v>
      </c>
      <c r="N933" s="29">
        <v>3.8</v>
      </c>
      <c r="O933" s="115">
        <v>4</v>
      </c>
      <c r="P933" s="29">
        <v>7.1498485348560452</v>
      </c>
      <c r="Q933" s="29">
        <v>0.95</v>
      </c>
      <c r="R933" s="29">
        <v>95</v>
      </c>
      <c r="S933" s="29">
        <v>0.85</v>
      </c>
      <c r="T933" s="29">
        <v>100</v>
      </c>
      <c r="U933" s="29">
        <v>4</v>
      </c>
      <c r="V933" s="29">
        <v>2.4789773536124091</v>
      </c>
      <c r="W933" s="29">
        <v>0</v>
      </c>
      <c r="X933" s="29">
        <v>0</v>
      </c>
      <c r="Y933" s="29">
        <v>0</v>
      </c>
      <c r="Z933" s="29">
        <v>0</v>
      </c>
      <c r="AA933" s="29" t="s">
        <v>1602</v>
      </c>
      <c r="AB933" s="29"/>
      <c r="AC933" s="29"/>
      <c r="AD933" s="29"/>
      <c r="AE933" s="29" t="s">
        <v>1775</v>
      </c>
      <c r="AF933" s="29"/>
      <c r="AG933" s="29"/>
    </row>
    <row r="934" spans="1:33">
      <c r="A934" s="29" t="s">
        <v>1574</v>
      </c>
      <c r="B934" s="29" t="s">
        <v>1575</v>
      </c>
      <c r="C934" s="29" t="s">
        <v>1596</v>
      </c>
      <c r="D934" s="29" t="s">
        <v>845</v>
      </c>
      <c r="E934" s="29" t="s">
        <v>15</v>
      </c>
      <c r="F934" s="29" t="s">
        <v>1155</v>
      </c>
      <c r="G934" s="29" t="s">
        <v>1290</v>
      </c>
      <c r="H934" s="29" t="s">
        <v>1291</v>
      </c>
      <c r="I934" s="116" t="s">
        <v>310</v>
      </c>
      <c r="J934" s="29" t="s">
        <v>41</v>
      </c>
      <c r="K934" s="29">
        <v>0.4</v>
      </c>
      <c r="L934" s="116"/>
      <c r="M934" s="29" t="s">
        <v>353</v>
      </c>
      <c r="N934" s="29">
        <v>2.09</v>
      </c>
      <c r="O934" s="115">
        <v>2.2000000000000002</v>
      </c>
      <c r="P934" s="29">
        <v>3.9324166941708252</v>
      </c>
      <c r="Q934" s="29">
        <v>0.94999999999999984</v>
      </c>
      <c r="R934" s="29">
        <v>95</v>
      </c>
      <c r="S934" s="29">
        <v>0.85</v>
      </c>
      <c r="T934" s="29">
        <v>30</v>
      </c>
      <c r="U934" s="29">
        <v>0</v>
      </c>
      <c r="V934" s="29">
        <v>0</v>
      </c>
      <c r="W934" s="29">
        <v>0.65999999999999992</v>
      </c>
      <c r="X934" s="29">
        <v>0.40903126334604739</v>
      </c>
      <c r="Y934" s="29">
        <v>0</v>
      </c>
      <c r="Z934" s="29">
        <v>0</v>
      </c>
      <c r="AA934" s="29" t="s">
        <v>1602</v>
      </c>
      <c r="AB934" s="29"/>
      <c r="AC934" s="29"/>
      <c r="AD934" s="29"/>
      <c r="AE934" s="29" t="s">
        <v>1775</v>
      </c>
      <c r="AF934" s="29"/>
      <c r="AG934" s="29"/>
    </row>
    <row r="935" spans="1:33">
      <c r="A935" s="29" t="s">
        <v>1574</v>
      </c>
      <c r="B935" s="29" t="s">
        <v>1575</v>
      </c>
      <c r="C935" s="29" t="s">
        <v>1596</v>
      </c>
      <c r="D935" s="29" t="s">
        <v>845</v>
      </c>
      <c r="E935" s="29" t="s">
        <v>321</v>
      </c>
      <c r="F935" s="29" t="s">
        <v>1158</v>
      </c>
      <c r="G935" s="29" t="s">
        <v>1292</v>
      </c>
      <c r="H935" s="29" t="s">
        <v>1293</v>
      </c>
      <c r="I935" s="116" t="s">
        <v>310</v>
      </c>
      <c r="J935" s="29" t="s">
        <v>41</v>
      </c>
      <c r="K935" s="29">
        <v>0.4</v>
      </c>
      <c r="L935" s="116"/>
      <c r="M935" s="29" t="s">
        <v>311</v>
      </c>
      <c r="N935" s="29">
        <v>0.24</v>
      </c>
      <c r="O935" s="115">
        <v>0.25</v>
      </c>
      <c r="P935" s="29">
        <v>0.44686553342850283</v>
      </c>
      <c r="Q935" s="29">
        <v>0.96</v>
      </c>
      <c r="R935" s="29">
        <v>95</v>
      </c>
      <c r="S935" s="29">
        <v>0.85</v>
      </c>
      <c r="T935" s="29">
        <v>100</v>
      </c>
      <c r="U935" s="29">
        <v>0.25263157894736843</v>
      </c>
      <c r="V935" s="29">
        <v>0.15656699075446795</v>
      </c>
      <c r="W935" s="29">
        <v>0</v>
      </c>
      <c r="X935" s="29">
        <v>0</v>
      </c>
      <c r="Y935" s="29">
        <v>0</v>
      </c>
      <c r="Z935" s="29">
        <v>0</v>
      </c>
      <c r="AA935" s="29" t="s">
        <v>1592</v>
      </c>
      <c r="AB935" s="29" t="s">
        <v>1776</v>
      </c>
      <c r="AC935" s="29"/>
      <c r="AD935" s="29"/>
      <c r="AE935" s="29" t="s">
        <v>1773</v>
      </c>
      <c r="AF935" s="29"/>
      <c r="AG935" s="29"/>
    </row>
    <row r="936" spans="1:33">
      <c r="A936" s="29" t="s">
        <v>1574</v>
      </c>
      <c r="B936" s="29" t="s">
        <v>1575</v>
      </c>
      <c r="C936" s="29" t="s">
        <v>1596</v>
      </c>
      <c r="D936" s="29" t="s">
        <v>845</v>
      </c>
      <c r="E936" s="29" t="s">
        <v>321</v>
      </c>
      <c r="F936" s="29" t="s">
        <v>1158</v>
      </c>
      <c r="G936" s="29" t="s">
        <v>1294</v>
      </c>
      <c r="H936" s="29" t="s">
        <v>1293</v>
      </c>
      <c r="I936" s="116" t="s">
        <v>310</v>
      </c>
      <c r="J936" s="29" t="s">
        <v>41</v>
      </c>
      <c r="K936" s="29">
        <v>0.4</v>
      </c>
      <c r="L936" s="116"/>
      <c r="M936" s="29" t="s">
        <v>363</v>
      </c>
      <c r="N936" s="29">
        <v>0.24</v>
      </c>
      <c r="O936" s="115">
        <v>0.25</v>
      </c>
      <c r="P936" s="29">
        <v>0.44686553342850283</v>
      </c>
      <c r="Q936" s="29">
        <v>0.96</v>
      </c>
      <c r="R936" s="29">
        <v>95</v>
      </c>
      <c r="S936" s="29">
        <v>0.85</v>
      </c>
      <c r="T936" s="29">
        <v>10</v>
      </c>
      <c r="U936" s="29">
        <v>0</v>
      </c>
      <c r="V936" s="29">
        <v>0</v>
      </c>
      <c r="W936" s="29">
        <v>0</v>
      </c>
      <c r="X936" s="29">
        <v>0</v>
      </c>
      <c r="Y936" s="29">
        <v>2.5263157894736842E-2</v>
      </c>
      <c r="Z936" s="29">
        <v>1.5656699075446794E-2</v>
      </c>
      <c r="AA936" s="29" t="s">
        <v>1602</v>
      </c>
      <c r="AB936" s="29"/>
      <c r="AC936" s="29"/>
      <c r="AD936" s="29"/>
      <c r="AE936" s="29" t="s">
        <v>1774</v>
      </c>
      <c r="AF936" s="29"/>
      <c r="AG936" s="29"/>
    </row>
    <row r="937" spans="1:33">
      <c r="A937" s="29" t="s">
        <v>1574</v>
      </c>
      <c r="B937" s="29" t="s">
        <v>1575</v>
      </c>
      <c r="C937" s="29" t="s">
        <v>1596</v>
      </c>
      <c r="D937" s="29" t="s">
        <v>845</v>
      </c>
      <c r="E937" s="29" t="s">
        <v>321</v>
      </c>
      <c r="F937" s="29" t="s">
        <v>1158</v>
      </c>
      <c r="G937" s="29" t="s">
        <v>1295</v>
      </c>
      <c r="H937" s="29" t="s">
        <v>1289</v>
      </c>
      <c r="I937" s="116" t="s">
        <v>310</v>
      </c>
      <c r="J937" s="29" t="s">
        <v>41</v>
      </c>
      <c r="K937" s="29">
        <v>0.4</v>
      </c>
      <c r="L937" s="116"/>
      <c r="M937" s="29" t="s">
        <v>311</v>
      </c>
      <c r="N937" s="29">
        <v>0.35</v>
      </c>
      <c r="O937" s="115">
        <v>0.37</v>
      </c>
      <c r="P937" s="29">
        <v>0.66136098947418409</v>
      </c>
      <c r="Q937" s="29">
        <v>0.94594594594594594</v>
      </c>
      <c r="R937" s="29">
        <v>95</v>
      </c>
      <c r="S937" s="29">
        <v>0.85</v>
      </c>
      <c r="T937" s="29">
        <v>100</v>
      </c>
      <c r="U937" s="29">
        <v>0.36842105263157893</v>
      </c>
      <c r="V937" s="29">
        <v>0.22832686151693241</v>
      </c>
      <c r="W937" s="29">
        <v>0</v>
      </c>
      <c r="X937" s="29">
        <v>0</v>
      </c>
      <c r="Y937" s="29">
        <v>0</v>
      </c>
      <c r="Z937" s="29">
        <v>0</v>
      </c>
      <c r="AA937" s="29" t="s">
        <v>1602</v>
      </c>
      <c r="AB937" s="29"/>
      <c r="AC937" s="29"/>
      <c r="AD937" s="29"/>
      <c r="AE937" s="29" t="s">
        <v>1775</v>
      </c>
      <c r="AF937" s="29"/>
      <c r="AG937" s="29"/>
    </row>
    <row r="938" spans="1:33">
      <c r="A938" s="29" t="s">
        <v>1574</v>
      </c>
      <c r="B938" s="29" t="s">
        <v>1575</v>
      </c>
      <c r="C938" s="29" t="s">
        <v>1596</v>
      </c>
      <c r="D938" s="29" t="s">
        <v>845</v>
      </c>
      <c r="E938" s="29" t="s">
        <v>321</v>
      </c>
      <c r="F938" s="29" t="s">
        <v>1158</v>
      </c>
      <c r="G938" s="29" t="s">
        <v>1296</v>
      </c>
      <c r="H938" s="29" t="s">
        <v>1291</v>
      </c>
      <c r="I938" s="116" t="s">
        <v>310</v>
      </c>
      <c r="J938" s="29" t="s">
        <v>41</v>
      </c>
      <c r="K938" s="29">
        <v>0.4</v>
      </c>
      <c r="L938" s="116"/>
      <c r="M938" s="29" t="s">
        <v>353</v>
      </c>
      <c r="N938" s="29">
        <v>0.71</v>
      </c>
      <c r="O938" s="115">
        <v>0.75</v>
      </c>
      <c r="P938" s="29">
        <v>1.3405966002855083</v>
      </c>
      <c r="Q938" s="29">
        <v>0.94666666666666666</v>
      </c>
      <c r="R938" s="29">
        <v>95</v>
      </c>
      <c r="S938" s="29">
        <v>0.85</v>
      </c>
      <c r="T938" s="29">
        <v>30</v>
      </c>
      <c r="U938" s="29">
        <v>0</v>
      </c>
      <c r="V938" s="29">
        <v>0</v>
      </c>
      <c r="W938" s="29">
        <v>0.22421052631578947</v>
      </c>
      <c r="X938" s="29">
        <v>0.13895320429459029</v>
      </c>
      <c r="Y938" s="29">
        <v>0</v>
      </c>
      <c r="Z938" s="29">
        <v>0</v>
      </c>
      <c r="AA938" s="29" t="s">
        <v>1602</v>
      </c>
      <c r="AB938" s="29"/>
      <c r="AC938" s="29"/>
      <c r="AD938" s="29"/>
      <c r="AE938" s="29" t="s">
        <v>1775</v>
      </c>
      <c r="AF938" s="29"/>
      <c r="AG938" s="29"/>
    </row>
    <row r="939" spans="1:33">
      <c r="A939" s="29" t="s">
        <v>1574</v>
      </c>
      <c r="B939" s="29" t="s">
        <v>1575</v>
      </c>
      <c r="C939" s="29" t="s">
        <v>1596</v>
      </c>
      <c r="D939" s="29" t="s">
        <v>845</v>
      </c>
      <c r="E939" s="29" t="s">
        <v>321</v>
      </c>
      <c r="F939" s="29" t="s">
        <v>1158</v>
      </c>
      <c r="G939" s="29" t="s">
        <v>1297</v>
      </c>
      <c r="H939" s="29" t="s">
        <v>1298</v>
      </c>
      <c r="I939" s="116" t="s">
        <v>310</v>
      </c>
      <c r="J939" s="29" t="s">
        <v>41</v>
      </c>
      <c r="K939" s="29">
        <v>0.4</v>
      </c>
      <c r="L939" s="116"/>
      <c r="M939" s="29" t="s">
        <v>311</v>
      </c>
      <c r="N939" s="29">
        <v>20.9</v>
      </c>
      <c r="O939" s="115">
        <v>22</v>
      </c>
      <c r="P939" s="29">
        <v>39.324166941708249</v>
      </c>
      <c r="Q939" s="29">
        <v>0.95</v>
      </c>
      <c r="R939" s="29">
        <v>95</v>
      </c>
      <c r="S939" s="29">
        <v>0.85</v>
      </c>
      <c r="T939" s="29">
        <v>100</v>
      </c>
      <c r="U939" s="29">
        <v>21.999999999999996</v>
      </c>
      <c r="V939" s="29">
        <v>13.634375444868247</v>
      </c>
      <c r="W939" s="29">
        <v>0</v>
      </c>
      <c r="X939" s="29">
        <v>0</v>
      </c>
      <c r="Y939" s="29">
        <v>0</v>
      </c>
      <c r="Z939" s="29">
        <v>0</v>
      </c>
      <c r="AA939" s="29" t="s">
        <v>1577</v>
      </c>
      <c r="AB939" s="29" t="s">
        <v>1777</v>
      </c>
      <c r="AC939" s="29"/>
      <c r="AD939" s="29"/>
      <c r="AE939" s="29" t="s">
        <v>1773</v>
      </c>
      <c r="AF939" s="29"/>
      <c r="AG939" s="29"/>
    </row>
    <row r="940" spans="1:33">
      <c r="A940" s="29" t="s">
        <v>1574</v>
      </c>
      <c r="B940" s="29" t="s">
        <v>1575</v>
      </c>
      <c r="C940" s="29" t="s">
        <v>1596</v>
      </c>
      <c r="D940" s="29" t="s">
        <v>845</v>
      </c>
      <c r="E940" s="29" t="s">
        <v>321</v>
      </c>
      <c r="F940" s="29" t="s">
        <v>1158</v>
      </c>
      <c r="G940" s="29" t="s">
        <v>1299</v>
      </c>
      <c r="H940" s="29" t="s">
        <v>1298</v>
      </c>
      <c r="I940" s="116" t="s">
        <v>310</v>
      </c>
      <c r="J940" s="29" t="s">
        <v>41</v>
      </c>
      <c r="K940" s="29">
        <v>0.4</v>
      </c>
      <c r="L940" s="116"/>
      <c r="M940" s="29" t="s">
        <v>363</v>
      </c>
      <c r="N940" s="29">
        <v>20.9</v>
      </c>
      <c r="O940" s="115">
        <v>22</v>
      </c>
      <c r="P940" s="29">
        <v>39.324166941708249</v>
      </c>
      <c r="Q940" s="29">
        <v>0.95</v>
      </c>
      <c r="R940" s="29">
        <v>95</v>
      </c>
      <c r="S940" s="29">
        <v>0.85</v>
      </c>
      <c r="T940" s="29">
        <v>10</v>
      </c>
      <c r="U940" s="29">
        <v>0</v>
      </c>
      <c r="V940" s="29">
        <v>0</v>
      </c>
      <c r="W940" s="29">
        <v>0</v>
      </c>
      <c r="X940" s="29">
        <v>0</v>
      </c>
      <c r="Y940" s="29">
        <v>2.1999999999999997</v>
      </c>
      <c r="Z940" s="29">
        <v>1.3634375444868247</v>
      </c>
      <c r="AA940" s="29" t="s">
        <v>1602</v>
      </c>
      <c r="AB940" s="29"/>
      <c r="AC940" s="29"/>
      <c r="AD940" s="29"/>
      <c r="AE940" s="29" t="s">
        <v>1774</v>
      </c>
      <c r="AF940" s="29"/>
      <c r="AG940" s="29"/>
    </row>
    <row r="941" spans="1:33">
      <c r="A941" s="29"/>
      <c r="B941" s="29" t="s">
        <v>1575</v>
      </c>
      <c r="C941" s="29" t="s">
        <v>1581</v>
      </c>
      <c r="D941" s="29" t="s">
        <v>845</v>
      </c>
      <c r="E941" s="29" t="s">
        <v>15</v>
      </c>
      <c r="F941" s="29" t="s">
        <v>1155</v>
      </c>
      <c r="G941" s="29" t="s">
        <v>957</v>
      </c>
      <c r="H941" s="29" t="s">
        <v>1300</v>
      </c>
      <c r="I941" s="116" t="s">
        <v>310</v>
      </c>
      <c r="J941" s="29" t="s">
        <v>41</v>
      </c>
      <c r="K941" s="29">
        <v>0.4</v>
      </c>
      <c r="L941" s="116"/>
      <c r="M941" s="29" t="s">
        <v>363</v>
      </c>
      <c r="N941" s="29">
        <v>5.8</v>
      </c>
      <c r="O941" s="115">
        <v>11</v>
      </c>
      <c r="P941" s="29">
        <v>21.561644308102981</v>
      </c>
      <c r="Q941" s="29">
        <v>0.52727272727272723</v>
      </c>
      <c r="R941" s="29">
        <v>89.8</v>
      </c>
      <c r="S941" s="29">
        <v>0.82</v>
      </c>
      <c r="T941" s="29">
        <v>10</v>
      </c>
      <c r="U941" s="29">
        <v>0</v>
      </c>
      <c r="V941" s="29">
        <v>0</v>
      </c>
      <c r="W941" s="29">
        <v>0</v>
      </c>
      <c r="X941" s="29">
        <v>0</v>
      </c>
      <c r="Y941" s="29">
        <v>0.64587973273942101</v>
      </c>
      <c r="Z941" s="29">
        <v>0.45082682667865881</v>
      </c>
      <c r="AA941" s="29" t="s">
        <v>1589</v>
      </c>
      <c r="AB941" s="29"/>
      <c r="AC941" s="29"/>
      <c r="AD941" s="29"/>
      <c r="AE941" s="29" t="s">
        <v>1590</v>
      </c>
      <c r="AF941" s="29"/>
      <c r="AG941" s="29"/>
    </row>
    <row r="942" spans="1:33">
      <c r="A942" s="29"/>
      <c r="B942" s="29" t="s">
        <v>1575</v>
      </c>
      <c r="C942" s="29" t="s">
        <v>1581</v>
      </c>
      <c r="D942" s="29" t="s">
        <v>845</v>
      </c>
      <c r="E942" s="29" t="s">
        <v>321</v>
      </c>
      <c r="F942" s="29" t="s">
        <v>1158</v>
      </c>
      <c r="G942" s="29" t="s">
        <v>960</v>
      </c>
      <c r="H942" s="29" t="s">
        <v>1301</v>
      </c>
      <c r="I942" s="116" t="s">
        <v>310</v>
      </c>
      <c r="J942" s="29" t="s">
        <v>41</v>
      </c>
      <c r="K942" s="29">
        <v>0.4</v>
      </c>
      <c r="L942" s="116"/>
      <c r="M942" s="29" t="s">
        <v>311</v>
      </c>
      <c r="N942" s="29">
        <v>5.8</v>
      </c>
      <c r="O942" s="115">
        <v>11</v>
      </c>
      <c r="P942" s="29">
        <v>21.561644308102981</v>
      </c>
      <c r="Q942" s="29">
        <v>0.52727272727272723</v>
      </c>
      <c r="R942" s="29">
        <v>89.8</v>
      </c>
      <c r="S942" s="29">
        <v>0.82</v>
      </c>
      <c r="T942" s="29">
        <v>100</v>
      </c>
      <c r="U942" s="29">
        <v>6.4587973273942101</v>
      </c>
      <c r="V942" s="29">
        <v>4.5082682667865877</v>
      </c>
      <c r="W942" s="29">
        <v>0</v>
      </c>
      <c r="X942" s="29">
        <v>0</v>
      </c>
      <c r="Y942" s="29">
        <v>0</v>
      </c>
      <c r="Z942" s="29">
        <v>0</v>
      </c>
      <c r="AA942" s="29" t="s">
        <v>1589</v>
      </c>
      <c r="AB942" s="29"/>
      <c r="AC942" s="29"/>
      <c r="AD942" s="29"/>
      <c r="AE942" s="29" t="s">
        <v>1590</v>
      </c>
      <c r="AF942" s="29"/>
      <c r="AG942" s="29"/>
    </row>
    <row r="943" spans="1:33">
      <c r="A943" s="29"/>
      <c r="B943" s="29" t="s">
        <v>1575</v>
      </c>
      <c r="C943" s="29" t="s">
        <v>326</v>
      </c>
      <c r="D943" s="29" t="s">
        <v>845</v>
      </c>
      <c r="E943" s="29" t="s">
        <v>15</v>
      </c>
      <c r="F943" s="29" t="s">
        <v>1155</v>
      </c>
      <c r="G943" s="29" t="s">
        <v>1302</v>
      </c>
      <c r="H943" s="29" t="s">
        <v>1303</v>
      </c>
      <c r="I943" s="116" t="s">
        <v>310</v>
      </c>
      <c r="J943" s="29" t="s">
        <v>41</v>
      </c>
      <c r="K943" s="29">
        <v>0.4</v>
      </c>
      <c r="L943" s="116"/>
      <c r="M943" s="29" t="s">
        <v>353</v>
      </c>
      <c r="N943" s="29">
        <v>11.3</v>
      </c>
      <c r="O943" s="115">
        <v>15</v>
      </c>
      <c r="P943" s="29">
        <v>29.402242238322245</v>
      </c>
      <c r="Q943" s="29">
        <v>0.75333333333333341</v>
      </c>
      <c r="R943" s="29">
        <v>89.8</v>
      </c>
      <c r="S943" s="29">
        <v>0.82</v>
      </c>
      <c r="T943" s="29">
        <v>30</v>
      </c>
      <c r="U943" s="29">
        <v>0</v>
      </c>
      <c r="V943" s="29">
        <v>0</v>
      </c>
      <c r="W943" s="29">
        <v>3.7750556792873056</v>
      </c>
      <c r="X943" s="29">
        <v>2.6350050731735397</v>
      </c>
      <c r="Y943" s="29">
        <v>0</v>
      </c>
      <c r="Z943" s="29">
        <v>0</v>
      </c>
      <c r="AA943" s="29" t="s">
        <v>1589</v>
      </c>
      <c r="AB943" s="29"/>
      <c r="AC943" s="29"/>
      <c r="AD943" s="29"/>
      <c r="AE943" s="29" t="s">
        <v>1590</v>
      </c>
      <c r="AF943" s="29"/>
      <c r="AG943" s="29"/>
    </row>
    <row r="944" spans="1:33">
      <c r="A944" s="29"/>
      <c r="B944" s="29" t="s">
        <v>1575</v>
      </c>
      <c r="C944" s="29" t="s">
        <v>326</v>
      </c>
      <c r="D944" s="29" t="s">
        <v>845</v>
      </c>
      <c r="E944" s="29" t="s">
        <v>321</v>
      </c>
      <c r="F944" s="29" t="s">
        <v>1158</v>
      </c>
      <c r="G944" s="29" t="s">
        <v>1304</v>
      </c>
      <c r="H944" s="29" t="s">
        <v>1303</v>
      </c>
      <c r="I944" s="116" t="s">
        <v>310</v>
      </c>
      <c r="J944" s="29" t="s">
        <v>41</v>
      </c>
      <c r="K944" s="29">
        <v>0.4</v>
      </c>
      <c r="L944" s="116"/>
      <c r="M944" s="29" t="s">
        <v>363</v>
      </c>
      <c r="N944" s="29">
        <v>11.3</v>
      </c>
      <c r="O944" s="115">
        <v>15</v>
      </c>
      <c r="P944" s="29">
        <v>29.402242238322245</v>
      </c>
      <c r="Q944" s="29">
        <v>0.75333333333333341</v>
      </c>
      <c r="R944" s="29">
        <v>89.8</v>
      </c>
      <c r="S944" s="29">
        <v>0.82</v>
      </c>
      <c r="T944" s="29">
        <v>30</v>
      </c>
      <c r="U944" s="29">
        <v>0</v>
      </c>
      <c r="V944" s="29">
        <v>0</v>
      </c>
      <c r="W944" s="29">
        <v>0</v>
      </c>
      <c r="X944" s="29">
        <v>0</v>
      </c>
      <c r="Y944" s="29">
        <v>3.7750556792873056</v>
      </c>
      <c r="Z944" s="29">
        <v>2.6350050731735397</v>
      </c>
      <c r="AA944" s="29" t="s">
        <v>1589</v>
      </c>
      <c r="AB944" s="29"/>
      <c r="AC944" s="29"/>
      <c r="AD944" s="29"/>
      <c r="AE944" s="29" t="s">
        <v>1590</v>
      </c>
      <c r="AF944" s="29"/>
      <c r="AG944" s="29"/>
    </row>
    <row r="945" spans="1:33">
      <c r="A945" s="29" t="s">
        <v>1584</v>
      </c>
      <c r="B945" s="29" t="s">
        <v>1575</v>
      </c>
      <c r="C945" s="29" t="s">
        <v>1596</v>
      </c>
      <c r="D945" s="29" t="s">
        <v>845</v>
      </c>
      <c r="E945" s="29" t="s">
        <v>15</v>
      </c>
      <c r="F945" s="29" t="s">
        <v>1155</v>
      </c>
      <c r="G945" s="29" t="s">
        <v>1305</v>
      </c>
      <c r="H945" s="29" t="s">
        <v>1778</v>
      </c>
      <c r="I945" s="116" t="s">
        <v>310</v>
      </c>
      <c r="J945" s="29" t="s">
        <v>41</v>
      </c>
      <c r="K945" s="29">
        <v>0.4</v>
      </c>
      <c r="L945" s="116"/>
      <c r="M945" s="29" t="s">
        <v>311</v>
      </c>
      <c r="N945" s="29">
        <v>13.5</v>
      </c>
      <c r="O945" s="115">
        <v>15</v>
      </c>
      <c r="P945" s="29">
        <v>29.402242238322245</v>
      </c>
      <c r="Q945" s="29">
        <v>0.9</v>
      </c>
      <c r="R945" s="29">
        <v>89.8</v>
      </c>
      <c r="S945" s="29">
        <v>0.82</v>
      </c>
      <c r="T945" s="29">
        <v>100</v>
      </c>
      <c r="U945" s="29">
        <v>15.033407572383073</v>
      </c>
      <c r="V945" s="29">
        <v>10.493383034761884</v>
      </c>
      <c r="W945" s="29">
        <v>0</v>
      </c>
      <c r="X945" s="29">
        <v>0</v>
      </c>
      <c r="Y945" s="29">
        <v>0</v>
      </c>
      <c r="Z945" s="29">
        <v>0</v>
      </c>
      <c r="AA945" s="29" t="s">
        <v>1602</v>
      </c>
      <c r="AB945" s="29"/>
      <c r="AC945" s="29"/>
      <c r="AD945" s="29"/>
      <c r="AE945" s="29" t="s">
        <v>1779</v>
      </c>
      <c r="AF945" s="29"/>
      <c r="AG945" s="29"/>
    </row>
    <row r="946" spans="1:33">
      <c r="A946" s="29" t="s">
        <v>1584</v>
      </c>
      <c r="B946" s="29" t="s">
        <v>1575</v>
      </c>
      <c r="C946" s="29" t="s">
        <v>1596</v>
      </c>
      <c r="D946" s="29" t="s">
        <v>845</v>
      </c>
      <c r="E946" s="29" t="s">
        <v>15</v>
      </c>
      <c r="F946" s="29" t="s">
        <v>1155</v>
      </c>
      <c r="G946" s="29" t="s">
        <v>1305</v>
      </c>
      <c r="H946" s="29" t="s">
        <v>1780</v>
      </c>
      <c r="I946" s="116" t="s">
        <v>310</v>
      </c>
      <c r="J946" s="29" t="s">
        <v>41</v>
      </c>
      <c r="K946" s="29">
        <v>0.4</v>
      </c>
      <c r="L946" s="116"/>
      <c r="M946" s="29" t="s">
        <v>363</v>
      </c>
      <c r="N946" s="29">
        <v>13.5</v>
      </c>
      <c r="O946" s="115">
        <v>15</v>
      </c>
      <c r="P946" s="29">
        <v>29.402242238322245</v>
      </c>
      <c r="Q946" s="29">
        <v>0.9</v>
      </c>
      <c r="R946" s="29">
        <v>89.8</v>
      </c>
      <c r="S946" s="29">
        <v>0.82</v>
      </c>
      <c r="T946" s="29">
        <v>10</v>
      </c>
      <c r="U946" s="29">
        <v>0</v>
      </c>
      <c r="V946" s="29">
        <v>0</v>
      </c>
      <c r="W946" s="29">
        <v>0</v>
      </c>
      <c r="X946" s="29">
        <v>0</v>
      </c>
      <c r="Y946" s="29">
        <v>1.5033407572383073</v>
      </c>
      <c r="Z946" s="29">
        <v>1.0493383034761885</v>
      </c>
      <c r="AA946" s="29" t="s">
        <v>1602</v>
      </c>
      <c r="AB946" s="29"/>
      <c r="AC946" s="29"/>
      <c r="AD946" s="29"/>
      <c r="AE946" s="29" t="s">
        <v>1727</v>
      </c>
      <c r="AF946" s="29"/>
      <c r="AG946" s="29"/>
    </row>
    <row r="947" spans="1:33">
      <c r="A947" s="29" t="s">
        <v>1584</v>
      </c>
      <c r="B947" s="29" t="s">
        <v>1575</v>
      </c>
      <c r="C947" s="29" t="s">
        <v>1596</v>
      </c>
      <c r="D947" s="29" t="s">
        <v>845</v>
      </c>
      <c r="E947" s="29" t="s">
        <v>321</v>
      </c>
      <c r="F947" s="29" t="s">
        <v>1158</v>
      </c>
      <c r="G947" s="29" t="s">
        <v>1307</v>
      </c>
      <c r="H947" s="29" t="s">
        <v>1781</v>
      </c>
      <c r="I947" s="116" t="s">
        <v>310</v>
      </c>
      <c r="J947" s="29" t="s">
        <v>41</v>
      </c>
      <c r="K947" s="29">
        <v>0.4</v>
      </c>
      <c r="L947" s="116"/>
      <c r="M947" s="29" t="s">
        <v>311</v>
      </c>
      <c r="N947" s="29">
        <v>13.5</v>
      </c>
      <c r="O947" s="115">
        <v>15</v>
      </c>
      <c r="P947" s="29">
        <v>29.402242238322245</v>
      </c>
      <c r="Q947" s="29">
        <v>0.9</v>
      </c>
      <c r="R947" s="29">
        <v>89.8</v>
      </c>
      <c r="S947" s="29">
        <v>0.82</v>
      </c>
      <c r="T947" s="29">
        <v>100</v>
      </c>
      <c r="U947" s="29">
        <v>15.033407572383073</v>
      </c>
      <c r="V947" s="29">
        <v>10.493383034761884</v>
      </c>
      <c r="W947" s="29">
        <v>0</v>
      </c>
      <c r="X947" s="29">
        <v>0</v>
      </c>
      <c r="Y947" s="29">
        <v>0</v>
      </c>
      <c r="Z947" s="29">
        <v>0</v>
      </c>
      <c r="AA947" s="29" t="s">
        <v>1602</v>
      </c>
      <c r="AB947" s="29"/>
      <c r="AC947" s="29"/>
      <c r="AD947" s="29"/>
      <c r="AE947" s="29" t="s">
        <v>1779</v>
      </c>
      <c r="AF947" s="29"/>
      <c r="AG947" s="29"/>
    </row>
    <row r="948" spans="1:33">
      <c r="A948" s="29" t="s">
        <v>1584</v>
      </c>
      <c r="B948" s="29" t="s">
        <v>1575</v>
      </c>
      <c r="C948" s="29" t="s">
        <v>1596</v>
      </c>
      <c r="D948" s="29" t="s">
        <v>845</v>
      </c>
      <c r="E948" s="29" t="s">
        <v>321</v>
      </c>
      <c r="F948" s="29" t="s">
        <v>1158</v>
      </c>
      <c r="G948" s="29" t="s">
        <v>1307</v>
      </c>
      <c r="H948" s="29" t="s">
        <v>1782</v>
      </c>
      <c r="I948" s="116" t="s">
        <v>310</v>
      </c>
      <c r="J948" s="29" t="s">
        <v>41</v>
      </c>
      <c r="K948" s="29">
        <v>0.4</v>
      </c>
      <c r="L948" s="116"/>
      <c r="M948" s="29" t="s">
        <v>363</v>
      </c>
      <c r="N948" s="29">
        <v>13.5</v>
      </c>
      <c r="O948" s="115">
        <v>15</v>
      </c>
      <c r="P948" s="29">
        <v>29.402242238322245</v>
      </c>
      <c r="Q948" s="29">
        <v>0.9</v>
      </c>
      <c r="R948" s="29">
        <v>89.8</v>
      </c>
      <c r="S948" s="29">
        <v>0.82</v>
      </c>
      <c r="T948" s="29">
        <v>10</v>
      </c>
      <c r="U948" s="29">
        <v>0</v>
      </c>
      <c r="V948" s="29">
        <v>0</v>
      </c>
      <c r="W948" s="29">
        <v>0</v>
      </c>
      <c r="X948" s="29">
        <v>0</v>
      </c>
      <c r="Y948" s="29">
        <v>1.5033407572383073</v>
      </c>
      <c r="Z948" s="29">
        <v>1.0493383034761885</v>
      </c>
      <c r="AA948" s="29" t="s">
        <v>1602</v>
      </c>
      <c r="AB948" s="29"/>
      <c r="AC948" s="29"/>
      <c r="AD948" s="29"/>
      <c r="AE948" s="29" t="s">
        <v>1727</v>
      </c>
      <c r="AF948" s="29"/>
      <c r="AG948" s="29"/>
    </row>
    <row r="949" spans="1:33">
      <c r="A949" s="29" t="s">
        <v>1574</v>
      </c>
      <c r="B949" s="29" t="s">
        <v>1575</v>
      </c>
      <c r="C949" s="29" t="s">
        <v>1596</v>
      </c>
      <c r="D949" s="29" t="s">
        <v>845</v>
      </c>
      <c r="E949" s="29" t="s">
        <v>15</v>
      </c>
      <c r="F949" s="29" t="s">
        <v>1155</v>
      </c>
      <c r="G949" s="29" t="s">
        <v>1309</v>
      </c>
      <c r="H949" s="29" t="s">
        <v>1310</v>
      </c>
      <c r="I949" s="116" t="s">
        <v>310</v>
      </c>
      <c r="J949" s="29" t="s">
        <v>1030</v>
      </c>
      <c r="K949" s="29">
        <v>0.4</v>
      </c>
      <c r="L949" s="116"/>
      <c r="M949" s="29" t="s">
        <v>353</v>
      </c>
      <c r="N949" s="29">
        <v>2.7</v>
      </c>
      <c r="O949" s="115">
        <v>3</v>
      </c>
      <c r="P949" s="29">
        <v>5.880448447664449</v>
      </c>
      <c r="Q949" s="29">
        <v>0.9</v>
      </c>
      <c r="R949" s="29">
        <v>89.8</v>
      </c>
      <c r="S949" s="29">
        <v>0.82</v>
      </c>
      <c r="T949" s="29">
        <v>30</v>
      </c>
      <c r="U949" s="29">
        <v>0</v>
      </c>
      <c r="V949" s="29">
        <v>0</v>
      </c>
      <c r="W949" s="29">
        <v>0.90200445434298449</v>
      </c>
      <c r="X949" s="29">
        <v>0.62960298208571308</v>
      </c>
      <c r="Y949" s="29">
        <v>0</v>
      </c>
      <c r="Z949" s="29">
        <v>0</v>
      </c>
      <c r="AA949" s="29" t="s">
        <v>1602</v>
      </c>
      <c r="AB949" s="29"/>
      <c r="AC949" s="29"/>
      <c r="AD949" s="29"/>
      <c r="AE949" s="29" t="s">
        <v>1775</v>
      </c>
      <c r="AF949" s="29"/>
      <c r="AG949" s="29"/>
    </row>
    <row r="950" spans="1:33">
      <c r="A950" s="29" t="s">
        <v>1574</v>
      </c>
      <c r="B950" s="29" t="s">
        <v>1575</v>
      </c>
      <c r="C950" s="29" t="s">
        <v>1596</v>
      </c>
      <c r="D950" s="29" t="s">
        <v>845</v>
      </c>
      <c r="E950" s="29" t="s">
        <v>321</v>
      </c>
      <c r="F950" s="29" t="s">
        <v>1158</v>
      </c>
      <c r="G950" s="29" t="s">
        <v>1311</v>
      </c>
      <c r="H950" s="29" t="s">
        <v>1312</v>
      </c>
      <c r="I950" s="116" t="s">
        <v>310</v>
      </c>
      <c r="J950" s="29" t="s">
        <v>1030</v>
      </c>
      <c r="K950" s="29">
        <v>0.4</v>
      </c>
      <c r="L950" s="116"/>
      <c r="M950" s="29" t="s">
        <v>353</v>
      </c>
      <c r="N950" s="29">
        <v>2.7</v>
      </c>
      <c r="O950" s="115">
        <v>3</v>
      </c>
      <c r="P950" s="29">
        <v>5.880448447664449</v>
      </c>
      <c r="Q950" s="29">
        <v>0.9</v>
      </c>
      <c r="R950" s="29">
        <v>89.8</v>
      </c>
      <c r="S950" s="29">
        <v>0.82</v>
      </c>
      <c r="T950" s="29">
        <v>30</v>
      </c>
      <c r="U950" s="29">
        <v>0</v>
      </c>
      <c r="V950" s="29">
        <v>0</v>
      </c>
      <c r="W950" s="29">
        <v>0.90200445434298449</v>
      </c>
      <c r="X950" s="29">
        <v>0.62960298208571308</v>
      </c>
      <c r="Y950" s="29">
        <v>0</v>
      </c>
      <c r="Z950" s="29">
        <v>0</v>
      </c>
      <c r="AA950" s="29" t="s">
        <v>1602</v>
      </c>
      <c r="AB950" s="29"/>
      <c r="AC950" s="29"/>
      <c r="AD950" s="29"/>
      <c r="AE950" s="29" t="s">
        <v>1775</v>
      </c>
      <c r="AF950" s="29"/>
      <c r="AG950" s="29"/>
    </row>
    <row r="951" spans="1:33">
      <c r="A951" s="29" t="s">
        <v>1574</v>
      </c>
      <c r="B951" s="29" t="s">
        <v>1575</v>
      </c>
      <c r="C951" s="29" t="s">
        <v>1596</v>
      </c>
      <c r="D951" s="29" t="s">
        <v>845</v>
      </c>
      <c r="E951" s="29" t="s">
        <v>15</v>
      </c>
      <c r="F951" s="29" t="s">
        <v>1155</v>
      </c>
      <c r="G951" s="29" t="s">
        <v>1321</v>
      </c>
      <c r="H951" s="29" t="s">
        <v>1322</v>
      </c>
      <c r="I951" s="116" t="s">
        <v>310</v>
      </c>
      <c r="J951" s="29" t="s">
        <v>41</v>
      </c>
      <c r="K951" s="29">
        <v>0.4</v>
      </c>
      <c r="L951" s="116"/>
      <c r="M951" s="29" t="s">
        <v>311</v>
      </c>
      <c r="N951" s="29">
        <v>0.6</v>
      </c>
      <c r="O951" s="115">
        <v>0.75</v>
      </c>
      <c r="P951" s="29">
        <v>1.4701121119161122</v>
      </c>
      <c r="Q951" s="29">
        <v>0.79999999999999993</v>
      </c>
      <c r="R951" s="29">
        <v>89.8</v>
      </c>
      <c r="S951" s="29">
        <v>0.82</v>
      </c>
      <c r="T951" s="29">
        <v>100</v>
      </c>
      <c r="U951" s="29">
        <v>0.66815144766146994</v>
      </c>
      <c r="V951" s="29">
        <v>0.46637257932275039</v>
      </c>
      <c r="W951" s="29">
        <v>0</v>
      </c>
      <c r="X951" s="29">
        <v>0</v>
      </c>
      <c r="Y951" s="29">
        <v>0</v>
      </c>
      <c r="Z951" s="29">
        <v>0</v>
      </c>
      <c r="AA951" s="29" t="s">
        <v>1602</v>
      </c>
      <c r="AB951" s="29"/>
      <c r="AC951" s="29"/>
      <c r="AD951" s="29"/>
      <c r="AE951" s="29" t="s">
        <v>1783</v>
      </c>
      <c r="AF951" s="29"/>
      <c r="AG951" s="29"/>
    </row>
    <row r="952" spans="1:33">
      <c r="A952" s="29" t="s">
        <v>1574</v>
      </c>
      <c r="B952" s="29" t="s">
        <v>1575</v>
      </c>
      <c r="C952" s="29" t="s">
        <v>1596</v>
      </c>
      <c r="D952" s="29" t="s">
        <v>845</v>
      </c>
      <c r="E952" s="29" t="s">
        <v>321</v>
      </c>
      <c r="F952" s="29" t="s">
        <v>1158</v>
      </c>
      <c r="G952" s="29" t="s">
        <v>1323</v>
      </c>
      <c r="H952" s="29" t="s">
        <v>1324</v>
      </c>
      <c r="I952" s="116" t="s">
        <v>310</v>
      </c>
      <c r="J952" s="29" t="s">
        <v>41</v>
      </c>
      <c r="K952" s="29">
        <v>0.4</v>
      </c>
      <c r="L952" s="116"/>
      <c r="M952" s="29" t="s">
        <v>311</v>
      </c>
      <c r="N952" s="29">
        <v>0.6</v>
      </c>
      <c r="O952" s="115">
        <v>0.75</v>
      </c>
      <c r="P952" s="29">
        <v>1.4701121119161122</v>
      </c>
      <c r="Q952" s="29">
        <v>0.79999999999999993</v>
      </c>
      <c r="R952" s="29">
        <v>89.8</v>
      </c>
      <c r="S952" s="29">
        <v>0.82</v>
      </c>
      <c r="T952" s="29">
        <v>100</v>
      </c>
      <c r="U952" s="29">
        <v>0.66815144766146994</v>
      </c>
      <c r="V952" s="29">
        <v>0.46637257932275039</v>
      </c>
      <c r="W952" s="29">
        <v>0</v>
      </c>
      <c r="X952" s="29">
        <v>0</v>
      </c>
      <c r="Y952" s="29">
        <v>0</v>
      </c>
      <c r="Z952" s="29">
        <v>0</v>
      </c>
      <c r="AA952" s="29" t="s">
        <v>1602</v>
      </c>
      <c r="AB952" s="29"/>
      <c r="AC952" s="29"/>
      <c r="AD952" s="29"/>
      <c r="AE952" s="29" t="s">
        <v>1783</v>
      </c>
      <c r="AF952" s="29"/>
      <c r="AG952" s="29"/>
    </row>
    <row r="953" spans="1:33">
      <c r="A953" s="29" t="s">
        <v>1574</v>
      </c>
      <c r="B953" s="29" t="s">
        <v>1575</v>
      </c>
      <c r="C953" s="29" t="s">
        <v>1596</v>
      </c>
      <c r="D953" s="29" t="s">
        <v>845</v>
      </c>
      <c r="E953" s="29" t="s">
        <v>15</v>
      </c>
      <c r="F953" s="29" t="s">
        <v>1155</v>
      </c>
      <c r="G953" s="29" t="s">
        <v>1325</v>
      </c>
      <c r="H953" s="29" t="s">
        <v>1326</v>
      </c>
      <c r="I953" s="116" t="s">
        <v>310</v>
      </c>
      <c r="J953" s="29" t="s">
        <v>41</v>
      </c>
      <c r="K953" s="29">
        <v>0.4</v>
      </c>
      <c r="L953" s="116"/>
      <c r="M953" s="29" t="s">
        <v>311</v>
      </c>
      <c r="N953" s="29">
        <v>0.6</v>
      </c>
      <c r="O953" s="115">
        <v>0.75</v>
      </c>
      <c r="P953" s="29">
        <v>1.4701121119161122</v>
      </c>
      <c r="Q953" s="29">
        <v>0.79999999999999993</v>
      </c>
      <c r="R953" s="29">
        <v>89.8</v>
      </c>
      <c r="S953" s="29">
        <v>0.82</v>
      </c>
      <c r="T953" s="29">
        <v>100</v>
      </c>
      <c r="U953" s="29">
        <v>0.66815144766146994</v>
      </c>
      <c r="V953" s="29">
        <v>0.46637257932275039</v>
      </c>
      <c r="W953" s="29">
        <v>0</v>
      </c>
      <c r="X953" s="29">
        <v>0</v>
      </c>
      <c r="Y953" s="29">
        <v>0</v>
      </c>
      <c r="Z953" s="29">
        <v>0</v>
      </c>
      <c r="AA953" s="29" t="s">
        <v>1602</v>
      </c>
      <c r="AB953" s="29"/>
      <c r="AC953" s="29"/>
      <c r="AD953" s="29"/>
      <c r="AE953" s="29" t="s">
        <v>1783</v>
      </c>
      <c r="AF953" s="29"/>
      <c r="AG953" s="29"/>
    </row>
    <row r="954" spans="1:33">
      <c r="A954" s="29" t="s">
        <v>1574</v>
      </c>
      <c r="B954" s="29" t="s">
        <v>1575</v>
      </c>
      <c r="C954" s="29" t="s">
        <v>1596</v>
      </c>
      <c r="D954" s="29" t="s">
        <v>845</v>
      </c>
      <c r="E954" s="29" t="s">
        <v>321</v>
      </c>
      <c r="F954" s="29" t="s">
        <v>1158</v>
      </c>
      <c r="G954" s="29" t="s">
        <v>1327</v>
      </c>
      <c r="H954" s="29" t="s">
        <v>1328</v>
      </c>
      <c r="I954" s="116" t="s">
        <v>310</v>
      </c>
      <c r="J954" s="29" t="s">
        <v>41</v>
      </c>
      <c r="K954" s="29">
        <v>0.4</v>
      </c>
      <c r="L954" s="116"/>
      <c r="M954" s="29" t="s">
        <v>311</v>
      </c>
      <c r="N954" s="29">
        <v>0.6</v>
      </c>
      <c r="O954" s="115">
        <v>0.75</v>
      </c>
      <c r="P954" s="29">
        <v>1.4701121119161122</v>
      </c>
      <c r="Q954" s="29">
        <v>0.79999999999999993</v>
      </c>
      <c r="R954" s="29">
        <v>89.8</v>
      </c>
      <c r="S954" s="29">
        <v>0.82</v>
      </c>
      <c r="T954" s="29">
        <v>100</v>
      </c>
      <c r="U954" s="29">
        <v>0.66815144766146994</v>
      </c>
      <c r="V954" s="29">
        <v>0.46637257932275039</v>
      </c>
      <c r="W954" s="29">
        <v>0</v>
      </c>
      <c r="X954" s="29">
        <v>0</v>
      </c>
      <c r="Y954" s="29">
        <v>0</v>
      </c>
      <c r="Z954" s="29">
        <v>0</v>
      </c>
      <c r="AA954" s="29" t="s">
        <v>1602</v>
      </c>
      <c r="AB954" s="29"/>
      <c r="AC954" s="29"/>
      <c r="AD954" s="29"/>
      <c r="AE954" s="29" t="s">
        <v>1783</v>
      </c>
      <c r="AF954" s="29"/>
      <c r="AG954" s="29"/>
    </row>
    <row r="955" spans="1:33">
      <c r="A955" s="29" t="s">
        <v>1574</v>
      </c>
      <c r="B955" s="29" t="s">
        <v>1575</v>
      </c>
      <c r="C955" s="29" t="s">
        <v>1596</v>
      </c>
      <c r="D955" s="29" t="s">
        <v>845</v>
      </c>
      <c r="E955" s="29" t="s">
        <v>15</v>
      </c>
      <c r="F955" s="29" t="s">
        <v>1155</v>
      </c>
      <c r="G955" s="29" t="s">
        <v>1329</v>
      </c>
      <c r="H955" s="29" t="s">
        <v>1330</v>
      </c>
      <c r="I955" s="116" t="s">
        <v>310</v>
      </c>
      <c r="J955" s="29" t="s">
        <v>41</v>
      </c>
      <c r="K955" s="29">
        <v>0.4</v>
      </c>
      <c r="L955" s="116"/>
      <c r="M955" s="29" t="s">
        <v>311</v>
      </c>
      <c r="N955" s="29">
        <v>0.6</v>
      </c>
      <c r="O955" s="115">
        <v>0.75</v>
      </c>
      <c r="P955" s="29">
        <v>1.4701121119161122</v>
      </c>
      <c r="Q955" s="29">
        <v>0.79999999999999993</v>
      </c>
      <c r="R955" s="29">
        <v>89.8</v>
      </c>
      <c r="S955" s="29">
        <v>0.82</v>
      </c>
      <c r="T955" s="29">
        <v>100</v>
      </c>
      <c r="U955" s="29">
        <v>0.66815144766146994</v>
      </c>
      <c r="V955" s="29">
        <v>0.46637257932275039</v>
      </c>
      <c r="W955" s="29">
        <v>0</v>
      </c>
      <c r="X955" s="29">
        <v>0</v>
      </c>
      <c r="Y955" s="29">
        <v>0</v>
      </c>
      <c r="Z955" s="29">
        <v>0</v>
      </c>
      <c r="AA955" s="29" t="s">
        <v>1602</v>
      </c>
      <c r="AB955" s="29"/>
      <c r="AC955" s="29"/>
      <c r="AD955" s="29"/>
      <c r="AE955" s="29" t="s">
        <v>1783</v>
      </c>
      <c r="AF955" s="29"/>
      <c r="AG955" s="29"/>
    </row>
    <row r="956" spans="1:33">
      <c r="A956" s="29" t="s">
        <v>1585</v>
      </c>
      <c r="B956" s="29" t="s">
        <v>1575</v>
      </c>
      <c r="C956" s="29" t="s">
        <v>1596</v>
      </c>
      <c r="D956" s="29" t="s">
        <v>845</v>
      </c>
      <c r="E956" s="29" t="s">
        <v>321</v>
      </c>
      <c r="F956" s="29" t="s">
        <v>1158</v>
      </c>
      <c r="G956" s="29" t="s">
        <v>1784</v>
      </c>
      <c r="H956" s="29" t="s">
        <v>1785</v>
      </c>
      <c r="I956" s="116" t="s">
        <v>310</v>
      </c>
      <c r="J956" s="29" t="s">
        <v>41</v>
      </c>
      <c r="K956" s="29">
        <v>0.4</v>
      </c>
      <c r="L956" s="116"/>
      <c r="M956" s="29" t="s">
        <v>311</v>
      </c>
      <c r="N956" s="29">
        <v>1.76</v>
      </c>
      <c r="O956" s="115">
        <v>2.2000000000000002</v>
      </c>
      <c r="P956" s="29">
        <v>4.3123288616205961</v>
      </c>
      <c r="Q956" s="29">
        <v>0.79999999999999993</v>
      </c>
      <c r="R956" s="29">
        <v>89.8</v>
      </c>
      <c r="S956" s="29">
        <v>0.82</v>
      </c>
      <c r="T956" s="29">
        <v>100</v>
      </c>
      <c r="U956" s="29">
        <v>1.9599109131403119</v>
      </c>
      <c r="V956" s="29">
        <v>1.3680262326800678</v>
      </c>
      <c r="W956" s="29">
        <v>0</v>
      </c>
      <c r="X956" s="29">
        <v>0</v>
      </c>
      <c r="Y956" s="29">
        <v>0</v>
      </c>
      <c r="Z956" s="29">
        <v>0</v>
      </c>
      <c r="AA956" s="29" t="s">
        <v>1602</v>
      </c>
      <c r="AB956" s="29"/>
      <c r="AC956" s="29"/>
      <c r="AD956" s="29"/>
      <c r="AE956" s="29" t="s">
        <v>1786</v>
      </c>
      <c r="AF956" s="29"/>
      <c r="AG956" s="29"/>
    </row>
    <row r="957" spans="1:33">
      <c r="A957" s="29" t="s">
        <v>1585</v>
      </c>
      <c r="B957" s="29" t="s">
        <v>1575</v>
      </c>
      <c r="C957" s="29" t="s">
        <v>1596</v>
      </c>
      <c r="D957" s="29" t="s">
        <v>845</v>
      </c>
      <c r="E957" s="29" t="s">
        <v>321</v>
      </c>
      <c r="F957" s="29" t="s">
        <v>1158</v>
      </c>
      <c r="G957" s="29" t="s">
        <v>1787</v>
      </c>
      <c r="H957" s="29" t="s">
        <v>1785</v>
      </c>
      <c r="I957" s="116" t="s">
        <v>310</v>
      </c>
      <c r="J957" s="29" t="s">
        <v>41</v>
      </c>
      <c r="K957" s="29">
        <v>0.4</v>
      </c>
      <c r="L957" s="116"/>
      <c r="M957" s="29" t="s">
        <v>311</v>
      </c>
      <c r="N957" s="29">
        <v>1.76</v>
      </c>
      <c r="O957" s="115">
        <v>2.2000000000000002</v>
      </c>
      <c r="P957" s="29">
        <v>4.3123288616205961</v>
      </c>
      <c r="Q957" s="29">
        <v>0.79999999999999993</v>
      </c>
      <c r="R957" s="29">
        <v>89.8</v>
      </c>
      <c r="S957" s="29">
        <v>0.82</v>
      </c>
      <c r="T957" s="29">
        <v>100</v>
      </c>
      <c r="U957" s="29">
        <v>1.9599109131403119</v>
      </c>
      <c r="V957" s="29">
        <v>1.3680262326800678</v>
      </c>
      <c r="W957" s="29">
        <v>0</v>
      </c>
      <c r="X957" s="29">
        <v>0</v>
      </c>
      <c r="Y957" s="29">
        <v>0</v>
      </c>
      <c r="Z957" s="29">
        <v>0</v>
      </c>
      <c r="AA957" s="29" t="s">
        <v>1602</v>
      </c>
      <c r="AB957" s="29"/>
      <c r="AC957" s="29"/>
      <c r="AD957" s="29"/>
      <c r="AE957" s="29" t="s">
        <v>1788</v>
      </c>
      <c r="AF957" s="29"/>
      <c r="AG957" s="29"/>
    </row>
    <row r="958" spans="1:33">
      <c r="A958" s="29" t="s">
        <v>321</v>
      </c>
      <c r="B958" s="29" t="s">
        <v>1575</v>
      </c>
      <c r="C958" s="29" t="s">
        <v>1596</v>
      </c>
      <c r="D958" s="29" t="s">
        <v>845</v>
      </c>
      <c r="E958" s="29" t="s">
        <v>15</v>
      </c>
      <c r="F958" s="29" t="s">
        <v>1155</v>
      </c>
      <c r="G958" s="29" t="s">
        <v>1333</v>
      </c>
      <c r="H958" s="29" t="s">
        <v>1334</v>
      </c>
      <c r="I958" s="116" t="s">
        <v>310</v>
      </c>
      <c r="J958" s="29" t="s">
        <v>41</v>
      </c>
      <c r="K958" s="29">
        <v>0.4</v>
      </c>
      <c r="L958" s="116"/>
      <c r="M958" s="29" t="s">
        <v>311</v>
      </c>
      <c r="N958" s="29">
        <v>0.32</v>
      </c>
      <c r="O958" s="115">
        <v>0.4</v>
      </c>
      <c r="P958" s="29">
        <v>0.78405979302192663</v>
      </c>
      <c r="Q958" s="29">
        <v>0.79999999999999993</v>
      </c>
      <c r="R958" s="29">
        <v>89.8</v>
      </c>
      <c r="S958" s="29">
        <v>0.82</v>
      </c>
      <c r="T958" s="29">
        <v>100</v>
      </c>
      <c r="U958" s="29">
        <v>0.35634743875278396</v>
      </c>
      <c r="V958" s="29">
        <v>0.24873204230546686</v>
      </c>
      <c r="W958" s="29">
        <v>0</v>
      </c>
      <c r="X958" s="29">
        <v>0</v>
      </c>
      <c r="Y958" s="29">
        <v>0</v>
      </c>
      <c r="Z958" s="29">
        <v>0</v>
      </c>
      <c r="AA958" s="29" t="s">
        <v>1602</v>
      </c>
      <c r="AB958" s="29"/>
      <c r="AC958" s="29"/>
      <c r="AD958" s="29"/>
      <c r="AE958" s="29" t="s">
        <v>1712</v>
      </c>
      <c r="AF958" s="29"/>
      <c r="AG958" s="29"/>
    </row>
    <row r="959" spans="1:33">
      <c r="A959" s="29" t="s">
        <v>321</v>
      </c>
      <c r="B959" s="29" t="s">
        <v>1575</v>
      </c>
      <c r="C959" s="29" t="s">
        <v>1596</v>
      </c>
      <c r="D959" s="29" t="s">
        <v>845</v>
      </c>
      <c r="E959" s="29" t="s">
        <v>321</v>
      </c>
      <c r="F959" s="29" t="s">
        <v>1158</v>
      </c>
      <c r="G959" s="29" t="s">
        <v>1335</v>
      </c>
      <c r="H959" s="29" t="s">
        <v>1336</v>
      </c>
      <c r="I959" s="116" t="s">
        <v>310</v>
      </c>
      <c r="J959" s="29" t="s">
        <v>41</v>
      </c>
      <c r="K959" s="29">
        <v>0.4</v>
      </c>
      <c r="L959" s="116"/>
      <c r="M959" s="29" t="s">
        <v>363</v>
      </c>
      <c r="N959" s="29">
        <v>0.32</v>
      </c>
      <c r="O959" s="115">
        <v>0.4</v>
      </c>
      <c r="P959" s="29">
        <v>0.78405979302192663</v>
      </c>
      <c r="Q959" s="29">
        <v>0.79999999999999993</v>
      </c>
      <c r="R959" s="29">
        <v>89.8</v>
      </c>
      <c r="S959" s="29">
        <v>0.82</v>
      </c>
      <c r="T959" s="29">
        <v>10</v>
      </c>
      <c r="U959" s="29">
        <v>0</v>
      </c>
      <c r="V959" s="29">
        <v>0</v>
      </c>
      <c r="W959" s="29">
        <v>0</v>
      </c>
      <c r="X959" s="29">
        <v>0</v>
      </c>
      <c r="Y959" s="29">
        <v>3.5634743875278395E-2</v>
      </c>
      <c r="Z959" s="29">
        <v>2.4873204230546689E-2</v>
      </c>
      <c r="AA959" s="29" t="s">
        <v>1602</v>
      </c>
      <c r="AB959" s="29"/>
      <c r="AC959" s="29"/>
      <c r="AD959" s="29"/>
      <c r="AE959" s="29" t="s">
        <v>1712</v>
      </c>
      <c r="AF959" s="29"/>
      <c r="AG959" s="29"/>
    </row>
    <row r="960" spans="1:33">
      <c r="A960" s="29" t="s">
        <v>321</v>
      </c>
      <c r="B960" s="29" t="s">
        <v>1575</v>
      </c>
      <c r="C960" s="29" t="s">
        <v>1596</v>
      </c>
      <c r="D960" s="29" t="s">
        <v>845</v>
      </c>
      <c r="E960" s="29" t="s">
        <v>15</v>
      </c>
      <c r="F960" s="29" t="s">
        <v>1155</v>
      </c>
      <c r="G960" s="29" t="s">
        <v>1337</v>
      </c>
      <c r="H960" s="29" t="s">
        <v>1338</v>
      </c>
      <c r="I960" s="116" t="s">
        <v>310</v>
      </c>
      <c r="J960" s="29" t="s">
        <v>41</v>
      </c>
      <c r="K960" s="29">
        <v>0.4</v>
      </c>
      <c r="L960" s="116"/>
      <c r="M960" s="29" t="s">
        <v>311</v>
      </c>
      <c r="N960" s="29">
        <v>0.6</v>
      </c>
      <c r="O960" s="115">
        <v>0.75</v>
      </c>
      <c r="P960" s="29">
        <v>1.4701121119161122</v>
      </c>
      <c r="Q960" s="29">
        <v>0.79999999999999993</v>
      </c>
      <c r="R960" s="29">
        <v>89.8</v>
      </c>
      <c r="S960" s="29">
        <v>0.82</v>
      </c>
      <c r="T960" s="29">
        <v>100</v>
      </c>
      <c r="U960" s="29">
        <v>0.66815144766146994</v>
      </c>
      <c r="V960" s="29">
        <v>0.46637257932275039</v>
      </c>
      <c r="W960" s="29">
        <v>0</v>
      </c>
      <c r="X960" s="29">
        <v>0</v>
      </c>
      <c r="Y960" s="29">
        <v>0</v>
      </c>
      <c r="Z960" s="29">
        <v>0</v>
      </c>
      <c r="AA960" s="29" t="s">
        <v>1602</v>
      </c>
      <c r="AB960" s="29"/>
      <c r="AC960" s="29"/>
      <c r="AD960" s="29"/>
      <c r="AE960" s="29" t="s">
        <v>1712</v>
      </c>
      <c r="AF960" s="29"/>
      <c r="AG960" s="29"/>
    </row>
    <row r="961" spans="1:33">
      <c r="A961" s="29" t="s">
        <v>15</v>
      </c>
      <c r="B961" s="29" t="s">
        <v>1575</v>
      </c>
      <c r="C961" s="29" t="s">
        <v>1596</v>
      </c>
      <c r="D961" s="29" t="s">
        <v>845</v>
      </c>
      <c r="E961" s="29" t="s">
        <v>15</v>
      </c>
      <c r="F961" s="29" t="s">
        <v>1155</v>
      </c>
      <c r="G961" s="29" t="s">
        <v>1341</v>
      </c>
      <c r="H961" s="29" t="s">
        <v>1342</v>
      </c>
      <c r="I961" s="116" t="s">
        <v>310</v>
      </c>
      <c r="J961" s="29" t="s">
        <v>20</v>
      </c>
      <c r="K961" s="29">
        <v>0.4</v>
      </c>
      <c r="L961" s="116"/>
      <c r="M961" s="29" t="s">
        <v>353</v>
      </c>
      <c r="N961" s="29">
        <v>9</v>
      </c>
      <c r="O961" s="115">
        <v>10</v>
      </c>
      <c r="P961" s="29">
        <v>19.601494825548166</v>
      </c>
      <c r="Q961" s="29">
        <v>0.9</v>
      </c>
      <c r="R961" s="29">
        <v>89.8</v>
      </c>
      <c r="S961" s="29">
        <v>0.82</v>
      </c>
      <c r="T961" s="29">
        <v>30</v>
      </c>
      <c r="U961" s="29">
        <v>0</v>
      </c>
      <c r="V961" s="29">
        <v>0</v>
      </c>
      <c r="W961" s="29">
        <v>3.006681514476615</v>
      </c>
      <c r="X961" s="29">
        <v>2.098676606952377</v>
      </c>
      <c r="Y961" s="29">
        <v>0</v>
      </c>
      <c r="Z961" s="29">
        <v>0</v>
      </c>
      <c r="AA961" s="29" t="s">
        <v>1602</v>
      </c>
      <c r="AB961" s="29"/>
      <c r="AC961" s="29"/>
      <c r="AD961" s="29"/>
      <c r="AE961" s="29" t="s">
        <v>1722</v>
      </c>
      <c r="AF961" s="29"/>
      <c r="AG961" s="29"/>
    </row>
    <row r="962" spans="1:33">
      <c r="A962" s="29" t="s">
        <v>1608</v>
      </c>
      <c r="B962" s="29" t="s">
        <v>1575</v>
      </c>
      <c r="C962" s="29" t="s">
        <v>1596</v>
      </c>
      <c r="D962" s="29" t="s">
        <v>845</v>
      </c>
      <c r="E962" s="29" t="s">
        <v>15</v>
      </c>
      <c r="F962" s="29" t="s">
        <v>1155</v>
      </c>
      <c r="G962" s="29" t="s">
        <v>1343</v>
      </c>
      <c r="H962" s="29" t="s">
        <v>1344</v>
      </c>
      <c r="I962" s="116" t="s">
        <v>310</v>
      </c>
      <c r="J962" s="29" t="s">
        <v>20</v>
      </c>
      <c r="K962" s="29">
        <v>0.4</v>
      </c>
      <c r="L962" s="116"/>
      <c r="M962" s="29" t="s">
        <v>353</v>
      </c>
      <c r="N962" s="29">
        <v>4.5</v>
      </c>
      <c r="O962" s="115">
        <v>5</v>
      </c>
      <c r="P962" s="29">
        <v>9.8007474127740828</v>
      </c>
      <c r="Q962" s="29">
        <v>0.9</v>
      </c>
      <c r="R962" s="29">
        <v>89.8</v>
      </c>
      <c r="S962" s="29">
        <v>0.82</v>
      </c>
      <c r="T962" s="29">
        <v>30</v>
      </c>
      <c r="U962" s="29">
        <v>0</v>
      </c>
      <c r="V962" s="29">
        <v>0</v>
      </c>
      <c r="W962" s="29">
        <v>1.5033407572383075</v>
      </c>
      <c r="X962" s="29">
        <v>1.0493383034761885</v>
      </c>
      <c r="Y962" s="29">
        <v>0</v>
      </c>
      <c r="Z962" s="29">
        <v>0</v>
      </c>
      <c r="AA962" s="29" t="s">
        <v>1602</v>
      </c>
      <c r="AB962" s="29"/>
      <c r="AC962" s="29"/>
      <c r="AD962" s="29"/>
      <c r="AE962" s="29" t="s">
        <v>1789</v>
      </c>
      <c r="AF962" s="29"/>
      <c r="AG962" s="29"/>
    </row>
    <row r="963" spans="1:33">
      <c r="A963" s="29" t="s">
        <v>1608</v>
      </c>
      <c r="B963" s="29" t="s">
        <v>1575</v>
      </c>
      <c r="C963" s="29" t="s">
        <v>1596</v>
      </c>
      <c r="D963" s="29" t="s">
        <v>845</v>
      </c>
      <c r="E963" s="29" t="s">
        <v>321</v>
      </c>
      <c r="F963" s="29" t="s">
        <v>1158</v>
      </c>
      <c r="G963" s="29" t="s">
        <v>1345</v>
      </c>
      <c r="H963" s="29" t="s">
        <v>1344</v>
      </c>
      <c r="I963" s="116" t="s">
        <v>310</v>
      </c>
      <c r="J963" s="29" t="s">
        <v>20</v>
      </c>
      <c r="K963" s="29">
        <v>0.4</v>
      </c>
      <c r="L963" s="116"/>
      <c r="M963" s="29" t="s">
        <v>353</v>
      </c>
      <c r="N963" s="29">
        <v>4.5</v>
      </c>
      <c r="O963" s="115">
        <v>5</v>
      </c>
      <c r="P963" s="29">
        <v>9.8007474127740828</v>
      </c>
      <c r="Q963" s="29">
        <v>0.9</v>
      </c>
      <c r="R963" s="29">
        <v>89.8</v>
      </c>
      <c r="S963" s="29">
        <v>0.82</v>
      </c>
      <c r="T963" s="29">
        <v>30</v>
      </c>
      <c r="U963" s="29">
        <v>0</v>
      </c>
      <c r="V963" s="29">
        <v>0</v>
      </c>
      <c r="W963" s="29">
        <v>1.5033407572383075</v>
      </c>
      <c r="X963" s="29">
        <v>1.0493383034761885</v>
      </c>
      <c r="Y963" s="29">
        <v>0</v>
      </c>
      <c r="Z963" s="29">
        <v>0</v>
      </c>
      <c r="AA963" s="29" t="s">
        <v>1602</v>
      </c>
      <c r="AB963" s="29"/>
      <c r="AC963" s="29"/>
      <c r="AD963" s="29"/>
      <c r="AE963" s="29" t="s">
        <v>1789</v>
      </c>
      <c r="AF963" s="29"/>
      <c r="AG963" s="29"/>
    </row>
    <row r="964" spans="1:33">
      <c r="A964" s="29" t="s">
        <v>1608</v>
      </c>
      <c r="B964" s="29" t="s">
        <v>1575</v>
      </c>
      <c r="C964" s="29" t="s">
        <v>1596</v>
      </c>
      <c r="D964" s="29" t="s">
        <v>845</v>
      </c>
      <c r="E964" s="29" t="s">
        <v>15</v>
      </c>
      <c r="F964" s="29" t="s">
        <v>1155</v>
      </c>
      <c r="G964" s="29" t="s">
        <v>1346</v>
      </c>
      <c r="H964" s="29" t="s">
        <v>1344</v>
      </c>
      <c r="I964" s="116" t="s">
        <v>310</v>
      </c>
      <c r="J964" s="29" t="s">
        <v>20</v>
      </c>
      <c r="K964" s="29">
        <v>0.4</v>
      </c>
      <c r="L964" s="116"/>
      <c r="M964" s="29" t="s">
        <v>353</v>
      </c>
      <c r="N964" s="29">
        <v>4.5</v>
      </c>
      <c r="O964" s="115">
        <v>5</v>
      </c>
      <c r="P964" s="29">
        <v>9.8007474127740828</v>
      </c>
      <c r="Q964" s="29">
        <v>0.9</v>
      </c>
      <c r="R964" s="29">
        <v>89.8</v>
      </c>
      <c r="S964" s="29">
        <v>0.82</v>
      </c>
      <c r="T964" s="29">
        <v>30</v>
      </c>
      <c r="U964" s="29">
        <v>0</v>
      </c>
      <c r="V964" s="29">
        <v>0</v>
      </c>
      <c r="W964" s="29">
        <v>1.5033407572383075</v>
      </c>
      <c r="X964" s="29">
        <v>1.0493383034761885</v>
      </c>
      <c r="Y964" s="29">
        <v>0</v>
      </c>
      <c r="Z964" s="29">
        <v>0</v>
      </c>
      <c r="AA964" s="29" t="s">
        <v>1602</v>
      </c>
      <c r="AB964" s="29"/>
      <c r="AC964" s="29"/>
      <c r="AD964" s="29"/>
      <c r="AE964" s="29" t="s">
        <v>1789</v>
      </c>
      <c r="AF964" s="29"/>
      <c r="AG964" s="29"/>
    </row>
    <row r="965" spans="1:33">
      <c r="A965" s="29" t="s">
        <v>1608</v>
      </c>
      <c r="B965" s="29" t="s">
        <v>1575</v>
      </c>
      <c r="C965" s="29" t="s">
        <v>1596</v>
      </c>
      <c r="D965" s="29" t="s">
        <v>845</v>
      </c>
      <c r="E965" s="29" t="s">
        <v>321</v>
      </c>
      <c r="F965" s="29" t="s">
        <v>1158</v>
      </c>
      <c r="G965" s="29" t="s">
        <v>1347</v>
      </c>
      <c r="H965" s="29" t="s">
        <v>1344</v>
      </c>
      <c r="I965" s="116" t="s">
        <v>310</v>
      </c>
      <c r="J965" s="29" t="s">
        <v>20</v>
      </c>
      <c r="K965" s="29">
        <v>0.4</v>
      </c>
      <c r="L965" s="116"/>
      <c r="M965" s="29" t="s">
        <v>353</v>
      </c>
      <c r="N965" s="29">
        <v>4.5</v>
      </c>
      <c r="O965" s="115">
        <v>5</v>
      </c>
      <c r="P965" s="29">
        <v>9.8007474127740828</v>
      </c>
      <c r="Q965" s="29">
        <v>0.9</v>
      </c>
      <c r="R965" s="29">
        <v>89.8</v>
      </c>
      <c r="S965" s="29">
        <v>0.82</v>
      </c>
      <c r="T965" s="29">
        <v>30</v>
      </c>
      <c r="U965" s="29">
        <v>0</v>
      </c>
      <c r="V965" s="29">
        <v>0</v>
      </c>
      <c r="W965" s="29">
        <v>1.5033407572383075</v>
      </c>
      <c r="X965" s="29">
        <v>1.0493383034761885</v>
      </c>
      <c r="Y965" s="29">
        <v>0</v>
      </c>
      <c r="Z965" s="29">
        <v>0</v>
      </c>
      <c r="AA965" s="29" t="s">
        <v>1602</v>
      </c>
      <c r="AB965" s="29"/>
      <c r="AC965" s="29"/>
      <c r="AD965" s="29"/>
      <c r="AE965" s="29" t="s">
        <v>1789</v>
      </c>
      <c r="AF965" s="29"/>
      <c r="AG965" s="29"/>
    </row>
    <row r="966" spans="1:33">
      <c r="A966" s="29" t="s">
        <v>321</v>
      </c>
      <c r="B966" s="29" t="s">
        <v>1575</v>
      </c>
      <c r="C966" s="29" t="s">
        <v>1596</v>
      </c>
      <c r="D966" s="29" t="s">
        <v>845</v>
      </c>
      <c r="E966" s="29" t="s">
        <v>321</v>
      </c>
      <c r="F966" s="29" t="s">
        <v>1158</v>
      </c>
      <c r="G966" s="29" t="s">
        <v>1348</v>
      </c>
      <c r="H966" s="29" t="s">
        <v>1349</v>
      </c>
      <c r="I966" s="116" t="s">
        <v>333</v>
      </c>
      <c r="J966" s="29" t="s">
        <v>20</v>
      </c>
      <c r="K966" s="29">
        <v>0.4</v>
      </c>
      <c r="L966" s="116"/>
      <c r="M966" s="29" t="s">
        <v>353</v>
      </c>
      <c r="N966" s="29">
        <v>15.2</v>
      </c>
      <c r="O966" s="115">
        <v>18</v>
      </c>
      <c r="P966" s="29">
        <v>35.282690685986694</v>
      </c>
      <c r="Q966" s="29">
        <v>0.84444444444444444</v>
      </c>
      <c r="R966" s="29">
        <v>89.8</v>
      </c>
      <c r="S966" s="29">
        <v>0.82</v>
      </c>
      <c r="T966" s="29">
        <v>30</v>
      </c>
      <c r="U966" s="29">
        <v>0</v>
      </c>
      <c r="V966" s="29">
        <v>0</v>
      </c>
      <c r="W966" s="29">
        <v>5.077951002227171</v>
      </c>
      <c r="X966" s="29">
        <v>3.5444316028529022</v>
      </c>
      <c r="Y966" s="29">
        <v>0</v>
      </c>
      <c r="Z966" s="29">
        <v>0</v>
      </c>
      <c r="AA966" s="29" t="s">
        <v>1602</v>
      </c>
      <c r="AB966" s="29"/>
      <c r="AC966" s="29"/>
      <c r="AD966" s="29"/>
      <c r="AE966" s="29" t="s">
        <v>1712</v>
      </c>
      <c r="AF966" s="29"/>
      <c r="AG966" s="29"/>
    </row>
    <row r="967" spans="1:33">
      <c r="A967" s="29" t="s">
        <v>1585</v>
      </c>
      <c r="B967" s="29" t="s">
        <v>1790</v>
      </c>
      <c r="C967" s="29" t="s">
        <v>1791</v>
      </c>
      <c r="D967" s="29" t="s">
        <v>845</v>
      </c>
      <c r="E967" s="29" t="s">
        <v>15</v>
      </c>
      <c r="F967" s="29" t="s">
        <v>1155</v>
      </c>
      <c r="G967" s="29" t="s">
        <v>1350</v>
      </c>
      <c r="H967" s="29" t="s">
        <v>1792</v>
      </c>
      <c r="I967" s="116" t="s">
        <v>310</v>
      </c>
      <c r="J967" s="29" t="s">
        <v>20</v>
      </c>
      <c r="K967" s="29">
        <v>0.4</v>
      </c>
      <c r="L967" s="116"/>
      <c r="M967" s="29" t="s">
        <v>311</v>
      </c>
      <c r="N967" s="29">
        <v>1.7899999999999991</v>
      </c>
      <c r="O967" s="115">
        <v>1.7899999999999991</v>
      </c>
      <c r="P967" s="29">
        <v>3.5086675737731197</v>
      </c>
      <c r="Q967" s="29">
        <v>1</v>
      </c>
      <c r="R967" s="29">
        <v>89.8</v>
      </c>
      <c r="S967" s="29">
        <v>0.82</v>
      </c>
      <c r="T967" s="29">
        <v>100</v>
      </c>
      <c r="U967" s="29">
        <v>1.9933184855233845</v>
      </c>
      <c r="V967" s="29">
        <v>1.3913448616462047</v>
      </c>
      <c r="W967" s="29">
        <v>0</v>
      </c>
      <c r="X967" s="29">
        <v>0</v>
      </c>
      <c r="Y967" s="29">
        <v>0</v>
      </c>
      <c r="Z967" s="29">
        <v>0</v>
      </c>
      <c r="AA967" s="29" t="s">
        <v>1602</v>
      </c>
      <c r="AB967" s="29"/>
      <c r="AC967" s="29"/>
      <c r="AD967" s="29" t="s">
        <v>1793</v>
      </c>
      <c r="AE967" s="29" t="s">
        <v>1794</v>
      </c>
      <c r="AF967" s="29"/>
      <c r="AG967" s="29"/>
    </row>
    <row r="968" spans="1:33">
      <c r="A968" s="29" t="s">
        <v>1585</v>
      </c>
      <c r="B968" s="29" t="s">
        <v>1790</v>
      </c>
      <c r="C968" s="29" t="s">
        <v>1791</v>
      </c>
      <c r="D968" s="29" t="s">
        <v>845</v>
      </c>
      <c r="E968" s="29" t="s">
        <v>321</v>
      </c>
      <c r="F968" s="29" t="s">
        <v>1158</v>
      </c>
      <c r="G968" s="29" t="s">
        <v>1352</v>
      </c>
      <c r="H968" s="29" t="s">
        <v>1795</v>
      </c>
      <c r="I968" s="116" t="s">
        <v>310</v>
      </c>
      <c r="J968" s="29" t="s">
        <v>20</v>
      </c>
      <c r="K968" s="29">
        <v>0.4</v>
      </c>
      <c r="L968" s="116"/>
      <c r="M968" s="29" t="s">
        <v>311</v>
      </c>
      <c r="N968" s="29">
        <v>1.7899999999999991</v>
      </c>
      <c r="O968" s="115">
        <v>1.7899999999999991</v>
      </c>
      <c r="P968" s="29">
        <v>3.5086675737731197</v>
      </c>
      <c r="Q968" s="29">
        <v>1</v>
      </c>
      <c r="R968" s="29">
        <v>89.8</v>
      </c>
      <c r="S968" s="29">
        <v>0.82</v>
      </c>
      <c r="T968" s="29">
        <v>100</v>
      </c>
      <c r="U968" s="29">
        <v>1.9933184855233845</v>
      </c>
      <c r="V968" s="29">
        <v>1.3913448616462047</v>
      </c>
      <c r="W968" s="29">
        <v>0</v>
      </c>
      <c r="X968" s="29">
        <v>0</v>
      </c>
      <c r="Y968" s="29">
        <v>0</v>
      </c>
      <c r="Z968" s="29">
        <v>0</v>
      </c>
      <c r="AA968" s="29" t="s">
        <v>1602</v>
      </c>
      <c r="AB968" s="29"/>
      <c r="AC968" s="29"/>
      <c r="AD968" s="29" t="s">
        <v>1793</v>
      </c>
      <c r="AE968" s="29" t="s">
        <v>1794</v>
      </c>
      <c r="AF968" s="29"/>
      <c r="AG968" s="29"/>
    </row>
    <row r="969" spans="1:33">
      <c r="A969" s="29" t="s">
        <v>1585</v>
      </c>
      <c r="B969" s="29" t="s">
        <v>1790</v>
      </c>
      <c r="C969" s="29" t="s">
        <v>1791</v>
      </c>
      <c r="D969" s="29" t="s">
        <v>845</v>
      </c>
      <c r="E969" s="29" t="s">
        <v>15</v>
      </c>
      <c r="F969" s="29" t="s">
        <v>1155</v>
      </c>
      <c r="G969" s="29" t="s">
        <v>1796</v>
      </c>
      <c r="H969" s="29" t="s">
        <v>1797</v>
      </c>
      <c r="I969" s="116" t="s">
        <v>310</v>
      </c>
      <c r="J969" s="29" t="s">
        <v>20</v>
      </c>
      <c r="K969" s="29">
        <v>0.4</v>
      </c>
      <c r="L969" s="116"/>
      <c r="M969" s="29" t="s">
        <v>311</v>
      </c>
      <c r="N969" s="29">
        <v>11.3</v>
      </c>
      <c r="O969" s="115">
        <v>11.3</v>
      </c>
      <c r="P969" s="29">
        <v>22.149689152869428</v>
      </c>
      <c r="Q969" s="29">
        <v>1</v>
      </c>
      <c r="R969" s="29">
        <v>89.8</v>
      </c>
      <c r="S969" s="29">
        <v>0.82</v>
      </c>
      <c r="T969" s="29">
        <v>100</v>
      </c>
      <c r="U969" s="29">
        <v>12.583518930957686</v>
      </c>
      <c r="V969" s="29">
        <v>8.7833502439117996</v>
      </c>
      <c r="W969" s="29">
        <v>0</v>
      </c>
      <c r="X969" s="29">
        <v>0</v>
      </c>
      <c r="Y969" s="29">
        <v>0</v>
      </c>
      <c r="Z969" s="29">
        <v>0</v>
      </c>
      <c r="AA969" s="29" t="s">
        <v>1602</v>
      </c>
      <c r="AB969" s="29"/>
      <c r="AC969" s="29"/>
      <c r="AD969" s="29" t="s">
        <v>1793</v>
      </c>
      <c r="AE969" s="29" t="s">
        <v>1798</v>
      </c>
      <c r="AF969" s="29"/>
      <c r="AG969" s="29"/>
    </row>
    <row r="970" spans="1:33">
      <c r="A970" s="29" t="s">
        <v>1585</v>
      </c>
      <c r="B970" s="29" t="s">
        <v>1790</v>
      </c>
      <c r="C970" s="29" t="s">
        <v>1791</v>
      </c>
      <c r="D970" s="29" t="s">
        <v>845</v>
      </c>
      <c r="E970" s="29" t="s">
        <v>321</v>
      </c>
      <c r="F970" s="29" t="s">
        <v>1158</v>
      </c>
      <c r="G970" s="29" t="s">
        <v>1799</v>
      </c>
      <c r="H970" s="29" t="s">
        <v>1800</v>
      </c>
      <c r="I970" s="116" t="s">
        <v>310</v>
      </c>
      <c r="J970" s="29" t="s">
        <v>20</v>
      </c>
      <c r="K970" s="29">
        <v>0.4</v>
      </c>
      <c r="L970" s="116"/>
      <c r="M970" s="29" t="s">
        <v>311</v>
      </c>
      <c r="N970" s="29">
        <v>11.3</v>
      </c>
      <c r="O970" s="115">
        <v>11.3</v>
      </c>
      <c r="P970" s="29">
        <v>22.149689152869428</v>
      </c>
      <c r="Q970" s="29">
        <v>1</v>
      </c>
      <c r="R970" s="29">
        <v>89.8</v>
      </c>
      <c r="S970" s="29">
        <v>0.82</v>
      </c>
      <c r="T970" s="29">
        <v>100</v>
      </c>
      <c r="U970" s="29">
        <v>12.583518930957686</v>
      </c>
      <c r="V970" s="29">
        <v>8.7833502439117996</v>
      </c>
      <c r="W970" s="29">
        <v>0</v>
      </c>
      <c r="X970" s="29">
        <v>0</v>
      </c>
      <c r="Y970" s="29">
        <v>0</v>
      </c>
      <c r="Z970" s="29">
        <v>0</v>
      </c>
      <c r="AA970" s="29" t="s">
        <v>1602</v>
      </c>
      <c r="AB970" s="29"/>
      <c r="AC970" s="29"/>
      <c r="AD970" s="29" t="s">
        <v>1793</v>
      </c>
      <c r="AE970" s="29" t="s">
        <v>1798</v>
      </c>
      <c r="AF970" s="29"/>
      <c r="AG970" s="29"/>
    </row>
    <row r="971" spans="1:33">
      <c r="A971" s="29" t="s">
        <v>1585</v>
      </c>
      <c r="B971" s="29" t="s">
        <v>1790</v>
      </c>
      <c r="C971" s="29" t="s">
        <v>1791</v>
      </c>
      <c r="D971" s="29" t="s">
        <v>845</v>
      </c>
      <c r="E971" s="29" t="s">
        <v>15</v>
      </c>
      <c r="F971" s="29" t="s">
        <v>1155</v>
      </c>
      <c r="G971" s="29" t="s">
        <v>1801</v>
      </c>
      <c r="H971" s="29" t="s">
        <v>1802</v>
      </c>
      <c r="I971" s="116" t="s">
        <v>310</v>
      </c>
      <c r="J971" s="29" t="s">
        <v>20</v>
      </c>
      <c r="K971" s="29">
        <v>0.4</v>
      </c>
      <c r="L971" s="116"/>
      <c r="M971" s="29" t="s">
        <v>363</v>
      </c>
      <c r="N971" s="29">
        <v>11.3</v>
      </c>
      <c r="O971" s="115">
        <v>11.3</v>
      </c>
      <c r="P971" s="29">
        <v>22.149689152869428</v>
      </c>
      <c r="Q971" s="29">
        <v>1</v>
      </c>
      <c r="R971" s="29">
        <v>89.8</v>
      </c>
      <c r="S971" s="29">
        <v>0.82</v>
      </c>
      <c r="T971" s="29">
        <v>10</v>
      </c>
      <c r="U971" s="29">
        <v>0</v>
      </c>
      <c r="V971" s="29">
        <v>0</v>
      </c>
      <c r="W971" s="29">
        <v>0</v>
      </c>
      <c r="X971" s="29">
        <v>0</v>
      </c>
      <c r="Y971" s="29">
        <v>1.2583518930957684</v>
      </c>
      <c r="Z971" s="29">
        <v>0.87833502439118005</v>
      </c>
      <c r="AA971" s="29" t="s">
        <v>1602</v>
      </c>
      <c r="AB971" s="29"/>
      <c r="AC971" s="29"/>
      <c r="AD971" s="29" t="s">
        <v>1793</v>
      </c>
      <c r="AE971" s="29" t="s">
        <v>1798</v>
      </c>
      <c r="AF971" s="29"/>
      <c r="AG971" s="29"/>
    </row>
    <row r="972" spans="1:33">
      <c r="A972" s="29" t="s">
        <v>1585</v>
      </c>
      <c r="B972" s="29" t="s">
        <v>1790</v>
      </c>
      <c r="C972" s="29" t="s">
        <v>1791</v>
      </c>
      <c r="D972" s="29" t="s">
        <v>845</v>
      </c>
      <c r="E972" s="29" t="s">
        <v>321</v>
      </c>
      <c r="F972" s="29" t="s">
        <v>1158</v>
      </c>
      <c r="G972" s="29" t="s">
        <v>1803</v>
      </c>
      <c r="H972" s="29" t="s">
        <v>1804</v>
      </c>
      <c r="I972" s="116" t="s">
        <v>310</v>
      </c>
      <c r="J972" s="29" t="s">
        <v>20</v>
      </c>
      <c r="K972" s="29">
        <v>0.4</v>
      </c>
      <c r="L972" s="116"/>
      <c r="M972" s="29" t="s">
        <v>363</v>
      </c>
      <c r="N972" s="29">
        <v>11.3</v>
      </c>
      <c r="O972" s="115">
        <v>11.3</v>
      </c>
      <c r="P972" s="29">
        <v>22.149689152869428</v>
      </c>
      <c r="Q972" s="29">
        <v>1</v>
      </c>
      <c r="R972" s="29">
        <v>89.8</v>
      </c>
      <c r="S972" s="29">
        <v>0.82</v>
      </c>
      <c r="T972" s="29">
        <v>10</v>
      </c>
      <c r="U972" s="29">
        <v>0</v>
      </c>
      <c r="V972" s="29">
        <v>0</v>
      </c>
      <c r="W972" s="29">
        <v>0</v>
      </c>
      <c r="X972" s="29">
        <v>0</v>
      </c>
      <c r="Y972" s="29">
        <v>1.2583518930957684</v>
      </c>
      <c r="Z972" s="29">
        <v>0.87833502439118005</v>
      </c>
      <c r="AA972" s="29" t="s">
        <v>1602</v>
      </c>
      <c r="AB972" s="29"/>
      <c r="AC972" s="29"/>
      <c r="AD972" s="29" t="s">
        <v>1793</v>
      </c>
      <c r="AE972" s="29" t="s">
        <v>1798</v>
      </c>
      <c r="AF972" s="29"/>
      <c r="AG972" s="29"/>
    </row>
    <row r="973" spans="1:33">
      <c r="A973" s="29" t="s">
        <v>1585</v>
      </c>
      <c r="B973" s="29" t="s">
        <v>1790</v>
      </c>
      <c r="C973" s="29" t="s">
        <v>1805</v>
      </c>
      <c r="D973" s="29" t="s">
        <v>845</v>
      </c>
      <c r="E973" s="29" t="s">
        <v>15</v>
      </c>
      <c r="F973" s="29" t="s">
        <v>1155</v>
      </c>
      <c r="G973" s="29" t="s">
        <v>1354</v>
      </c>
      <c r="H973" s="29" t="s">
        <v>1806</v>
      </c>
      <c r="I973" s="116" t="s">
        <v>310</v>
      </c>
      <c r="J973" s="29" t="s">
        <v>20</v>
      </c>
      <c r="K973" s="29">
        <v>0.4</v>
      </c>
      <c r="L973" s="116" t="s">
        <v>1807</v>
      </c>
      <c r="M973" s="29" t="s">
        <v>311</v>
      </c>
      <c r="N973" s="29">
        <v>2.4</v>
      </c>
      <c r="O973" s="115">
        <v>2.4</v>
      </c>
      <c r="P973" s="29">
        <v>4.7043587581315593</v>
      </c>
      <c r="Q973" s="29">
        <v>1</v>
      </c>
      <c r="R973" s="29">
        <v>89.8</v>
      </c>
      <c r="S973" s="29">
        <v>0.82</v>
      </c>
      <c r="T973" s="29">
        <v>100</v>
      </c>
      <c r="U973" s="29">
        <v>2.6726057906458798</v>
      </c>
      <c r="V973" s="29">
        <v>1.8654903172910016</v>
      </c>
      <c r="W973" s="29">
        <v>0</v>
      </c>
      <c r="X973" s="29">
        <v>0</v>
      </c>
      <c r="Y973" s="29">
        <v>0</v>
      </c>
      <c r="Z973" s="29">
        <v>0</v>
      </c>
      <c r="AA973" s="29" t="s">
        <v>1602</v>
      </c>
      <c r="AB973" s="29"/>
      <c r="AC973" s="29"/>
      <c r="AD973" s="29" t="s">
        <v>1808</v>
      </c>
      <c r="AE973" s="29" t="s">
        <v>1794</v>
      </c>
      <c r="AF973" s="29"/>
      <c r="AG973" s="29"/>
    </row>
    <row r="974" spans="1:33">
      <c r="A974" s="29" t="s">
        <v>1585</v>
      </c>
      <c r="B974" s="29" t="s">
        <v>1790</v>
      </c>
      <c r="C974" s="29" t="s">
        <v>1809</v>
      </c>
      <c r="D974" s="29" t="s">
        <v>845</v>
      </c>
      <c r="E974" s="29" t="s">
        <v>321</v>
      </c>
      <c r="F974" s="29" t="s">
        <v>1158</v>
      </c>
      <c r="G974" s="29" t="s">
        <v>1810</v>
      </c>
      <c r="H974" s="29" t="s">
        <v>1811</v>
      </c>
      <c r="I974" s="116" t="s">
        <v>310</v>
      </c>
      <c r="J974" s="29" t="s">
        <v>20</v>
      </c>
      <c r="K974" s="29">
        <v>0.4</v>
      </c>
      <c r="L974" s="116" t="s">
        <v>1807</v>
      </c>
      <c r="M974" s="29" t="s">
        <v>311</v>
      </c>
      <c r="N974" s="29">
        <v>2.4</v>
      </c>
      <c r="O974" s="115">
        <v>2.4</v>
      </c>
      <c r="P974" s="29">
        <v>4.7043587581315593</v>
      </c>
      <c r="Q974" s="29">
        <v>1</v>
      </c>
      <c r="R974" s="29">
        <v>89.8</v>
      </c>
      <c r="S974" s="29">
        <v>0.82</v>
      </c>
      <c r="T974" s="29">
        <v>100</v>
      </c>
      <c r="U974" s="29">
        <v>2.6726057906458798</v>
      </c>
      <c r="V974" s="29">
        <v>1.8654903172910016</v>
      </c>
      <c r="W974" s="29">
        <v>0</v>
      </c>
      <c r="X974" s="29">
        <v>0</v>
      </c>
      <c r="Y974" s="29">
        <v>0</v>
      </c>
      <c r="Z974" s="29">
        <v>0</v>
      </c>
      <c r="AA974" s="29" t="s">
        <v>1602</v>
      </c>
      <c r="AB974" s="29"/>
      <c r="AC974" s="29"/>
      <c r="AD974" s="29" t="s">
        <v>1812</v>
      </c>
      <c r="AE974" s="29" t="s">
        <v>1794</v>
      </c>
      <c r="AF974" s="29"/>
      <c r="AG974" s="29"/>
    </row>
    <row r="975" spans="1:33">
      <c r="A975" s="29" t="s">
        <v>1585</v>
      </c>
      <c r="B975" s="29" t="s">
        <v>1790</v>
      </c>
      <c r="C975" s="29" t="s">
        <v>1805</v>
      </c>
      <c r="D975" s="29" t="s">
        <v>845</v>
      </c>
      <c r="E975" s="29" t="s">
        <v>15</v>
      </c>
      <c r="F975" s="29" t="s">
        <v>1155</v>
      </c>
      <c r="G975" s="29" t="s">
        <v>1813</v>
      </c>
      <c r="H975" s="29" t="s">
        <v>1814</v>
      </c>
      <c r="I975" s="116" t="s">
        <v>310</v>
      </c>
      <c r="J975" s="29" t="s">
        <v>20</v>
      </c>
      <c r="K975" s="29">
        <v>0.4</v>
      </c>
      <c r="L975" s="116"/>
      <c r="M975" s="29" t="s">
        <v>311</v>
      </c>
      <c r="N975" s="29">
        <v>20</v>
      </c>
      <c r="O975" s="115">
        <v>20</v>
      </c>
      <c r="P975" s="29">
        <v>39.202989651096331</v>
      </c>
      <c r="Q975" s="29">
        <v>1</v>
      </c>
      <c r="R975" s="29">
        <v>89.8</v>
      </c>
      <c r="S975" s="29">
        <v>0.82</v>
      </c>
      <c r="T975" s="29">
        <v>100</v>
      </c>
      <c r="U975" s="29">
        <v>22.271714922049</v>
      </c>
      <c r="V975" s="29">
        <v>15.545752644091682</v>
      </c>
      <c r="W975" s="29">
        <v>0</v>
      </c>
      <c r="X975" s="29">
        <v>0</v>
      </c>
      <c r="Y975" s="29">
        <v>0</v>
      </c>
      <c r="Z975" s="29">
        <v>0</v>
      </c>
      <c r="AA975" s="29" t="s">
        <v>1602</v>
      </c>
      <c r="AB975" s="29"/>
      <c r="AC975" s="29"/>
      <c r="AD975" s="29"/>
      <c r="AE975" s="29" t="s">
        <v>1798</v>
      </c>
      <c r="AF975" s="29"/>
      <c r="AG975" s="29"/>
    </row>
    <row r="976" spans="1:33">
      <c r="A976" s="29" t="s">
        <v>1585</v>
      </c>
      <c r="B976" s="29" t="s">
        <v>1790</v>
      </c>
      <c r="C976" s="29" t="s">
        <v>1809</v>
      </c>
      <c r="D976" s="29" t="s">
        <v>845</v>
      </c>
      <c r="E976" s="29" t="s">
        <v>321</v>
      </c>
      <c r="F976" s="29" t="s">
        <v>1158</v>
      </c>
      <c r="G976" s="29" t="s">
        <v>1815</v>
      </c>
      <c r="H976" s="29" t="s">
        <v>1816</v>
      </c>
      <c r="I976" s="116" t="s">
        <v>310</v>
      </c>
      <c r="J976" s="29" t="s">
        <v>20</v>
      </c>
      <c r="K976" s="29">
        <v>0.4</v>
      </c>
      <c r="L976" s="116"/>
      <c r="M976" s="29" t="s">
        <v>311</v>
      </c>
      <c r="N976" s="29">
        <v>20</v>
      </c>
      <c r="O976" s="115">
        <v>20</v>
      </c>
      <c r="P976" s="29">
        <v>39.202989651096331</v>
      </c>
      <c r="Q976" s="29">
        <v>1</v>
      </c>
      <c r="R976" s="29">
        <v>89.8</v>
      </c>
      <c r="S976" s="29">
        <v>0.82</v>
      </c>
      <c r="T976" s="29">
        <v>100</v>
      </c>
      <c r="U976" s="29">
        <v>22.271714922049</v>
      </c>
      <c r="V976" s="29">
        <v>15.545752644091682</v>
      </c>
      <c r="W976" s="29">
        <v>0</v>
      </c>
      <c r="X976" s="29">
        <v>0</v>
      </c>
      <c r="Y976" s="29">
        <v>0</v>
      </c>
      <c r="Z976" s="29">
        <v>0</v>
      </c>
      <c r="AA976" s="29" t="s">
        <v>1602</v>
      </c>
      <c r="AB976" s="29"/>
      <c r="AC976" s="29"/>
      <c r="AD976" s="29"/>
      <c r="AE976" s="29" t="s">
        <v>1798</v>
      </c>
      <c r="AF976" s="29"/>
      <c r="AG976" s="29"/>
    </row>
    <row r="977" spans="1:33">
      <c r="A977" s="29" t="s">
        <v>1585</v>
      </c>
      <c r="B977" s="29" t="s">
        <v>1790</v>
      </c>
      <c r="C977" s="29" t="s">
        <v>1805</v>
      </c>
      <c r="D977" s="29" t="s">
        <v>845</v>
      </c>
      <c r="E977" s="29" t="s">
        <v>15</v>
      </c>
      <c r="F977" s="29" t="s">
        <v>1155</v>
      </c>
      <c r="G977" s="29" t="s">
        <v>1813</v>
      </c>
      <c r="H977" s="29" t="s">
        <v>1817</v>
      </c>
      <c r="I977" s="116" t="s">
        <v>310</v>
      </c>
      <c r="J977" s="29" t="s">
        <v>20</v>
      </c>
      <c r="K977" s="29">
        <v>0.4</v>
      </c>
      <c r="L977" s="116"/>
      <c r="M977" s="29" t="s">
        <v>363</v>
      </c>
      <c r="N977" s="29">
        <v>20</v>
      </c>
      <c r="O977" s="115">
        <v>20</v>
      </c>
      <c r="P977" s="29">
        <v>39.202989651096331</v>
      </c>
      <c r="Q977" s="29">
        <v>1</v>
      </c>
      <c r="R977" s="29">
        <v>89.8</v>
      </c>
      <c r="S977" s="29">
        <v>0.82</v>
      </c>
      <c r="T977" s="29">
        <v>10</v>
      </c>
      <c r="U977" s="29">
        <v>0</v>
      </c>
      <c r="V977" s="29">
        <v>0</v>
      </c>
      <c r="W977" s="29">
        <v>0</v>
      </c>
      <c r="X977" s="29">
        <v>0</v>
      </c>
      <c r="Y977" s="29">
        <v>2.2271714922048997</v>
      </c>
      <c r="Z977" s="29">
        <v>1.5545752644091682</v>
      </c>
      <c r="AA977" s="29" t="s">
        <v>1602</v>
      </c>
      <c r="AB977" s="29"/>
      <c r="AC977" s="29"/>
      <c r="AD977" s="29"/>
      <c r="AE977" s="29" t="s">
        <v>1798</v>
      </c>
      <c r="AF977" s="29"/>
      <c r="AG977" s="29"/>
    </row>
    <row r="978" spans="1:33">
      <c r="A978" s="29" t="s">
        <v>1585</v>
      </c>
      <c r="B978" s="29" t="s">
        <v>1790</v>
      </c>
      <c r="C978" s="29" t="s">
        <v>1809</v>
      </c>
      <c r="D978" s="29" t="s">
        <v>845</v>
      </c>
      <c r="E978" s="29" t="s">
        <v>321</v>
      </c>
      <c r="F978" s="29" t="s">
        <v>1158</v>
      </c>
      <c r="G978" s="29" t="s">
        <v>1815</v>
      </c>
      <c r="H978" s="29" t="s">
        <v>1818</v>
      </c>
      <c r="I978" s="116" t="s">
        <v>310</v>
      </c>
      <c r="J978" s="29" t="s">
        <v>20</v>
      </c>
      <c r="K978" s="29">
        <v>0.4</v>
      </c>
      <c r="L978" s="116"/>
      <c r="M978" s="29" t="s">
        <v>363</v>
      </c>
      <c r="N978" s="29">
        <v>20</v>
      </c>
      <c r="O978" s="115">
        <v>20</v>
      </c>
      <c r="P978" s="29">
        <v>39.202989651096331</v>
      </c>
      <c r="Q978" s="29">
        <v>1</v>
      </c>
      <c r="R978" s="29">
        <v>89.8</v>
      </c>
      <c r="S978" s="29">
        <v>0.82</v>
      </c>
      <c r="T978" s="29">
        <v>10</v>
      </c>
      <c r="U978" s="29">
        <v>0</v>
      </c>
      <c r="V978" s="29">
        <v>0</v>
      </c>
      <c r="W978" s="29">
        <v>0</v>
      </c>
      <c r="X978" s="29">
        <v>0</v>
      </c>
      <c r="Y978" s="29">
        <v>2.2271714922048997</v>
      </c>
      <c r="Z978" s="29">
        <v>1.5545752644091682</v>
      </c>
      <c r="AA978" s="29" t="s">
        <v>1602</v>
      </c>
      <c r="AB978" s="29"/>
      <c r="AC978" s="29"/>
      <c r="AD978" s="29"/>
      <c r="AE978" s="29" t="s">
        <v>1798</v>
      </c>
      <c r="AF978" s="29"/>
      <c r="AG978" s="29"/>
    </row>
    <row r="979" spans="1:33">
      <c r="A979" s="29" t="s">
        <v>1608</v>
      </c>
      <c r="B979" s="29" t="s">
        <v>1580</v>
      </c>
      <c r="C979" s="29" t="s">
        <v>360</v>
      </c>
      <c r="D979" s="29" t="s">
        <v>845</v>
      </c>
      <c r="E979" s="29" t="s">
        <v>15</v>
      </c>
      <c r="F979" s="29" t="s">
        <v>1155</v>
      </c>
      <c r="G979" s="29" t="s">
        <v>1362</v>
      </c>
      <c r="H979" s="29" t="s">
        <v>1363</v>
      </c>
      <c r="I979" s="116" t="s">
        <v>310</v>
      </c>
      <c r="J979" s="29" t="s">
        <v>20</v>
      </c>
      <c r="K979" s="29">
        <v>0.4</v>
      </c>
      <c r="L979" s="116"/>
      <c r="M979" s="29" t="s">
        <v>311</v>
      </c>
      <c r="N979" s="29">
        <v>2</v>
      </c>
      <c r="O979" s="115">
        <v>2</v>
      </c>
      <c r="P979" s="29">
        <v>3.3763173636820221</v>
      </c>
      <c r="Q979" s="29">
        <v>1</v>
      </c>
      <c r="R979" s="29">
        <v>95</v>
      </c>
      <c r="S979" s="29">
        <v>0.9</v>
      </c>
      <c r="T979" s="29">
        <v>100</v>
      </c>
      <c r="U979" s="29">
        <v>2.1052631578947367</v>
      </c>
      <c r="V979" s="29">
        <v>1.0196254838691632</v>
      </c>
      <c r="W979" s="29">
        <v>0</v>
      </c>
      <c r="X979" s="29">
        <v>0</v>
      </c>
      <c r="Y979" s="29">
        <v>0</v>
      </c>
      <c r="Z979" s="29">
        <v>0</v>
      </c>
      <c r="AA979" s="29"/>
      <c r="AB979" s="29"/>
      <c r="AC979" s="29"/>
      <c r="AD979" s="29"/>
      <c r="AE979" s="29"/>
      <c r="AF979" s="29"/>
      <c r="AG979" s="29"/>
    </row>
    <row r="980" spans="1:33">
      <c r="A980" s="29" t="s">
        <v>1608</v>
      </c>
      <c r="B980" s="29" t="s">
        <v>1580</v>
      </c>
      <c r="C980" s="29" t="s">
        <v>360</v>
      </c>
      <c r="D980" s="29" t="s">
        <v>845</v>
      </c>
      <c r="E980" s="29" t="s">
        <v>321</v>
      </c>
      <c r="F980" s="29" t="s">
        <v>1158</v>
      </c>
      <c r="G980" s="29" t="s">
        <v>1364</v>
      </c>
      <c r="H980" s="29" t="s">
        <v>1365</v>
      </c>
      <c r="I980" s="116" t="s">
        <v>310</v>
      </c>
      <c r="J980" s="29" t="s">
        <v>20</v>
      </c>
      <c r="K980" s="29">
        <v>0.4</v>
      </c>
      <c r="L980" s="116"/>
      <c r="M980" s="29" t="s">
        <v>311</v>
      </c>
      <c r="N980" s="29">
        <v>2</v>
      </c>
      <c r="O980" s="115">
        <v>2</v>
      </c>
      <c r="P980" s="29">
        <v>3.3763173636820221</v>
      </c>
      <c r="Q980" s="29">
        <v>1</v>
      </c>
      <c r="R980" s="29">
        <v>95</v>
      </c>
      <c r="S980" s="29">
        <v>0.9</v>
      </c>
      <c r="T980" s="29">
        <v>100</v>
      </c>
      <c r="U980" s="29">
        <v>2.1052631578947367</v>
      </c>
      <c r="V980" s="29">
        <v>1.0196254838691632</v>
      </c>
      <c r="W980" s="29">
        <v>0</v>
      </c>
      <c r="X980" s="29">
        <v>0</v>
      </c>
      <c r="Y980" s="29">
        <v>0</v>
      </c>
      <c r="Z980" s="29">
        <v>0</v>
      </c>
      <c r="AA980" s="29"/>
      <c r="AB980" s="29"/>
      <c r="AC980" s="29"/>
      <c r="AD980" s="29"/>
      <c r="AE980" s="29"/>
      <c r="AF980" s="29"/>
      <c r="AG980" s="29"/>
    </row>
    <row r="981" spans="1:33">
      <c r="A981" s="29" t="s">
        <v>1608</v>
      </c>
      <c r="B981" s="29" t="s">
        <v>1580</v>
      </c>
      <c r="C981" s="29" t="s">
        <v>360</v>
      </c>
      <c r="D981" s="29" t="s">
        <v>845</v>
      </c>
      <c r="E981" s="29" t="s">
        <v>15</v>
      </c>
      <c r="F981" s="29" t="s">
        <v>1155</v>
      </c>
      <c r="G981" s="29" t="s">
        <v>1366</v>
      </c>
      <c r="H981" s="29" t="s">
        <v>1367</v>
      </c>
      <c r="I981" s="116" t="s">
        <v>310</v>
      </c>
      <c r="J981" s="29" t="s">
        <v>20</v>
      </c>
      <c r="K981" s="29">
        <v>0.4</v>
      </c>
      <c r="L981" s="116"/>
      <c r="M981" s="29" t="s">
        <v>311</v>
      </c>
      <c r="N981" s="29">
        <v>2</v>
      </c>
      <c r="O981" s="115">
        <v>2</v>
      </c>
      <c r="P981" s="29">
        <v>3.3763173636820221</v>
      </c>
      <c r="Q981" s="29">
        <v>1</v>
      </c>
      <c r="R981" s="29">
        <v>95</v>
      </c>
      <c r="S981" s="29">
        <v>0.9</v>
      </c>
      <c r="T981" s="29">
        <v>100</v>
      </c>
      <c r="U981" s="29">
        <v>2.1052631578947367</v>
      </c>
      <c r="V981" s="29">
        <v>1.0196254838691632</v>
      </c>
      <c r="W981" s="29">
        <v>0</v>
      </c>
      <c r="X981" s="29">
        <v>0</v>
      </c>
      <c r="Y981" s="29">
        <v>0</v>
      </c>
      <c r="Z981" s="29">
        <v>0</v>
      </c>
      <c r="AA981" s="29"/>
      <c r="AB981" s="29"/>
      <c r="AC981" s="29"/>
      <c r="AD981" s="29"/>
      <c r="AE981" s="29"/>
      <c r="AF981" s="29"/>
      <c r="AG981" s="29"/>
    </row>
    <row r="982" spans="1:33">
      <c r="A982" s="29" t="s">
        <v>1608</v>
      </c>
      <c r="B982" s="29" t="s">
        <v>1580</v>
      </c>
      <c r="C982" s="29" t="s">
        <v>360</v>
      </c>
      <c r="D982" s="29" t="s">
        <v>845</v>
      </c>
      <c r="E982" s="29" t="s">
        <v>321</v>
      </c>
      <c r="F982" s="29" t="s">
        <v>1158</v>
      </c>
      <c r="G982" s="29" t="s">
        <v>1368</v>
      </c>
      <c r="H982" s="29" t="s">
        <v>1369</v>
      </c>
      <c r="I982" s="116" t="s">
        <v>310</v>
      </c>
      <c r="J982" s="29" t="s">
        <v>20</v>
      </c>
      <c r="K982" s="29">
        <v>0.4</v>
      </c>
      <c r="L982" s="116"/>
      <c r="M982" s="29" t="s">
        <v>311</v>
      </c>
      <c r="N982" s="29">
        <v>2</v>
      </c>
      <c r="O982" s="115">
        <v>2</v>
      </c>
      <c r="P982" s="29">
        <v>3.3763173636820221</v>
      </c>
      <c r="Q982" s="29">
        <v>1</v>
      </c>
      <c r="R982" s="29">
        <v>95</v>
      </c>
      <c r="S982" s="29">
        <v>0.9</v>
      </c>
      <c r="T982" s="29">
        <v>100</v>
      </c>
      <c r="U982" s="29">
        <v>2.1052631578947367</v>
      </c>
      <c r="V982" s="29">
        <v>1.0196254838691632</v>
      </c>
      <c r="W982" s="29">
        <v>0</v>
      </c>
      <c r="X982" s="29">
        <v>0</v>
      </c>
      <c r="Y982" s="29">
        <v>0</v>
      </c>
      <c r="Z982" s="29">
        <v>0</v>
      </c>
      <c r="AA982" s="29"/>
      <c r="AB982" s="29"/>
      <c r="AC982" s="29"/>
      <c r="AD982" s="29"/>
      <c r="AE982" s="29"/>
      <c r="AF982" s="29"/>
      <c r="AG982" s="29"/>
    </row>
    <row r="983" spans="1:33">
      <c r="A983" s="29" t="s">
        <v>1608</v>
      </c>
      <c r="B983" s="29" t="s">
        <v>1580</v>
      </c>
      <c r="C983" s="29" t="s">
        <v>360</v>
      </c>
      <c r="D983" s="29" t="s">
        <v>845</v>
      </c>
      <c r="E983" s="29" t="s">
        <v>15</v>
      </c>
      <c r="F983" s="29" t="s">
        <v>1155</v>
      </c>
      <c r="G983" s="29" t="s">
        <v>1370</v>
      </c>
      <c r="H983" s="29" t="s">
        <v>1371</v>
      </c>
      <c r="I983" s="116" t="s">
        <v>310</v>
      </c>
      <c r="J983" s="29" t="s">
        <v>20</v>
      </c>
      <c r="K983" s="29">
        <v>0.4</v>
      </c>
      <c r="L983" s="116"/>
      <c r="M983" s="29" t="s">
        <v>311</v>
      </c>
      <c r="N983" s="29">
        <v>2</v>
      </c>
      <c r="O983" s="115">
        <v>2</v>
      </c>
      <c r="P983" s="29">
        <v>3.3763173636820221</v>
      </c>
      <c r="Q983" s="29">
        <v>1</v>
      </c>
      <c r="R983" s="29">
        <v>95</v>
      </c>
      <c r="S983" s="29">
        <v>0.9</v>
      </c>
      <c r="T983" s="29">
        <v>100</v>
      </c>
      <c r="U983" s="29">
        <v>2.1052631578947367</v>
      </c>
      <c r="V983" s="29">
        <v>1.0196254838691632</v>
      </c>
      <c r="W983" s="29">
        <v>0</v>
      </c>
      <c r="X983" s="29">
        <v>0</v>
      </c>
      <c r="Y983" s="29">
        <v>0</v>
      </c>
      <c r="Z983" s="29">
        <v>0</v>
      </c>
      <c r="AA983" s="29"/>
      <c r="AB983" s="29"/>
      <c r="AC983" s="29"/>
      <c r="AD983" s="29"/>
      <c r="AE983" s="29"/>
      <c r="AF983" s="29"/>
      <c r="AG983" s="29"/>
    </row>
    <row r="984" spans="1:33">
      <c r="A984" s="29" t="s">
        <v>1608</v>
      </c>
      <c r="B984" s="29" t="s">
        <v>1580</v>
      </c>
      <c r="C984" s="29" t="s">
        <v>1581</v>
      </c>
      <c r="D984" s="29" t="s">
        <v>845</v>
      </c>
      <c r="E984" s="29" t="s">
        <v>321</v>
      </c>
      <c r="F984" s="29" t="s">
        <v>1158</v>
      </c>
      <c r="G984" s="29" t="s">
        <v>1372</v>
      </c>
      <c r="H984" s="29" t="s">
        <v>1373</v>
      </c>
      <c r="I984" s="116" t="s">
        <v>310</v>
      </c>
      <c r="J984" s="29" t="s">
        <v>20</v>
      </c>
      <c r="K984" s="29">
        <v>0.4</v>
      </c>
      <c r="L984" s="116"/>
      <c r="M984" s="29" t="s">
        <v>311</v>
      </c>
      <c r="N984" s="29">
        <v>3</v>
      </c>
      <c r="O984" s="115">
        <v>3</v>
      </c>
      <c r="P984" s="29">
        <v>5.0644760455230333</v>
      </c>
      <c r="Q984" s="29">
        <v>1</v>
      </c>
      <c r="R984" s="29">
        <v>95</v>
      </c>
      <c r="S984" s="29">
        <v>0.9</v>
      </c>
      <c r="T984" s="29">
        <v>100</v>
      </c>
      <c r="U984" s="29">
        <v>3.1578947368421053</v>
      </c>
      <c r="V984" s="29">
        <v>1.5294382258037449</v>
      </c>
      <c r="W984" s="29">
        <v>0</v>
      </c>
      <c r="X984" s="29">
        <v>0</v>
      </c>
      <c r="Y984" s="29">
        <v>0</v>
      </c>
      <c r="Z984" s="29">
        <v>0</v>
      </c>
      <c r="AA984" s="29"/>
      <c r="AB984" s="29"/>
      <c r="AC984" s="29"/>
      <c r="AD984" s="29"/>
      <c r="AE984" s="29"/>
      <c r="AF984" s="29"/>
      <c r="AG984" s="29"/>
    </row>
    <row r="985" spans="1:33">
      <c r="A985" s="29" t="s">
        <v>1608</v>
      </c>
      <c r="B985" s="29" t="s">
        <v>1580</v>
      </c>
      <c r="C985" s="29" t="s">
        <v>1581</v>
      </c>
      <c r="D985" s="29" t="s">
        <v>845</v>
      </c>
      <c r="E985" s="29" t="s">
        <v>15</v>
      </c>
      <c r="F985" s="29" t="s">
        <v>1155</v>
      </c>
      <c r="G985" s="29" t="s">
        <v>1374</v>
      </c>
      <c r="H985" s="29" t="s">
        <v>1373</v>
      </c>
      <c r="I985" s="116" t="s">
        <v>310</v>
      </c>
      <c r="J985" s="29" t="s">
        <v>20</v>
      </c>
      <c r="K985" s="29">
        <v>0.4</v>
      </c>
      <c r="L985" s="116"/>
      <c r="M985" s="29" t="s">
        <v>311</v>
      </c>
      <c r="N985" s="29">
        <v>3</v>
      </c>
      <c r="O985" s="115">
        <v>3</v>
      </c>
      <c r="P985" s="29">
        <v>5.0644760455230333</v>
      </c>
      <c r="Q985" s="29">
        <v>1</v>
      </c>
      <c r="R985" s="29">
        <v>95</v>
      </c>
      <c r="S985" s="29">
        <v>0.9</v>
      </c>
      <c r="T985" s="29">
        <v>100</v>
      </c>
      <c r="U985" s="29">
        <v>3.1578947368421053</v>
      </c>
      <c r="V985" s="29">
        <v>1.5294382258037449</v>
      </c>
      <c r="W985" s="29">
        <v>0</v>
      </c>
      <c r="X985" s="29">
        <v>0</v>
      </c>
      <c r="Y985" s="29">
        <v>0</v>
      </c>
      <c r="Z985" s="29">
        <v>0</v>
      </c>
      <c r="AA985" s="29"/>
      <c r="AB985" s="29"/>
      <c r="AC985" s="29"/>
      <c r="AD985" s="29"/>
      <c r="AE985" s="29"/>
      <c r="AF985" s="29"/>
      <c r="AG985" s="29"/>
    </row>
    <row r="986" spans="1:33">
      <c r="A986" s="29" t="s">
        <v>1608</v>
      </c>
      <c r="B986" s="29" t="s">
        <v>1580</v>
      </c>
      <c r="C986" s="29" t="s">
        <v>1596</v>
      </c>
      <c r="D986" s="29" t="s">
        <v>845</v>
      </c>
      <c r="E986" s="29" t="s">
        <v>321</v>
      </c>
      <c r="F986" s="29" t="s">
        <v>1158</v>
      </c>
      <c r="G986" s="29" t="s">
        <v>1375</v>
      </c>
      <c r="H986" s="29" t="s">
        <v>1376</v>
      </c>
      <c r="I986" s="116" t="s">
        <v>310</v>
      </c>
      <c r="J986" s="29" t="s">
        <v>20</v>
      </c>
      <c r="K986" s="29">
        <v>0.4</v>
      </c>
      <c r="L986" s="116"/>
      <c r="M986" s="29" t="s">
        <v>311</v>
      </c>
      <c r="N986" s="29">
        <v>2</v>
      </c>
      <c r="O986" s="115">
        <v>2</v>
      </c>
      <c r="P986" s="29">
        <v>3.3763173636820221</v>
      </c>
      <c r="Q986" s="29">
        <v>1</v>
      </c>
      <c r="R986" s="29">
        <v>95</v>
      </c>
      <c r="S986" s="29">
        <v>0.9</v>
      </c>
      <c r="T986" s="29">
        <v>100</v>
      </c>
      <c r="U986" s="29">
        <v>2.1052631578947367</v>
      </c>
      <c r="V986" s="29">
        <v>1.0196254838691632</v>
      </c>
      <c r="W986" s="29">
        <v>0</v>
      </c>
      <c r="X986" s="29">
        <v>0</v>
      </c>
      <c r="Y986" s="29">
        <v>0</v>
      </c>
      <c r="Z986" s="29">
        <v>0</v>
      </c>
      <c r="AA986" s="29"/>
      <c r="AB986" s="29"/>
      <c r="AC986" s="29"/>
      <c r="AD986" s="29"/>
      <c r="AE986" s="29"/>
      <c r="AF986" s="29"/>
      <c r="AG986" s="29"/>
    </row>
    <row r="987" spans="1:33">
      <c r="A987" s="29" t="s">
        <v>1608</v>
      </c>
      <c r="B987" s="29" t="s">
        <v>1580</v>
      </c>
      <c r="C987" s="29" t="s">
        <v>1596</v>
      </c>
      <c r="D987" s="29" t="s">
        <v>845</v>
      </c>
      <c r="E987" s="29" t="s">
        <v>15</v>
      </c>
      <c r="F987" s="29" t="s">
        <v>1155</v>
      </c>
      <c r="G987" s="29" t="s">
        <v>1377</v>
      </c>
      <c r="H987" s="29" t="s">
        <v>1376</v>
      </c>
      <c r="I987" s="116" t="s">
        <v>310</v>
      </c>
      <c r="J987" s="29" t="s">
        <v>20</v>
      </c>
      <c r="K987" s="29">
        <v>0.4</v>
      </c>
      <c r="L987" s="116"/>
      <c r="M987" s="29" t="s">
        <v>311</v>
      </c>
      <c r="N987" s="29">
        <v>2</v>
      </c>
      <c r="O987" s="115">
        <v>2</v>
      </c>
      <c r="P987" s="29">
        <v>3.3763173636820221</v>
      </c>
      <c r="Q987" s="29">
        <v>1</v>
      </c>
      <c r="R987" s="29">
        <v>95</v>
      </c>
      <c r="S987" s="29">
        <v>0.9</v>
      </c>
      <c r="T987" s="29">
        <v>100</v>
      </c>
      <c r="U987" s="29">
        <v>2.1052631578947367</v>
      </c>
      <c r="V987" s="29">
        <v>1.0196254838691632</v>
      </c>
      <c r="W987" s="29">
        <v>0</v>
      </c>
      <c r="X987" s="29">
        <v>0</v>
      </c>
      <c r="Y987" s="29">
        <v>0</v>
      </c>
      <c r="Z987" s="29">
        <v>0</v>
      </c>
      <c r="AA987" s="29"/>
      <c r="AB987" s="29"/>
      <c r="AC987" s="29"/>
      <c r="AD987" s="29"/>
      <c r="AE987" s="29"/>
      <c r="AF987" s="29"/>
      <c r="AG987" s="29"/>
    </row>
    <row r="988" spans="1:33">
      <c r="A988" s="29" t="s">
        <v>1608</v>
      </c>
      <c r="B988" s="29" t="s">
        <v>1580</v>
      </c>
      <c r="C988" s="29" t="s">
        <v>1596</v>
      </c>
      <c r="D988" s="29" t="s">
        <v>845</v>
      </c>
      <c r="E988" s="29" t="s">
        <v>321</v>
      </c>
      <c r="F988" s="29" t="s">
        <v>1158</v>
      </c>
      <c r="G988" s="29" t="s">
        <v>1378</v>
      </c>
      <c r="H988" s="29" t="s">
        <v>1376</v>
      </c>
      <c r="I988" s="116" t="s">
        <v>310</v>
      </c>
      <c r="J988" s="29" t="s">
        <v>20</v>
      </c>
      <c r="K988" s="29">
        <v>0.4</v>
      </c>
      <c r="L988" s="116"/>
      <c r="M988" s="29" t="s">
        <v>311</v>
      </c>
      <c r="N988" s="29">
        <v>2</v>
      </c>
      <c r="O988" s="115">
        <v>2</v>
      </c>
      <c r="P988" s="29">
        <v>3.3763173636820221</v>
      </c>
      <c r="Q988" s="29">
        <v>1</v>
      </c>
      <c r="R988" s="29">
        <v>95</v>
      </c>
      <c r="S988" s="29">
        <v>0.9</v>
      </c>
      <c r="T988" s="29">
        <v>100</v>
      </c>
      <c r="U988" s="29">
        <v>2.1052631578947367</v>
      </c>
      <c r="V988" s="29">
        <v>1.0196254838691632</v>
      </c>
      <c r="W988" s="29">
        <v>0</v>
      </c>
      <c r="X988" s="29">
        <v>0</v>
      </c>
      <c r="Y988" s="29">
        <v>0</v>
      </c>
      <c r="Z988" s="29">
        <v>0</v>
      </c>
      <c r="AA988" s="29"/>
      <c r="AB988" s="29"/>
      <c r="AC988" s="29"/>
      <c r="AD988" s="29"/>
      <c r="AE988" s="29"/>
      <c r="AF988" s="29"/>
      <c r="AG988" s="29"/>
    </row>
    <row r="989" spans="1:33">
      <c r="A989" s="29" t="s">
        <v>1608</v>
      </c>
      <c r="B989" s="29" t="s">
        <v>1580</v>
      </c>
      <c r="C989" s="29" t="s">
        <v>1596</v>
      </c>
      <c r="D989" s="29" t="s">
        <v>845</v>
      </c>
      <c r="E989" s="29" t="s">
        <v>15</v>
      </c>
      <c r="F989" s="29" t="s">
        <v>1155</v>
      </c>
      <c r="G989" s="29" t="s">
        <v>1379</v>
      </c>
      <c r="H989" s="29" t="s">
        <v>1376</v>
      </c>
      <c r="I989" s="116" t="s">
        <v>310</v>
      </c>
      <c r="J989" s="29" t="s">
        <v>20</v>
      </c>
      <c r="K989" s="29">
        <v>0.4</v>
      </c>
      <c r="L989" s="116"/>
      <c r="M989" s="29" t="s">
        <v>311</v>
      </c>
      <c r="N989" s="29">
        <v>2</v>
      </c>
      <c r="O989" s="115">
        <v>2</v>
      </c>
      <c r="P989" s="29">
        <v>3.3763173636820221</v>
      </c>
      <c r="Q989" s="29">
        <v>1</v>
      </c>
      <c r="R989" s="29">
        <v>95</v>
      </c>
      <c r="S989" s="29">
        <v>0.9</v>
      </c>
      <c r="T989" s="29">
        <v>100</v>
      </c>
      <c r="U989" s="29">
        <v>2.1052631578947367</v>
      </c>
      <c r="V989" s="29">
        <v>1.0196254838691632</v>
      </c>
      <c r="W989" s="29">
        <v>0</v>
      </c>
      <c r="X989" s="29">
        <v>0</v>
      </c>
      <c r="Y989" s="29">
        <v>0</v>
      </c>
      <c r="Z989" s="29">
        <v>0</v>
      </c>
      <c r="AA989" s="29"/>
      <c r="AB989" s="29"/>
      <c r="AC989" s="29"/>
      <c r="AD989" s="29"/>
      <c r="AE989" s="29"/>
      <c r="AF989" s="29"/>
      <c r="AG989" s="29"/>
    </row>
    <row r="990" spans="1:33">
      <c r="A990" s="29" t="s">
        <v>1608</v>
      </c>
      <c r="B990" s="29" t="s">
        <v>1580</v>
      </c>
      <c r="C990" s="29" t="s">
        <v>1596</v>
      </c>
      <c r="D990" s="29" t="s">
        <v>845</v>
      </c>
      <c r="E990" s="29" t="s">
        <v>321</v>
      </c>
      <c r="F990" s="29" t="s">
        <v>1158</v>
      </c>
      <c r="G990" s="29" t="s">
        <v>1380</v>
      </c>
      <c r="H990" s="29" t="s">
        <v>1381</v>
      </c>
      <c r="I990" s="116" t="s">
        <v>310</v>
      </c>
      <c r="J990" s="29" t="s">
        <v>20</v>
      </c>
      <c r="K990" s="29">
        <v>0.4</v>
      </c>
      <c r="L990" s="116"/>
      <c r="M990" s="29" t="s">
        <v>311</v>
      </c>
      <c r="N990" s="29">
        <v>3</v>
      </c>
      <c r="O990" s="115">
        <v>3</v>
      </c>
      <c r="P990" s="29">
        <v>5.0644760455230333</v>
      </c>
      <c r="Q990" s="29">
        <v>1</v>
      </c>
      <c r="R990" s="29">
        <v>95</v>
      </c>
      <c r="S990" s="29">
        <v>0.9</v>
      </c>
      <c r="T990" s="29">
        <v>100</v>
      </c>
      <c r="U990" s="29">
        <v>3.1578947368421053</v>
      </c>
      <c r="V990" s="29">
        <v>1.5294382258037449</v>
      </c>
      <c r="W990" s="29">
        <v>0</v>
      </c>
      <c r="X990" s="29">
        <v>0</v>
      </c>
      <c r="Y990" s="29">
        <v>0</v>
      </c>
      <c r="Z990" s="29">
        <v>0</v>
      </c>
      <c r="AA990" s="29"/>
      <c r="AB990" s="29"/>
      <c r="AC990" s="29"/>
      <c r="AD990" s="29"/>
      <c r="AE990" s="29"/>
      <c r="AF990" s="29"/>
      <c r="AG990" s="29"/>
    </row>
    <row r="991" spans="1:33">
      <c r="A991" s="29" t="s">
        <v>1608</v>
      </c>
      <c r="B991" s="29" t="s">
        <v>1580</v>
      </c>
      <c r="C991" s="29" t="s">
        <v>1596</v>
      </c>
      <c r="D991" s="29" t="s">
        <v>845</v>
      </c>
      <c r="E991" s="29" t="s">
        <v>15</v>
      </c>
      <c r="F991" s="29" t="s">
        <v>1155</v>
      </c>
      <c r="G991" s="29" t="s">
        <v>1382</v>
      </c>
      <c r="H991" s="29" t="s">
        <v>1381</v>
      </c>
      <c r="I991" s="116" t="s">
        <v>310</v>
      </c>
      <c r="J991" s="29" t="s">
        <v>20</v>
      </c>
      <c r="K991" s="29">
        <v>0.4</v>
      </c>
      <c r="L991" s="116"/>
      <c r="M991" s="29" t="s">
        <v>311</v>
      </c>
      <c r="N991" s="29">
        <v>3</v>
      </c>
      <c r="O991" s="115">
        <v>3</v>
      </c>
      <c r="P991" s="29">
        <v>5.0644760455230333</v>
      </c>
      <c r="Q991" s="29">
        <v>1</v>
      </c>
      <c r="R991" s="29">
        <v>95</v>
      </c>
      <c r="S991" s="29">
        <v>0.9</v>
      </c>
      <c r="T991" s="29">
        <v>100</v>
      </c>
      <c r="U991" s="29">
        <v>3.1578947368421053</v>
      </c>
      <c r="V991" s="29">
        <v>1.5294382258037449</v>
      </c>
      <c r="W991" s="29">
        <v>0</v>
      </c>
      <c r="X991" s="29">
        <v>0</v>
      </c>
      <c r="Y991" s="29">
        <v>0</v>
      </c>
      <c r="Z991" s="29">
        <v>0</v>
      </c>
      <c r="AA991" s="29"/>
      <c r="AB991" s="29"/>
      <c r="AC991" s="29"/>
      <c r="AD991" s="29"/>
      <c r="AE991" s="29"/>
      <c r="AF991" s="29"/>
      <c r="AG991" s="29"/>
    </row>
    <row r="992" spans="1:33">
      <c r="A992" s="29" t="s">
        <v>1608</v>
      </c>
      <c r="B992" s="29" t="s">
        <v>1580</v>
      </c>
      <c r="C992" s="29" t="s">
        <v>317</v>
      </c>
      <c r="D992" s="29" t="s">
        <v>845</v>
      </c>
      <c r="E992" s="29" t="s">
        <v>321</v>
      </c>
      <c r="F992" s="29" t="s">
        <v>1158</v>
      </c>
      <c r="G992" s="29" t="s">
        <v>1383</v>
      </c>
      <c r="H992" s="29" t="s">
        <v>1384</v>
      </c>
      <c r="I992" s="116" t="s">
        <v>310</v>
      </c>
      <c r="J992" s="29" t="s">
        <v>20</v>
      </c>
      <c r="K992" s="29">
        <v>0.4</v>
      </c>
      <c r="L992" s="116"/>
      <c r="M992" s="29" t="s">
        <v>311</v>
      </c>
      <c r="N992" s="29">
        <v>3</v>
      </c>
      <c r="O992" s="115">
        <v>3</v>
      </c>
      <c r="P992" s="29">
        <v>5.0644760455230333</v>
      </c>
      <c r="Q992" s="29">
        <v>1</v>
      </c>
      <c r="R992" s="29">
        <v>95</v>
      </c>
      <c r="S992" s="29">
        <v>0.9</v>
      </c>
      <c r="T992" s="29">
        <v>100</v>
      </c>
      <c r="U992" s="29">
        <v>3.1578947368421053</v>
      </c>
      <c r="V992" s="29">
        <v>1.5294382258037449</v>
      </c>
      <c r="W992" s="29">
        <v>0</v>
      </c>
      <c r="X992" s="29">
        <v>0</v>
      </c>
      <c r="Y992" s="29">
        <v>0</v>
      </c>
      <c r="Z992" s="29">
        <v>0</v>
      </c>
      <c r="AA992" s="29"/>
      <c r="AB992" s="29"/>
      <c r="AC992" s="29"/>
      <c r="AD992" s="29"/>
      <c r="AE992" s="29"/>
      <c r="AF992" s="29"/>
      <c r="AG992" s="29"/>
    </row>
    <row r="993" spans="1:33">
      <c r="A993" s="29" t="s">
        <v>1608</v>
      </c>
      <c r="B993" s="29" t="s">
        <v>1580</v>
      </c>
      <c r="C993" s="29" t="s">
        <v>317</v>
      </c>
      <c r="D993" s="29" t="s">
        <v>845</v>
      </c>
      <c r="E993" s="29" t="s">
        <v>15</v>
      </c>
      <c r="F993" s="29" t="s">
        <v>1155</v>
      </c>
      <c r="G993" s="29" t="s">
        <v>1385</v>
      </c>
      <c r="H993" s="29" t="s">
        <v>1384</v>
      </c>
      <c r="I993" s="116" t="s">
        <v>310</v>
      </c>
      <c r="J993" s="29" t="s">
        <v>20</v>
      </c>
      <c r="K993" s="29">
        <v>0.4</v>
      </c>
      <c r="L993" s="116"/>
      <c r="M993" s="29" t="s">
        <v>311</v>
      </c>
      <c r="N993" s="29">
        <v>3</v>
      </c>
      <c r="O993" s="115">
        <v>3</v>
      </c>
      <c r="P993" s="29">
        <v>5.0644760455230333</v>
      </c>
      <c r="Q993" s="29">
        <v>1</v>
      </c>
      <c r="R993" s="29">
        <v>95</v>
      </c>
      <c r="S993" s="29">
        <v>0.9</v>
      </c>
      <c r="T993" s="29">
        <v>100</v>
      </c>
      <c r="U993" s="29">
        <v>3.1578947368421053</v>
      </c>
      <c r="V993" s="29">
        <v>1.5294382258037449</v>
      </c>
      <c r="W993" s="29">
        <v>0</v>
      </c>
      <c r="X993" s="29">
        <v>0</v>
      </c>
      <c r="Y993" s="29">
        <v>0</v>
      </c>
      <c r="Z993" s="29">
        <v>0</v>
      </c>
      <c r="AA993" s="29"/>
      <c r="AB993" s="29"/>
      <c r="AC993" s="29"/>
      <c r="AD993" s="29"/>
      <c r="AE993" s="29"/>
      <c r="AF993" s="29"/>
      <c r="AG993" s="29"/>
    </row>
    <row r="994" spans="1:33">
      <c r="A994" s="29" t="s">
        <v>1608</v>
      </c>
      <c r="B994" s="29" t="s">
        <v>1580</v>
      </c>
      <c r="C994" s="29" t="s">
        <v>386</v>
      </c>
      <c r="D994" s="29" t="s">
        <v>845</v>
      </c>
      <c r="E994" s="29" t="s">
        <v>321</v>
      </c>
      <c r="F994" s="29" t="s">
        <v>1158</v>
      </c>
      <c r="G994" s="29" t="s">
        <v>1386</v>
      </c>
      <c r="H994" s="29" t="s">
        <v>1387</v>
      </c>
      <c r="I994" s="116" t="s">
        <v>310</v>
      </c>
      <c r="J994" s="29" t="s">
        <v>20</v>
      </c>
      <c r="K994" s="29">
        <v>0.4</v>
      </c>
      <c r="L994" s="116"/>
      <c r="M994" s="29" t="s">
        <v>311</v>
      </c>
      <c r="N994" s="29">
        <v>3</v>
      </c>
      <c r="O994" s="115">
        <v>3</v>
      </c>
      <c r="P994" s="29">
        <v>5.0644760455230333</v>
      </c>
      <c r="Q994" s="29">
        <v>1</v>
      </c>
      <c r="R994" s="29">
        <v>95</v>
      </c>
      <c r="S994" s="29">
        <v>0.9</v>
      </c>
      <c r="T994" s="29">
        <v>100</v>
      </c>
      <c r="U994" s="29">
        <v>3.1578947368421053</v>
      </c>
      <c r="V994" s="29">
        <v>1.5294382258037449</v>
      </c>
      <c r="W994" s="29">
        <v>0</v>
      </c>
      <c r="X994" s="29">
        <v>0</v>
      </c>
      <c r="Y994" s="29">
        <v>0</v>
      </c>
      <c r="Z994" s="29">
        <v>0</v>
      </c>
      <c r="AA994" s="29"/>
      <c r="AB994" s="29"/>
      <c r="AC994" s="29"/>
      <c r="AD994" s="29"/>
      <c r="AE994" s="29"/>
      <c r="AF994" s="29"/>
      <c r="AG994" s="29"/>
    </row>
    <row r="995" spans="1:33">
      <c r="A995" s="29" t="s">
        <v>1608</v>
      </c>
      <c r="B995" s="29" t="s">
        <v>1580</v>
      </c>
      <c r="C995" s="29" t="s">
        <v>386</v>
      </c>
      <c r="D995" s="29" t="s">
        <v>845</v>
      </c>
      <c r="E995" s="29" t="s">
        <v>15</v>
      </c>
      <c r="F995" s="29" t="s">
        <v>1155</v>
      </c>
      <c r="G995" s="29" t="s">
        <v>1388</v>
      </c>
      <c r="H995" s="29" t="s">
        <v>1387</v>
      </c>
      <c r="I995" s="116" t="s">
        <v>310</v>
      </c>
      <c r="J995" s="29" t="s">
        <v>20</v>
      </c>
      <c r="K995" s="29">
        <v>0.4</v>
      </c>
      <c r="L995" s="116"/>
      <c r="M995" s="29" t="s">
        <v>311</v>
      </c>
      <c r="N995" s="29">
        <v>3</v>
      </c>
      <c r="O995" s="115">
        <v>3</v>
      </c>
      <c r="P995" s="29">
        <v>5.0644760455230333</v>
      </c>
      <c r="Q995" s="29">
        <v>1</v>
      </c>
      <c r="R995" s="29">
        <v>95</v>
      </c>
      <c r="S995" s="29">
        <v>0.9</v>
      </c>
      <c r="T995" s="29">
        <v>100</v>
      </c>
      <c r="U995" s="29">
        <v>3.1578947368421053</v>
      </c>
      <c r="V995" s="29">
        <v>1.5294382258037449</v>
      </c>
      <c r="W995" s="29">
        <v>0</v>
      </c>
      <c r="X995" s="29">
        <v>0</v>
      </c>
      <c r="Y995" s="29">
        <v>0</v>
      </c>
      <c r="Z995" s="29">
        <v>0</v>
      </c>
      <c r="AA995" s="29"/>
      <c r="AB995" s="29"/>
      <c r="AC995" s="29"/>
      <c r="AD995" s="29"/>
      <c r="AE995" s="29"/>
      <c r="AF995" s="29"/>
      <c r="AG995" s="29"/>
    </row>
    <row r="996" spans="1:33">
      <c r="A996" s="29" t="s">
        <v>1608</v>
      </c>
      <c r="B996" s="29" t="s">
        <v>1580</v>
      </c>
      <c r="C996" s="29" t="s">
        <v>326</v>
      </c>
      <c r="D996" s="29" t="s">
        <v>845</v>
      </c>
      <c r="E996" s="29" t="s">
        <v>321</v>
      </c>
      <c r="F996" s="29" t="s">
        <v>1158</v>
      </c>
      <c r="G996" s="29" t="s">
        <v>1389</v>
      </c>
      <c r="H996" s="29" t="s">
        <v>1390</v>
      </c>
      <c r="I996" s="116" t="s">
        <v>310</v>
      </c>
      <c r="J996" s="29" t="s">
        <v>20</v>
      </c>
      <c r="K996" s="29">
        <v>0.4</v>
      </c>
      <c r="L996" s="116"/>
      <c r="M996" s="29" t="s">
        <v>311</v>
      </c>
      <c r="N996" s="29">
        <v>3</v>
      </c>
      <c r="O996" s="115">
        <v>3</v>
      </c>
      <c r="P996" s="29">
        <v>5.0644760455230333</v>
      </c>
      <c r="Q996" s="29">
        <v>1</v>
      </c>
      <c r="R996" s="29">
        <v>95</v>
      </c>
      <c r="S996" s="29">
        <v>0.9</v>
      </c>
      <c r="T996" s="29">
        <v>100</v>
      </c>
      <c r="U996" s="29">
        <v>3.1578947368421053</v>
      </c>
      <c r="V996" s="29">
        <v>1.5294382258037449</v>
      </c>
      <c r="W996" s="29">
        <v>0</v>
      </c>
      <c r="X996" s="29">
        <v>0</v>
      </c>
      <c r="Y996" s="29">
        <v>0</v>
      </c>
      <c r="Z996" s="29">
        <v>0</v>
      </c>
      <c r="AA996" s="29"/>
      <c r="AB996" s="29"/>
      <c r="AC996" s="29"/>
      <c r="AD996" s="29"/>
      <c r="AE996" s="29"/>
      <c r="AF996" s="29"/>
      <c r="AG996" s="29"/>
    </row>
    <row r="997" spans="1:33">
      <c r="A997" s="29" t="s">
        <v>1608</v>
      </c>
      <c r="B997" s="29" t="s">
        <v>1580</v>
      </c>
      <c r="C997" s="29" t="s">
        <v>326</v>
      </c>
      <c r="D997" s="29" t="s">
        <v>845</v>
      </c>
      <c r="E997" s="29" t="s">
        <v>15</v>
      </c>
      <c r="F997" s="29" t="s">
        <v>1155</v>
      </c>
      <c r="G997" s="29" t="s">
        <v>1391</v>
      </c>
      <c r="H997" s="29" t="s">
        <v>1390</v>
      </c>
      <c r="I997" s="116" t="s">
        <v>310</v>
      </c>
      <c r="J997" s="29" t="s">
        <v>20</v>
      </c>
      <c r="K997" s="29">
        <v>0.4</v>
      </c>
      <c r="L997" s="116"/>
      <c r="M997" s="29" t="s">
        <v>311</v>
      </c>
      <c r="N997" s="29">
        <v>3</v>
      </c>
      <c r="O997" s="115">
        <v>3</v>
      </c>
      <c r="P997" s="29">
        <v>5.0644760455230333</v>
      </c>
      <c r="Q997" s="29">
        <v>1</v>
      </c>
      <c r="R997" s="29">
        <v>95</v>
      </c>
      <c r="S997" s="29">
        <v>0.9</v>
      </c>
      <c r="T997" s="29">
        <v>100</v>
      </c>
      <c r="U997" s="29">
        <v>3.1578947368421053</v>
      </c>
      <c r="V997" s="29">
        <v>1.5294382258037449</v>
      </c>
      <c r="W997" s="29">
        <v>0</v>
      </c>
      <c r="X997" s="29">
        <v>0</v>
      </c>
      <c r="Y997" s="29">
        <v>0</v>
      </c>
      <c r="Z997" s="29">
        <v>0</v>
      </c>
      <c r="AA997" s="29"/>
      <c r="AB997" s="29"/>
      <c r="AC997" s="29"/>
      <c r="AD997" s="29"/>
      <c r="AE997" s="29"/>
      <c r="AF997" s="29"/>
      <c r="AG997" s="29"/>
    </row>
    <row r="998" spans="1:33">
      <c r="A998" s="29" t="s">
        <v>1608</v>
      </c>
      <c r="B998" s="29" t="s">
        <v>1580</v>
      </c>
      <c r="C998" s="29" t="s">
        <v>1581</v>
      </c>
      <c r="D998" s="29" t="s">
        <v>845</v>
      </c>
      <c r="E998" s="29" t="s">
        <v>321</v>
      </c>
      <c r="F998" s="29" t="s">
        <v>1158</v>
      </c>
      <c r="G998" s="29" t="s">
        <v>1392</v>
      </c>
      <c r="H998" s="29" t="s">
        <v>1393</v>
      </c>
      <c r="I998" s="116" t="s">
        <v>310</v>
      </c>
      <c r="J998" s="29" t="s">
        <v>20</v>
      </c>
      <c r="K998" s="29">
        <v>0.4</v>
      </c>
      <c r="L998" s="116"/>
      <c r="M998" s="29" t="s">
        <v>311</v>
      </c>
      <c r="N998" s="29">
        <v>2</v>
      </c>
      <c r="O998" s="115">
        <v>2</v>
      </c>
      <c r="P998" s="29">
        <v>3.3763173636820221</v>
      </c>
      <c r="Q998" s="29">
        <v>1</v>
      </c>
      <c r="R998" s="29">
        <v>95</v>
      </c>
      <c r="S998" s="29">
        <v>0.9</v>
      </c>
      <c r="T998" s="29">
        <v>100</v>
      </c>
      <c r="U998" s="29">
        <v>2.1052631578947367</v>
      </c>
      <c r="V998" s="29">
        <v>1.0196254838691632</v>
      </c>
      <c r="W998" s="29">
        <v>0</v>
      </c>
      <c r="X998" s="29">
        <v>0</v>
      </c>
      <c r="Y998" s="29">
        <v>0</v>
      </c>
      <c r="Z998" s="29">
        <v>0</v>
      </c>
      <c r="AA998" s="29"/>
      <c r="AB998" s="29"/>
      <c r="AC998" s="29"/>
      <c r="AD998" s="29"/>
      <c r="AE998" s="29"/>
      <c r="AF998" s="29"/>
      <c r="AG998" s="29"/>
    </row>
    <row r="999" spans="1:33">
      <c r="A999" s="29" t="s">
        <v>1608</v>
      </c>
      <c r="B999" s="29" t="s">
        <v>1580</v>
      </c>
      <c r="C999" s="29" t="s">
        <v>1581</v>
      </c>
      <c r="D999" s="29" t="s">
        <v>845</v>
      </c>
      <c r="E999" s="29" t="s">
        <v>15</v>
      </c>
      <c r="F999" s="29" t="s">
        <v>1155</v>
      </c>
      <c r="G999" s="29" t="s">
        <v>1394</v>
      </c>
      <c r="H999" s="29" t="s">
        <v>1393</v>
      </c>
      <c r="I999" s="116" t="s">
        <v>310</v>
      </c>
      <c r="J999" s="29" t="s">
        <v>20</v>
      </c>
      <c r="K999" s="29">
        <v>0.4</v>
      </c>
      <c r="L999" s="116"/>
      <c r="M999" s="29" t="s">
        <v>311</v>
      </c>
      <c r="N999" s="29">
        <v>2</v>
      </c>
      <c r="O999" s="115">
        <v>2</v>
      </c>
      <c r="P999" s="29">
        <v>3.3763173636820221</v>
      </c>
      <c r="Q999" s="29">
        <v>1</v>
      </c>
      <c r="R999" s="29">
        <v>95</v>
      </c>
      <c r="S999" s="29">
        <v>0.9</v>
      </c>
      <c r="T999" s="29">
        <v>100</v>
      </c>
      <c r="U999" s="29">
        <v>2.1052631578947367</v>
      </c>
      <c r="V999" s="29">
        <v>1.0196254838691632</v>
      </c>
      <c r="W999" s="29">
        <v>0</v>
      </c>
      <c r="X999" s="29">
        <v>0</v>
      </c>
      <c r="Y999" s="29">
        <v>0</v>
      </c>
      <c r="Z999" s="29">
        <v>0</v>
      </c>
      <c r="AA999" s="29"/>
      <c r="AB999" s="29"/>
      <c r="AC999" s="29"/>
      <c r="AD999" s="29"/>
      <c r="AE999" s="29"/>
      <c r="AF999" s="29"/>
      <c r="AG999" s="29"/>
    </row>
    <row r="1000" spans="1:33">
      <c r="A1000" s="29" t="s">
        <v>1763</v>
      </c>
      <c r="B1000" s="29" t="s">
        <v>1580</v>
      </c>
      <c r="C1000" s="29" t="s">
        <v>1629</v>
      </c>
      <c r="D1000" s="29" t="s">
        <v>1395</v>
      </c>
      <c r="E1000" s="29"/>
      <c r="F1000" s="29" t="s">
        <v>1395</v>
      </c>
      <c r="G1000" s="29" t="s">
        <v>1396</v>
      </c>
      <c r="H1000" s="29" t="s">
        <v>1396</v>
      </c>
      <c r="I1000" s="116" t="s">
        <v>310</v>
      </c>
      <c r="J1000" s="29" t="s">
        <v>20</v>
      </c>
      <c r="K1000" s="29">
        <v>0.4</v>
      </c>
      <c r="L1000" s="116"/>
      <c r="M1000" s="29" t="s">
        <v>353</v>
      </c>
      <c r="N1000" s="29">
        <v>6.3</v>
      </c>
      <c r="O1000" s="115">
        <v>7</v>
      </c>
      <c r="P1000" s="29">
        <v>13.207359099109086</v>
      </c>
      <c r="Q1000" s="29">
        <v>0.9</v>
      </c>
      <c r="R1000" s="29">
        <v>90</v>
      </c>
      <c r="S1000" s="29">
        <v>0.85</v>
      </c>
      <c r="T1000" s="29">
        <v>30</v>
      </c>
      <c r="U1000" s="29">
        <v>0</v>
      </c>
      <c r="V1000" s="29">
        <v>0</v>
      </c>
      <c r="W1000" s="29">
        <v>2.0999999999999996</v>
      </c>
      <c r="X1000" s="29">
        <v>1.3014631106465147</v>
      </c>
      <c r="Y1000" s="29">
        <v>0</v>
      </c>
      <c r="Z1000" s="29">
        <v>0</v>
      </c>
      <c r="AA1000" s="29"/>
      <c r="AB1000" s="29"/>
      <c r="AC1000" s="29"/>
      <c r="AD1000" s="29"/>
      <c r="AE1000" s="29"/>
      <c r="AF1000" s="29"/>
      <c r="AG1000" s="29"/>
    </row>
    <row r="1001" spans="1:33">
      <c r="A1001" s="29" t="s">
        <v>1763</v>
      </c>
      <c r="B1001" s="29" t="s">
        <v>1580</v>
      </c>
      <c r="C1001" s="29" t="s">
        <v>1629</v>
      </c>
      <c r="D1001" s="29" t="s">
        <v>1395</v>
      </c>
      <c r="E1001" s="29"/>
      <c r="F1001" s="29" t="s">
        <v>1395</v>
      </c>
      <c r="G1001" s="29" t="s">
        <v>1397</v>
      </c>
      <c r="H1001" s="29" t="s">
        <v>1397</v>
      </c>
      <c r="I1001" s="116" t="s">
        <v>310</v>
      </c>
      <c r="J1001" s="29" t="s">
        <v>20</v>
      </c>
      <c r="K1001" s="29">
        <v>0.4</v>
      </c>
      <c r="L1001" s="116"/>
      <c r="M1001" s="29" t="s">
        <v>353</v>
      </c>
      <c r="N1001" s="29">
        <v>6.3</v>
      </c>
      <c r="O1001" s="115">
        <v>7</v>
      </c>
      <c r="P1001" s="29">
        <v>13.207359099109086</v>
      </c>
      <c r="Q1001" s="29">
        <v>0.9</v>
      </c>
      <c r="R1001" s="29">
        <v>90</v>
      </c>
      <c r="S1001" s="29">
        <v>0.85</v>
      </c>
      <c r="T1001" s="29">
        <v>30</v>
      </c>
      <c r="U1001" s="29">
        <v>0</v>
      </c>
      <c r="V1001" s="29">
        <v>0</v>
      </c>
      <c r="W1001" s="29">
        <v>2.0999999999999996</v>
      </c>
      <c r="X1001" s="29">
        <v>1.3014631106465147</v>
      </c>
      <c r="Y1001" s="29">
        <v>0</v>
      </c>
      <c r="Z1001" s="29">
        <v>0</v>
      </c>
      <c r="AA1001" s="29"/>
      <c r="AB1001" s="29"/>
      <c r="AC1001" s="29"/>
      <c r="AD1001" s="29"/>
      <c r="AE1001" s="29"/>
      <c r="AF1001" s="29"/>
      <c r="AG1001" s="29"/>
    </row>
    <row r="1002" spans="1:33">
      <c r="A1002" s="29" t="s">
        <v>1763</v>
      </c>
      <c r="B1002" s="29" t="s">
        <v>1580</v>
      </c>
      <c r="C1002" s="29" t="s">
        <v>1629</v>
      </c>
      <c r="D1002" s="29" t="s">
        <v>1395</v>
      </c>
      <c r="E1002" s="29"/>
      <c r="F1002" s="29" t="s">
        <v>1395</v>
      </c>
      <c r="G1002" s="29" t="s">
        <v>1398</v>
      </c>
      <c r="H1002" s="29" t="s">
        <v>1398</v>
      </c>
      <c r="I1002" s="116" t="s">
        <v>310</v>
      </c>
      <c r="J1002" s="29" t="s">
        <v>20</v>
      </c>
      <c r="K1002" s="29">
        <v>0.4</v>
      </c>
      <c r="L1002" s="116"/>
      <c r="M1002" s="29" t="s">
        <v>353</v>
      </c>
      <c r="N1002" s="29">
        <v>6.3</v>
      </c>
      <c r="O1002" s="115">
        <v>7</v>
      </c>
      <c r="P1002" s="29">
        <v>13.207359099109086</v>
      </c>
      <c r="Q1002" s="29">
        <v>0.9</v>
      </c>
      <c r="R1002" s="29">
        <v>90</v>
      </c>
      <c r="S1002" s="29">
        <v>0.85</v>
      </c>
      <c r="T1002" s="29">
        <v>30</v>
      </c>
      <c r="U1002" s="29">
        <v>0</v>
      </c>
      <c r="V1002" s="29">
        <v>0</v>
      </c>
      <c r="W1002" s="29">
        <v>2.0999999999999996</v>
      </c>
      <c r="X1002" s="29">
        <v>1.3014631106465147</v>
      </c>
      <c r="Y1002" s="29">
        <v>0</v>
      </c>
      <c r="Z1002" s="29">
        <v>0</v>
      </c>
      <c r="AA1002" s="29"/>
      <c r="AB1002" s="29"/>
      <c r="AC1002" s="29"/>
      <c r="AD1002" s="29"/>
      <c r="AE1002" s="29"/>
      <c r="AF1002" s="29"/>
      <c r="AG1002" s="29"/>
    </row>
    <row r="1003" spans="1:33">
      <c r="A1003" s="29" t="s">
        <v>1763</v>
      </c>
      <c r="B1003" s="29" t="s">
        <v>1580</v>
      </c>
      <c r="C1003" s="29" t="s">
        <v>1629</v>
      </c>
      <c r="D1003" s="29" t="s">
        <v>1395</v>
      </c>
      <c r="E1003" s="29"/>
      <c r="F1003" s="29" t="s">
        <v>1395</v>
      </c>
      <c r="G1003" s="29" t="s">
        <v>1399</v>
      </c>
      <c r="H1003" s="29" t="s">
        <v>1399</v>
      </c>
      <c r="I1003" s="116" t="s">
        <v>310</v>
      </c>
      <c r="J1003" s="29" t="s">
        <v>20</v>
      </c>
      <c r="K1003" s="29">
        <v>0.4</v>
      </c>
      <c r="L1003" s="116"/>
      <c r="M1003" s="29" t="s">
        <v>353</v>
      </c>
      <c r="N1003" s="29">
        <v>6.3</v>
      </c>
      <c r="O1003" s="115">
        <v>7</v>
      </c>
      <c r="P1003" s="29">
        <v>13.207359099109086</v>
      </c>
      <c r="Q1003" s="29">
        <v>0.9</v>
      </c>
      <c r="R1003" s="29">
        <v>90</v>
      </c>
      <c r="S1003" s="29">
        <v>0.85</v>
      </c>
      <c r="T1003" s="29">
        <v>30</v>
      </c>
      <c r="U1003" s="29">
        <v>0</v>
      </c>
      <c r="V1003" s="29">
        <v>0</v>
      </c>
      <c r="W1003" s="29">
        <v>2.0999999999999996</v>
      </c>
      <c r="X1003" s="29">
        <v>1.3014631106465147</v>
      </c>
      <c r="Y1003" s="29">
        <v>0</v>
      </c>
      <c r="Z1003" s="29">
        <v>0</v>
      </c>
      <c r="AA1003" s="29"/>
      <c r="AB1003" s="29"/>
      <c r="AC1003" s="29"/>
      <c r="AD1003" s="29"/>
      <c r="AE1003" s="29"/>
      <c r="AF1003" s="29"/>
      <c r="AG1003" s="29"/>
    </row>
    <row r="1004" spans="1:33">
      <c r="A1004" s="29" t="s">
        <v>1763</v>
      </c>
      <c r="B1004" s="29" t="s">
        <v>1580</v>
      </c>
      <c r="C1004" s="29" t="s">
        <v>1629</v>
      </c>
      <c r="D1004" s="29" t="s">
        <v>1395</v>
      </c>
      <c r="E1004" s="29"/>
      <c r="F1004" s="29" t="s">
        <v>1395</v>
      </c>
      <c r="G1004" s="29" t="s">
        <v>1400</v>
      </c>
      <c r="H1004" s="29" t="s">
        <v>1400</v>
      </c>
      <c r="I1004" s="116" t="s">
        <v>310</v>
      </c>
      <c r="J1004" s="29" t="s">
        <v>20</v>
      </c>
      <c r="K1004" s="29">
        <v>0.4</v>
      </c>
      <c r="L1004" s="116"/>
      <c r="M1004" s="29" t="s">
        <v>353</v>
      </c>
      <c r="N1004" s="29">
        <v>6.3</v>
      </c>
      <c r="O1004" s="115">
        <v>7</v>
      </c>
      <c r="P1004" s="29">
        <v>13.207359099109086</v>
      </c>
      <c r="Q1004" s="29">
        <v>0.9</v>
      </c>
      <c r="R1004" s="29">
        <v>90</v>
      </c>
      <c r="S1004" s="29">
        <v>0.85</v>
      </c>
      <c r="T1004" s="29">
        <v>30</v>
      </c>
      <c r="U1004" s="29">
        <v>0</v>
      </c>
      <c r="V1004" s="29">
        <v>0</v>
      </c>
      <c r="W1004" s="29">
        <v>2.0999999999999996</v>
      </c>
      <c r="X1004" s="29">
        <v>1.3014631106465147</v>
      </c>
      <c r="Y1004" s="29">
        <v>0</v>
      </c>
      <c r="Z1004" s="29">
        <v>0</v>
      </c>
      <c r="AA1004" s="29"/>
      <c r="AB1004" s="29"/>
      <c r="AC1004" s="29"/>
      <c r="AD1004" s="29"/>
      <c r="AE1004" s="29"/>
      <c r="AF1004" s="29"/>
      <c r="AG1004" s="29"/>
    </row>
    <row r="1005" spans="1:33">
      <c r="A1005" s="29" t="s">
        <v>1763</v>
      </c>
      <c r="B1005" s="29" t="s">
        <v>1580</v>
      </c>
      <c r="C1005" s="29" t="s">
        <v>1629</v>
      </c>
      <c r="D1005" s="29" t="s">
        <v>1395</v>
      </c>
      <c r="E1005" s="29"/>
      <c r="F1005" s="29" t="s">
        <v>1395</v>
      </c>
      <c r="G1005" s="29" t="s">
        <v>1401</v>
      </c>
      <c r="H1005" s="29" t="s">
        <v>1401</v>
      </c>
      <c r="I1005" s="116" t="s">
        <v>310</v>
      </c>
      <c r="J1005" s="29" t="s">
        <v>20</v>
      </c>
      <c r="K1005" s="29">
        <v>0.4</v>
      </c>
      <c r="L1005" s="116"/>
      <c r="M1005" s="29" t="s">
        <v>353</v>
      </c>
      <c r="N1005" s="29">
        <v>6.3</v>
      </c>
      <c r="O1005" s="115">
        <v>7</v>
      </c>
      <c r="P1005" s="29">
        <v>13.207359099109086</v>
      </c>
      <c r="Q1005" s="29">
        <v>0.9</v>
      </c>
      <c r="R1005" s="29">
        <v>90</v>
      </c>
      <c r="S1005" s="29">
        <v>0.85</v>
      </c>
      <c r="T1005" s="29">
        <v>30</v>
      </c>
      <c r="U1005" s="29">
        <v>0</v>
      </c>
      <c r="V1005" s="29">
        <v>0</v>
      </c>
      <c r="W1005" s="29">
        <v>2.0999999999999996</v>
      </c>
      <c r="X1005" s="29">
        <v>1.3014631106465147</v>
      </c>
      <c r="Y1005" s="29">
        <v>0</v>
      </c>
      <c r="Z1005" s="29">
        <v>0</v>
      </c>
      <c r="AA1005" s="29"/>
      <c r="AB1005" s="29"/>
      <c r="AC1005" s="29"/>
      <c r="AD1005" s="29"/>
      <c r="AE1005" s="29"/>
      <c r="AF1005" s="29"/>
      <c r="AG1005" s="29"/>
    </row>
    <row r="1006" spans="1:33">
      <c r="A1006" s="29" t="s">
        <v>1666</v>
      </c>
      <c r="B1006" s="29" t="s">
        <v>1790</v>
      </c>
      <c r="C1006" s="29" t="s">
        <v>1805</v>
      </c>
      <c r="D1006" s="29" t="s">
        <v>673</v>
      </c>
      <c r="E1006" s="29"/>
      <c r="F1006" s="29" t="s">
        <v>673</v>
      </c>
      <c r="G1006" s="29" t="s">
        <v>1402</v>
      </c>
      <c r="H1006" s="29" t="s">
        <v>1403</v>
      </c>
      <c r="I1006" s="116" t="s">
        <v>310</v>
      </c>
      <c r="J1006" s="29" t="s">
        <v>20</v>
      </c>
      <c r="K1006" s="29">
        <v>0.4</v>
      </c>
      <c r="L1006" s="116" t="s">
        <v>1807</v>
      </c>
      <c r="M1006" s="29" t="s">
        <v>353</v>
      </c>
      <c r="N1006" s="29">
        <v>1.53</v>
      </c>
      <c r="O1006" s="115">
        <v>1.7</v>
      </c>
      <c r="P1006" s="29">
        <v>2.69</v>
      </c>
      <c r="Q1006" s="29">
        <v>0.9</v>
      </c>
      <c r="R1006" s="29">
        <v>90</v>
      </c>
      <c r="S1006" s="29">
        <v>0.82</v>
      </c>
      <c r="T1006" s="29">
        <v>30</v>
      </c>
      <c r="U1006" s="29">
        <v>0</v>
      </c>
      <c r="V1006" s="29">
        <v>0</v>
      </c>
      <c r="W1006" s="29">
        <v>0.51</v>
      </c>
      <c r="X1006" s="29">
        <v>0.35598218979705537</v>
      </c>
      <c r="Y1006" s="29">
        <v>0</v>
      </c>
      <c r="Z1006" s="29">
        <v>0</v>
      </c>
      <c r="AA1006" s="29"/>
      <c r="AB1006" s="29"/>
      <c r="AC1006" s="29"/>
      <c r="AD1006" s="29"/>
      <c r="AE1006" s="29"/>
      <c r="AF1006" s="29"/>
      <c r="AG1006" s="29"/>
    </row>
    <row r="1007" spans="1:33">
      <c r="A1007" s="29" t="s">
        <v>1666</v>
      </c>
      <c r="B1007" s="29" t="s">
        <v>1790</v>
      </c>
      <c r="C1007" s="29" t="s">
        <v>1805</v>
      </c>
      <c r="D1007" s="29" t="s">
        <v>673</v>
      </c>
      <c r="E1007" s="29"/>
      <c r="F1007" s="29" t="s">
        <v>673</v>
      </c>
      <c r="G1007" s="29" t="s">
        <v>1404</v>
      </c>
      <c r="H1007" s="29" t="s">
        <v>1405</v>
      </c>
      <c r="I1007" s="116" t="s">
        <v>310</v>
      </c>
      <c r="J1007" s="29" t="s">
        <v>20</v>
      </c>
      <c r="K1007" s="29">
        <v>0.4</v>
      </c>
      <c r="L1007" s="116" t="s">
        <v>1807</v>
      </c>
      <c r="M1007" s="29" t="s">
        <v>353</v>
      </c>
      <c r="N1007" s="29">
        <v>1.53</v>
      </c>
      <c r="O1007" s="115">
        <v>1.7</v>
      </c>
      <c r="P1007" s="29">
        <v>2.69</v>
      </c>
      <c r="Q1007" s="29">
        <v>0.9</v>
      </c>
      <c r="R1007" s="29">
        <v>90</v>
      </c>
      <c r="S1007" s="29">
        <v>0.82</v>
      </c>
      <c r="T1007" s="29">
        <v>30</v>
      </c>
      <c r="U1007" s="29">
        <v>0</v>
      </c>
      <c r="V1007" s="29">
        <v>0</v>
      </c>
      <c r="W1007" s="29">
        <v>0.51</v>
      </c>
      <c r="X1007" s="29">
        <v>0.35598218979705537</v>
      </c>
      <c r="Y1007" s="29">
        <v>0</v>
      </c>
      <c r="Z1007" s="29">
        <v>0</v>
      </c>
      <c r="AA1007" s="29"/>
      <c r="AB1007" s="29"/>
      <c r="AC1007" s="29"/>
      <c r="AD1007" s="29"/>
      <c r="AE1007" s="29"/>
      <c r="AF1007" s="29"/>
      <c r="AG1007" s="29"/>
    </row>
    <row r="1008" spans="1:33">
      <c r="A1008" s="29" t="s">
        <v>1666</v>
      </c>
      <c r="B1008" s="29" t="s">
        <v>1790</v>
      </c>
      <c r="C1008" s="29" t="s">
        <v>1805</v>
      </c>
      <c r="D1008" s="29" t="s">
        <v>673</v>
      </c>
      <c r="E1008" s="29"/>
      <c r="F1008" s="29" t="s">
        <v>673</v>
      </c>
      <c r="G1008" s="29" t="s">
        <v>1406</v>
      </c>
      <c r="H1008" s="29" t="s">
        <v>1407</v>
      </c>
      <c r="I1008" s="116" t="s">
        <v>310</v>
      </c>
      <c r="J1008" s="29" t="s">
        <v>20</v>
      </c>
      <c r="K1008" s="29">
        <v>0.4</v>
      </c>
      <c r="L1008" s="116" t="s">
        <v>1807</v>
      </c>
      <c r="M1008" s="29" t="s">
        <v>353</v>
      </c>
      <c r="N1008" s="29">
        <v>1.53</v>
      </c>
      <c r="O1008" s="115">
        <v>1.7</v>
      </c>
      <c r="P1008" s="29">
        <v>2.69</v>
      </c>
      <c r="Q1008" s="29">
        <v>0.9</v>
      </c>
      <c r="R1008" s="29">
        <v>90</v>
      </c>
      <c r="S1008" s="29">
        <v>0.82</v>
      </c>
      <c r="T1008" s="29">
        <v>30</v>
      </c>
      <c r="U1008" s="29">
        <v>0</v>
      </c>
      <c r="V1008" s="29">
        <v>0</v>
      </c>
      <c r="W1008" s="29">
        <v>0.51</v>
      </c>
      <c r="X1008" s="29">
        <v>0.35598218979705537</v>
      </c>
      <c r="Y1008" s="29">
        <v>0</v>
      </c>
      <c r="Z1008" s="29">
        <v>0</v>
      </c>
      <c r="AA1008" s="29"/>
      <c r="AB1008" s="29"/>
      <c r="AC1008" s="29"/>
      <c r="AD1008" s="29"/>
      <c r="AE1008" s="29"/>
      <c r="AF1008" s="29"/>
      <c r="AG1008" s="29"/>
    </row>
    <row r="1009" spans="1:33">
      <c r="A1009" s="29" t="s">
        <v>1666</v>
      </c>
      <c r="B1009" s="29" t="s">
        <v>1790</v>
      </c>
      <c r="C1009" s="29" t="s">
        <v>1805</v>
      </c>
      <c r="D1009" s="29" t="s">
        <v>673</v>
      </c>
      <c r="E1009" s="29"/>
      <c r="F1009" s="29" t="s">
        <v>673</v>
      </c>
      <c r="G1009" s="29" t="s">
        <v>1408</v>
      </c>
      <c r="H1009" s="29" t="s">
        <v>1409</v>
      </c>
      <c r="I1009" s="116" t="s">
        <v>310</v>
      </c>
      <c r="J1009" s="29" t="s">
        <v>20</v>
      </c>
      <c r="K1009" s="29">
        <v>0.4</v>
      </c>
      <c r="L1009" s="116" t="s">
        <v>1807</v>
      </c>
      <c r="M1009" s="29" t="s">
        <v>353</v>
      </c>
      <c r="N1009" s="29">
        <v>1.53</v>
      </c>
      <c r="O1009" s="115">
        <v>1.7</v>
      </c>
      <c r="P1009" s="29">
        <v>2.69</v>
      </c>
      <c r="Q1009" s="29">
        <v>0.9</v>
      </c>
      <c r="R1009" s="29">
        <v>90</v>
      </c>
      <c r="S1009" s="29">
        <v>0.82</v>
      </c>
      <c r="T1009" s="29">
        <v>30</v>
      </c>
      <c r="U1009" s="29">
        <v>0</v>
      </c>
      <c r="V1009" s="29">
        <v>0</v>
      </c>
      <c r="W1009" s="29">
        <v>0.51</v>
      </c>
      <c r="X1009" s="29">
        <v>0.35598218979705537</v>
      </c>
      <c r="Y1009" s="29">
        <v>0</v>
      </c>
      <c r="Z1009" s="29">
        <v>0</v>
      </c>
      <c r="AA1009" s="29"/>
      <c r="AB1009" s="29"/>
      <c r="AC1009" s="29"/>
      <c r="AD1009" s="29"/>
      <c r="AE1009" s="29"/>
      <c r="AF1009" s="29"/>
      <c r="AG1009" s="29"/>
    </row>
    <row r="1010" spans="1:33">
      <c r="A1010" s="29" t="s">
        <v>1666</v>
      </c>
      <c r="B1010" s="29" t="s">
        <v>1790</v>
      </c>
      <c r="C1010" s="29" t="s">
        <v>1805</v>
      </c>
      <c r="D1010" s="29" t="s">
        <v>673</v>
      </c>
      <c r="E1010" s="29"/>
      <c r="F1010" s="29" t="s">
        <v>673</v>
      </c>
      <c r="G1010" s="29" t="s">
        <v>1410</v>
      </c>
      <c r="H1010" s="29" t="s">
        <v>1411</v>
      </c>
      <c r="I1010" s="116" t="s">
        <v>310</v>
      </c>
      <c r="J1010" s="29" t="s">
        <v>20</v>
      </c>
      <c r="K1010" s="29">
        <v>0.4</v>
      </c>
      <c r="L1010" s="116" t="s">
        <v>1807</v>
      </c>
      <c r="M1010" s="29" t="s">
        <v>353</v>
      </c>
      <c r="N1010" s="29">
        <v>1.53</v>
      </c>
      <c r="O1010" s="115">
        <v>1.7</v>
      </c>
      <c r="P1010" s="29">
        <v>2.69</v>
      </c>
      <c r="Q1010" s="29">
        <v>0.9</v>
      </c>
      <c r="R1010" s="29">
        <v>90</v>
      </c>
      <c r="S1010" s="29">
        <v>0.82</v>
      </c>
      <c r="T1010" s="29">
        <v>30</v>
      </c>
      <c r="U1010" s="29">
        <v>0</v>
      </c>
      <c r="V1010" s="29">
        <v>0</v>
      </c>
      <c r="W1010" s="29">
        <v>0.51</v>
      </c>
      <c r="X1010" s="29">
        <v>0.35598218979705537</v>
      </c>
      <c r="Y1010" s="29">
        <v>0</v>
      </c>
      <c r="Z1010" s="29">
        <v>0</v>
      </c>
      <c r="AA1010" s="29"/>
      <c r="AB1010" s="29"/>
      <c r="AC1010" s="29"/>
      <c r="AD1010" s="29"/>
      <c r="AE1010" s="29"/>
      <c r="AF1010" s="29"/>
      <c r="AG1010" s="29"/>
    </row>
    <row r="1011" spans="1:33">
      <c r="A1011" s="29" t="s">
        <v>1666</v>
      </c>
      <c r="B1011" s="29" t="s">
        <v>1790</v>
      </c>
      <c r="C1011" s="29" t="s">
        <v>1805</v>
      </c>
      <c r="D1011" s="29" t="s">
        <v>673</v>
      </c>
      <c r="E1011" s="29"/>
      <c r="F1011" s="29" t="s">
        <v>673</v>
      </c>
      <c r="G1011" s="29" t="s">
        <v>1412</v>
      </c>
      <c r="H1011" s="29" t="s">
        <v>1413</v>
      </c>
      <c r="I1011" s="116" t="s">
        <v>310</v>
      </c>
      <c r="J1011" s="29" t="s">
        <v>20</v>
      </c>
      <c r="K1011" s="29">
        <v>0.4</v>
      </c>
      <c r="L1011" s="116" t="s">
        <v>1807</v>
      </c>
      <c r="M1011" s="29" t="s">
        <v>353</v>
      </c>
      <c r="N1011" s="29">
        <v>1.53</v>
      </c>
      <c r="O1011" s="115">
        <v>1.7</v>
      </c>
      <c r="P1011" s="29">
        <v>2.69</v>
      </c>
      <c r="Q1011" s="29">
        <v>0.9</v>
      </c>
      <c r="R1011" s="29">
        <v>90</v>
      </c>
      <c r="S1011" s="29">
        <v>0.82</v>
      </c>
      <c r="T1011" s="29">
        <v>30</v>
      </c>
      <c r="U1011" s="29">
        <v>0</v>
      </c>
      <c r="V1011" s="29">
        <v>0</v>
      </c>
      <c r="W1011" s="29">
        <v>0.51</v>
      </c>
      <c r="X1011" s="29">
        <v>0.35598218979705537</v>
      </c>
      <c r="Y1011" s="29">
        <v>0</v>
      </c>
      <c r="Z1011" s="29">
        <v>0</v>
      </c>
      <c r="AA1011" s="29"/>
      <c r="AB1011" s="29"/>
      <c r="AC1011" s="29"/>
      <c r="AD1011" s="29"/>
      <c r="AE1011" s="29"/>
      <c r="AF1011" s="29"/>
      <c r="AG1011" s="29"/>
    </row>
    <row r="1012" spans="1:33">
      <c r="A1012" s="29" t="s">
        <v>1666</v>
      </c>
      <c r="B1012" s="29" t="s">
        <v>1790</v>
      </c>
      <c r="C1012" s="29" t="s">
        <v>1805</v>
      </c>
      <c r="D1012" s="29" t="s">
        <v>673</v>
      </c>
      <c r="E1012" s="29"/>
      <c r="F1012" s="29" t="s">
        <v>673</v>
      </c>
      <c r="G1012" s="29" t="s">
        <v>1414</v>
      </c>
      <c r="H1012" s="29" t="s">
        <v>1415</v>
      </c>
      <c r="I1012" s="116" t="s">
        <v>310</v>
      </c>
      <c r="J1012" s="29" t="s">
        <v>20</v>
      </c>
      <c r="K1012" s="29">
        <v>0.4</v>
      </c>
      <c r="L1012" s="116" t="s">
        <v>1807</v>
      </c>
      <c r="M1012" s="29" t="s">
        <v>353</v>
      </c>
      <c r="N1012" s="29">
        <v>1.53</v>
      </c>
      <c r="O1012" s="115">
        <v>1.7</v>
      </c>
      <c r="P1012" s="29">
        <v>2.69</v>
      </c>
      <c r="Q1012" s="29">
        <v>0.9</v>
      </c>
      <c r="R1012" s="29">
        <v>90</v>
      </c>
      <c r="S1012" s="29">
        <v>0.82</v>
      </c>
      <c r="T1012" s="29">
        <v>30</v>
      </c>
      <c r="U1012" s="29">
        <v>0</v>
      </c>
      <c r="V1012" s="29">
        <v>0</v>
      </c>
      <c r="W1012" s="29">
        <v>0.51</v>
      </c>
      <c r="X1012" s="29">
        <v>0.35598218979705537</v>
      </c>
      <c r="Y1012" s="29">
        <v>0</v>
      </c>
      <c r="Z1012" s="29">
        <v>0</v>
      </c>
      <c r="AA1012" s="29"/>
      <c r="AB1012" s="29"/>
      <c r="AC1012" s="29"/>
      <c r="AD1012" s="29"/>
      <c r="AE1012" s="29"/>
      <c r="AF1012" s="29"/>
      <c r="AG1012" s="29"/>
    </row>
    <row r="1013" spans="1:33">
      <c r="A1013" s="29" t="s">
        <v>1585</v>
      </c>
      <c r="B1013" s="29" t="s">
        <v>1790</v>
      </c>
      <c r="C1013" s="29" t="s">
        <v>1805</v>
      </c>
      <c r="D1013" s="29" t="s">
        <v>673</v>
      </c>
      <c r="E1013" s="29"/>
      <c r="F1013" s="29" t="s">
        <v>673</v>
      </c>
      <c r="G1013" s="29" t="s">
        <v>1819</v>
      </c>
      <c r="H1013" s="29" t="s">
        <v>1820</v>
      </c>
      <c r="I1013" s="116" t="s">
        <v>310</v>
      </c>
      <c r="J1013" s="29" t="s">
        <v>20</v>
      </c>
      <c r="K1013" s="29">
        <v>0.4</v>
      </c>
      <c r="L1013" s="116" t="s">
        <v>1807</v>
      </c>
      <c r="M1013" s="29" t="s">
        <v>353</v>
      </c>
      <c r="N1013" s="29">
        <v>1.53</v>
      </c>
      <c r="O1013" s="115">
        <v>1.7</v>
      </c>
      <c r="P1013" s="29">
        <v>2.69</v>
      </c>
      <c r="Q1013" s="29">
        <v>0.9</v>
      </c>
      <c r="R1013" s="29">
        <v>90</v>
      </c>
      <c r="S1013" s="29">
        <v>0.82</v>
      </c>
      <c r="T1013" s="29">
        <v>30</v>
      </c>
      <c r="U1013" s="29">
        <v>0</v>
      </c>
      <c r="V1013" s="29">
        <v>0</v>
      </c>
      <c r="W1013" s="29">
        <v>0.51</v>
      </c>
      <c r="X1013" s="29">
        <v>0.35598218979705537</v>
      </c>
      <c r="Y1013" s="29">
        <v>0</v>
      </c>
      <c r="Z1013" s="29">
        <v>0</v>
      </c>
      <c r="AA1013" s="29"/>
      <c r="AB1013" s="29"/>
      <c r="AC1013" s="29"/>
      <c r="AD1013" s="29"/>
      <c r="AE1013" s="29" t="s">
        <v>1798</v>
      </c>
      <c r="AF1013" s="29"/>
      <c r="AG1013" s="29"/>
    </row>
    <row r="1014" spans="1:33">
      <c r="A1014" s="29" t="s">
        <v>1585</v>
      </c>
      <c r="B1014" s="29" t="s">
        <v>1790</v>
      </c>
      <c r="C1014" s="29" t="s">
        <v>1805</v>
      </c>
      <c r="D1014" s="29" t="s">
        <v>673</v>
      </c>
      <c r="E1014" s="29"/>
      <c r="F1014" s="29" t="s">
        <v>673</v>
      </c>
      <c r="G1014" s="29" t="s">
        <v>1821</v>
      </c>
      <c r="H1014" s="29" t="s">
        <v>1822</v>
      </c>
      <c r="I1014" s="116" t="s">
        <v>310</v>
      </c>
      <c r="J1014" s="29" t="s">
        <v>20</v>
      </c>
      <c r="K1014" s="29">
        <v>0.4</v>
      </c>
      <c r="L1014" s="116" t="s">
        <v>1807</v>
      </c>
      <c r="M1014" s="29" t="s">
        <v>353</v>
      </c>
      <c r="N1014" s="29">
        <v>1.53</v>
      </c>
      <c r="O1014" s="115">
        <v>1.7</v>
      </c>
      <c r="P1014" s="29">
        <v>2.69</v>
      </c>
      <c r="Q1014" s="29">
        <v>0.9</v>
      </c>
      <c r="R1014" s="29">
        <v>90</v>
      </c>
      <c r="S1014" s="29">
        <v>0.82</v>
      </c>
      <c r="T1014" s="29">
        <v>30</v>
      </c>
      <c r="U1014" s="29">
        <v>0</v>
      </c>
      <c r="V1014" s="29">
        <v>0</v>
      </c>
      <c r="W1014" s="29">
        <v>0.51</v>
      </c>
      <c r="X1014" s="29">
        <v>0.35598218979705537</v>
      </c>
      <c r="Y1014" s="29">
        <v>0</v>
      </c>
      <c r="Z1014" s="29">
        <v>0</v>
      </c>
      <c r="AA1014" s="29"/>
      <c r="AB1014" s="29"/>
      <c r="AC1014" s="29"/>
      <c r="AD1014" s="29"/>
      <c r="AE1014" s="29" t="s">
        <v>1798</v>
      </c>
      <c r="AF1014" s="29"/>
      <c r="AG1014" s="29"/>
    </row>
    <row r="1015" spans="1:33">
      <c r="A1015" s="29" t="s">
        <v>1585</v>
      </c>
      <c r="B1015" s="29" t="s">
        <v>1790</v>
      </c>
      <c r="C1015" s="29" t="s">
        <v>1805</v>
      </c>
      <c r="D1015" s="29" t="s">
        <v>673</v>
      </c>
      <c r="E1015" s="29"/>
      <c r="F1015" s="29" t="s">
        <v>673</v>
      </c>
      <c r="G1015" s="29" t="s">
        <v>1823</v>
      </c>
      <c r="H1015" s="29" t="s">
        <v>1824</v>
      </c>
      <c r="I1015" s="116" t="s">
        <v>310</v>
      </c>
      <c r="J1015" s="29" t="s">
        <v>20</v>
      </c>
      <c r="K1015" s="29">
        <v>0.4</v>
      </c>
      <c r="L1015" s="116" t="s">
        <v>1807</v>
      </c>
      <c r="M1015" s="29" t="s">
        <v>353</v>
      </c>
      <c r="N1015" s="29">
        <v>1.53</v>
      </c>
      <c r="O1015" s="115">
        <v>1.7</v>
      </c>
      <c r="P1015" s="29">
        <v>2.69</v>
      </c>
      <c r="Q1015" s="29">
        <v>0.9</v>
      </c>
      <c r="R1015" s="29">
        <v>90</v>
      </c>
      <c r="S1015" s="29">
        <v>0.82</v>
      </c>
      <c r="T1015" s="29">
        <v>30</v>
      </c>
      <c r="U1015" s="29">
        <v>0</v>
      </c>
      <c r="V1015" s="29">
        <v>0</v>
      </c>
      <c r="W1015" s="29">
        <v>0.51</v>
      </c>
      <c r="X1015" s="29">
        <v>0.35598218979705537</v>
      </c>
      <c r="Y1015" s="29">
        <v>0</v>
      </c>
      <c r="Z1015" s="29">
        <v>0</v>
      </c>
      <c r="AA1015" s="29"/>
      <c r="AB1015" s="29"/>
      <c r="AC1015" s="29"/>
      <c r="AD1015" s="29"/>
      <c r="AE1015" s="29" t="s">
        <v>1798</v>
      </c>
      <c r="AF1015" s="29"/>
      <c r="AG1015" s="29"/>
    </row>
    <row r="1016" spans="1:33">
      <c r="A1016" s="29" t="s">
        <v>1585</v>
      </c>
      <c r="B1016" s="29" t="s">
        <v>1790</v>
      </c>
      <c r="C1016" s="29" t="s">
        <v>1805</v>
      </c>
      <c r="D1016" s="29" t="s">
        <v>673</v>
      </c>
      <c r="E1016" s="29"/>
      <c r="F1016" s="29" t="s">
        <v>673</v>
      </c>
      <c r="G1016" s="29" t="s">
        <v>1825</v>
      </c>
      <c r="H1016" s="29" t="s">
        <v>1826</v>
      </c>
      <c r="I1016" s="116" t="s">
        <v>310</v>
      </c>
      <c r="J1016" s="29" t="s">
        <v>20</v>
      </c>
      <c r="K1016" s="29">
        <v>0.4</v>
      </c>
      <c r="L1016" s="116" t="s">
        <v>1807</v>
      </c>
      <c r="M1016" s="29" t="s">
        <v>353</v>
      </c>
      <c r="N1016" s="29">
        <v>1.53</v>
      </c>
      <c r="O1016" s="115">
        <v>1.7</v>
      </c>
      <c r="P1016" s="29">
        <v>2.69</v>
      </c>
      <c r="Q1016" s="29">
        <v>0.9</v>
      </c>
      <c r="R1016" s="29">
        <v>90</v>
      </c>
      <c r="S1016" s="29">
        <v>0.82</v>
      </c>
      <c r="T1016" s="29">
        <v>30</v>
      </c>
      <c r="U1016" s="29">
        <v>0</v>
      </c>
      <c r="V1016" s="29">
        <v>0</v>
      </c>
      <c r="W1016" s="29">
        <v>0.51</v>
      </c>
      <c r="X1016" s="29">
        <v>0.35598218979705537</v>
      </c>
      <c r="Y1016" s="29">
        <v>0</v>
      </c>
      <c r="Z1016" s="29">
        <v>0</v>
      </c>
      <c r="AA1016" s="29"/>
      <c r="AB1016" s="29"/>
      <c r="AC1016" s="29"/>
      <c r="AD1016" s="29"/>
      <c r="AE1016" s="29" t="s">
        <v>1798</v>
      </c>
      <c r="AF1016" s="29"/>
      <c r="AG1016" s="29"/>
    </row>
    <row r="1017" spans="1:33">
      <c r="A1017" s="29" t="s">
        <v>1585</v>
      </c>
      <c r="B1017" s="29" t="s">
        <v>1790</v>
      </c>
      <c r="C1017" s="29" t="s">
        <v>1805</v>
      </c>
      <c r="D1017" s="29" t="s">
        <v>673</v>
      </c>
      <c r="E1017" s="29"/>
      <c r="F1017" s="29" t="s">
        <v>673</v>
      </c>
      <c r="G1017" s="29" t="s">
        <v>1827</v>
      </c>
      <c r="H1017" s="29" t="s">
        <v>1828</v>
      </c>
      <c r="I1017" s="116" t="s">
        <v>310</v>
      </c>
      <c r="J1017" s="29" t="s">
        <v>20</v>
      </c>
      <c r="K1017" s="29">
        <v>0.4</v>
      </c>
      <c r="L1017" s="116" t="s">
        <v>1807</v>
      </c>
      <c r="M1017" s="29" t="s">
        <v>353</v>
      </c>
      <c r="N1017" s="29">
        <v>1.53</v>
      </c>
      <c r="O1017" s="115">
        <v>1.7</v>
      </c>
      <c r="P1017" s="29">
        <v>2.69</v>
      </c>
      <c r="Q1017" s="29">
        <v>0.9</v>
      </c>
      <c r="R1017" s="29">
        <v>90</v>
      </c>
      <c r="S1017" s="29">
        <v>0.82</v>
      </c>
      <c r="T1017" s="29">
        <v>30</v>
      </c>
      <c r="U1017" s="29">
        <v>0</v>
      </c>
      <c r="V1017" s="29">
        <v>0</v>
      </c>
      <c r="W1017" s="29">
        <v>0.51</v>
      </c>
      <c r="X1017" s="29">
        <v>0.35598218979705537</v>
      </c>
      <c r="Y1017" s="29">
        <v>0</v>
      </c>
      <c r="Z1017" s="29">
        <v>0</v>
      </c>
      <c r="AA1017" s="29"/>
      <c r="AB1017" s="29"/>
      <c r="AC1017" s="29"/>
      <c r="AD1017" s="29"/>
      <c r="AE1017" s="29" t="s">
        <v>1798</v>
      </c>
      <c r="AF1017" s="29"/>
      <c r="AG1017" s="29"/>
    </row>
    <row r="1018" spans="1:33">
      <c r="A1018" s="29" t="s">
        <v>1585</v>
      </c>
      <c r="B1018" s="29" t="s">
        <v>1790</v>
      </c>
      <c r="C1018" s="29" t="s">
        <v>1805</v>
      </c>
      <c r="D1018" s="29" t="s">
        <v>673</v>
      </c>
      <c r="E1018" s="29"/>
      <c r="F1018" s="29" t="s">
        <v>673</v>
      </c>
      <c r="G1018" s="29" t="s">
        <v>1829</v>
      </c>
      <c r="H1018" s="29" t="s">
        <v>1830</v>
      </c>
      <c r="I1018" s="116" t="s">
        <v>310</v>
      </c>
      <c r="J1018" s="29" t="s">
        <v>20</v>
      </c>
      <c r="K1018" s="29">
        <v>0.4</v>
      </c>
      <c r="L1018" s="116" t="s">
        <v>1807</v>
      </c>
      <c r="M1018" s="29" t="s">
        <v>353</v>
      </c>
      <c r="N1018" s="29">
        <v>1.53</v>
      </c>
      <c r="O1018" s="115">
        <v>1.7</v>
      </c>
      <c r="P1018" s="29">
        <v>2.69</v>
      </c>
      <c r="Q1018" s="29">
        <v>0.9</v>
      </c>
      <c r="R1018" s="29">
        <v>90</v>
      </c>
      <c r="S1018" s="29">
        <v>0.82</v>
      </c>
      <c r="T1018" s="29">
        <v>30</v>
      </c>
      <c r="U1018" s="29">
        <v>0</v>
      </c>
      <c r="V1018" s="29">
        <v>0</v>
      </c>
      <c r="W1018" s="29">
        <v>0.51</v>
      </c>
      <c r="X1018" s="29">
        <v>0.35598218979705537</v>
      </c>
      <c r="Y1018" s="29">
        <v>0</v>
      </c>
      <c r="Z1018" s="29">
        <v>0</v>
      </c>
      <c r="AA1018" s="29"/>
      <c r="AB1018" s="29"/>
      <c r="AC1018" s="29"/>
      <c r="AD1018" s="29"/>
      <c r="AE1018" s="29" t="s">
        <v>1798</v>
      </c>
      <c r="AF1018" s="29"/>
      <c r="AG1018" s="29"/>
    </row>
    <row r="1019" spans="1:33">
      <c r="A1019" s="29" t="s">
        <v>1585</v>
      </c>
      <c r="B1019" s="29" t="s">
        <v>1790</v>
      </c>
      <c r="C1019" s="29" t="s">
        <v>1805</v>
      </c>
      <c r="D1019" s="29" t="s">
        <v>673</v>
      </c>
      <c r="E1019" s="29"/>
      <c r="F1019" s="29" t="s">
        <v>673</v>
      </c>
      <c r="G1019" s="29" t="s">
        <v>1831</v>
      </c>
      <c r="H1019" s="29" t="s">
        <v>1832</v>
      </c>
      <c r="I1019" s="116" t="s">
        <v>310</v>
      </c>
      <c r="J1019" s="29" t="s">
        <v>20</v>
      </c>
      <c r="K1019" s="29">
        <v>0.4</v>
      </c>
      <c r="L1019" s="116" t="s">
        <v>1807</v>
      </c>
      <c r="M1019" s="29" t="s">
        <v>353</v>
      </c>
      <c r="N1019" s="29">
        <v>1.53</v>
      </c>
      <c r="O1019" s="115">
        <v>1.7</v>
      </c>
      <c r="P1019" s="29">
        <v>2.69</v>
      </c>
      <c r="Q1019" s="29">
        <v>0.9</v>
      </c>
      <c r="R1019" s="29">
        <v>90</v>
      </c>
      <c r="S1019" s="29">
        <v>0.82</v>
      </c>
      <c r="T1019" s="29">
        <v>30</v>
      </c>
      <c r="U1019" s="29">
        <v>0</v>
      </c>
      <c r="V1019" s="29">
        <v>0</v>
      </c>
      <c r="W1019" s="29">
        <v>0.51</v>
      </c>
      <c r="X1019" s="29">
        <v>0.35598218979705537</v>
      </c>
      <c r="Y1019" s="29">
        <v>0</v>
      </c>
      <c r="Z1019" s="29">
        <v>0</v>
      </c>
      <c r="AA1019" s="29"/>
      <c r="AB1019" s="29"/>
      <c r="AC1019" s="29"/>
      <c r="AD1019" s="29"/>
      <c r="AE1019" s="29" t="s">
        <v>1798</v>
      </c>
      <c r="AF1019" s="29"/>
      <c r="AG1019" s="29"/>
    </row>
    <row r="1020" spans="1:33">
      <c r="A1020" s="29" t="s">
        <v>1585</v>
      </c>
      <c r="B1020" s="29" t="s">
        <v>1790</v>
      </c>
      <c r="C1020" s="29" t="s">
        <v>1805</v>
      </c>
      <c r="D1020" s="29" t="s">
        <v>673</v>
      </c>
      <c r="E1020" s="29"/>
      <c r="F1020" s="29" t="s">
        <v>673</v>
      </c>
      <c r="G1020" s="29" t="s">
        <v>1833</v>
      </c>
      <c r="H1020" s="29" t="s">
        <v>1834</v>
      </c>
      <c r="I1020" s="116" t="s">
        <v>310</v>
      </c>
      <c r="J1020" s="29" t="s">
        <v>20</v>
      </c>
      <c r="K1020" s="29">
        <v>0.4</v>
      </c>
      <c r="L1020" s="116" t="s">
        <v>1807</v>
      </c>
      <c r="M1020" s="29" t="s">
        <v>353</v>
      </c>
      <c r="N1020" s="29">
        <v>1.53</v>
      </c>
      <c r="O1020" s="115">
        <v>1.7</v>
      </c>
      <c r="P1020" s="29">
        <v>2.69</v>
      </c>
      <c r="Q1020" s="29">
        <v>0.9</v>
      </c>
      <c r="R1020" s="29">
        <v>90</v>
      </c>
      <c r="S1020" s="29">
        <v>0.82</v>
      </c>
      <c r="T1020" s="29">
        <v>30</v>
      </c>
      <c r="U1020" s="29">
        <v>0</v>
      </c>
      <c r="V1020" s="29">
        <v>0</v>
      </c>
      <c r="W1020" s="29">
        <v>0.51</v>
      </c>
      <c r="X1020" s="29">
        <v>0.35598218979705537</v>
      </c>
      <c r="Y1020" s="29">
        <v>0</v>
      </c>
      <c r="Z1020" s="29">
        <v>0</v>
      </c>
      <c r="AA1020" s="29"/>
      <c r="AB1020" s="29"/>
      <c r="AC1020" s="29"/>
      <c r="AD1020" s="29"/>
      <c r="AE1020" s="29" t="s">
        <v>1798</v>
      </c>
      <c r="AF1020" s="29"/>
      <c r="AG1020" s="29"/>
    </row>
    <row r="1021" spans="1:33">
      <c r="A1021" s="29" t="s">
        <v>1585</v>
      </c>
      <c r="B1021" s="29" t="s">
        <v>1790</v>
      </c>
      <c r="C1021" s="29" t="s">
        <v>1805</v>
      </c>
      <c r="D1021" s="29" t="s">
        <v>673</v>
      </c>
      <c r="E1021" s="29"/>
      <c r="F1021" s="29" t="s">
        <v>673</v>
      </c>
      <c r="G1021" s="29" t="s">
        <v>1835</v>
      </c>
      <c r="H1021" s="29" t="s">
        <v>1836</v>
      </c>
      <c r="I1021" s="116" t="s">
        <v>310</v>
      </c>
      <c r="J1021" s="29" t="s">
        <v>20</v>
      </c>
      <c r="K1021" s="29">
        <v>0.4</v>
      </c>
      <c r="L1021" s="116" t="s">
        <v>1807</v>
      </c>
      <c r="M1021" s="29" t="s">
        <v>353</v>
      </c>
      <c r="N1021" s="29">
        <v>1.53</v>
      </c>
      <c r="O1021" s="115">
        <v>1.7</v>
      </c>
      <c r="P1021" s="29">
        <v>2.69</v>
      </c>
      <c r="Q1021" s="29">
        <v>0.9</v>
      </c>
      <c r="R1021" s="29">
        <v>90</v>
      </c>
      <c r="S1021" s="29">
        <v>0.82</v>
      </c>
      <c r="T1021" s="29">
        <v>30</v>
      </c>
      <c r="U1021" s="29">
        <v>0</v>
      </c>
      <c r="V1021" s="29">
        <v>0</v>
      </c>
      <c r="W1021" s="29">
        <v>0.51</v>
      </c>
      <c r="X1021" s="29">
        <v>0.35598218979705537</v>
      </c>
      <c r="Y1021" s="29">
        <v>0</v>
      </c>
      <c r="Z1021" s="29">
        <v>0</v>
      </c>
      <c r="AA1021" s="29"/>
      <c r="AB1021" s="29"/>
      <c r="AC1021" s="29"/>
      <c r="AD1021" s="29"/>
      <c r="AE1021" s="29" t="s">
        <v>1798</v>
      </c>
      <c r="AF1021" s="29"/>
      <c r="AG1021" s="29"/>
    </row>
    <row r="1022" spans="1:33">
      <c r="A1022" s="29" t="s">
        <v>1666</v>
      </c>
      <c r="B1022" s="29" t="s">
        <v>1790</v>
      </c>
      <c r="C1022" s="29" t="s">
        <v>1809</v>
      </c>
      <c r="D1022" s="29" t="s">
        <v>673</v>
      </c>
      <c r="E1022" s="29"/>
      <c r="F1022" s="29" t="s">
        <v>673</v>
      </c>
      <c r="G1022" s="29" t="s">
        <v>1416</v>
      </c>
      <c r="H1022" s="29" t="s">
        <v>1417</v>
      </c>
      <c r="I1022" s="116" t="s">
        <v>310</v>
      </c>
      <c r="J1022" s="29" t="s">
        <v>20</v>
      </c>
      <c r="K1022" s="29">
        <v>0.4</v>
      </c>
      <c r="L1022" s="116" t="s">
        <v>1807</v>
      </c>
      <c r="M1022" s="29" t="s">
        <v>353</v>
      </c>
      <c r="N1022" s="29">
        <v>3.24</v>
      </c>
      <c r="O1022" s="115">
        <v>4.3</v>
      </c>
      <c r="P1022" s="29">
        <v>5.7</v>
      </c>
      <c r="Q1022" s="29">
        <v>0.75348837209302333</v>
      </c>
      <c r="R1022" s="29">
        <v>90</v>
      </c>
      <c r="S1022" s="29">
        <v>0.82</v>
      </c>
      <c r="T1022" s="29">
        <v>30</v>
      </c>
      <c r="U1022" s="29">
        <v>0</v>
      </c>
      <c r="V1022" s="29">
        <v>0</v>
      </c>
      <c r="W1022" s="29">
        <v>1.08</v>
      </c>
      <c r="X1022" s="29">
        <v>0.75384463721729389</v>
      </c>
      <c r="Y1022" s="29">
        <v>0</v>
      </c>
      <c r="Z1022" s="29">
        <v>0</v>
      </c>
      <c r="AA1022" s="29"/>
      <c r="AB1022" s="29"/>
      <c r="AC1022" s="29"/>
      <c r="AD1022" s="29"/>
      <c r="AE1022" s="29"/>
      <c r="AF1022" s="29"/>
      <c r="AG1022" s="29"/>
    </row>
    <row r="1023" spans="1:33">
      <c r="A1023" s="29" t="s">
        <v>1666</v>
      </c>
      <c r="B1023" s="29" t="s">
        <v>1790</v>
      </c>
      <c r="C1023" s="29" t="s">
        <v>1809</v>
      </c>
      <c r="D1023" s="29" t="s">
        <v>673</v>
      </c>
      <c r="E1023" s="29"/>
      <c r="F1023" s="29" t="s">
        <v>673</v>
      </c>
      <c r="G1023" s="29" t="s">
        <v>1418</v>
      </c>
      <c r="H1023" s="29" t="s">
        <v>1419</v>
      </c>
      <c r="I1023" s="116" t="s">
        <v>310</v>
      </c>
      <c r="J1023" s="29" t="s">
        <v>20</v>
      </c>
      <c r="K1023" s="29">
        <v>0.4</v>
      </c>
      <c r="L1023" s="116" t="s">
        <v>1807</v>
      </c>
      <c r="M1023" s="29" t="s">
        <v>353</v>
      </c>
      <c r="N1023" s="29">
        <v>3.24</v>
      </c>
      <c r="O1023" s="115">
        <v>4.3</v>
      </c>
      <c r="P1023" s="29">
        <v>5.7</v>
      </c>
      <c r="Q1023" s="29">
        <v>0.75348837209302333</v>
      </c>
      <c r="R1023" s="29">
        <v>90</v>
      </c>
      <c r="S1023" s="29">
        <v>0.82</v>
      </c>
      <c r="T1023" s="29">
        <v>30</v>
      </c>
      <c r="U1023" s="29">
        <v>0</v>
      </c>
      <c r="V1023" s="29">
        <v>0</v>
      </c>
      <c r="W1023" s="29">
        <v>1.08</v>
      </c>
      <c r="X1023" s="29">
        <v>0.75384463721729389</v>
      </c>
      <c r="Y1023" s="29">
        <v>0</v>
      </c>
      <c r="Z1023" s="29">
        <v>0</v>
      </c>
      <c r="AA1023" s="29"/>
      <c r="AB1023" s="29"/>
      <c r="AC1023" s="29"/>
      <c r="AD1023" s="29"/>
      <c r="AE1023" s="29"/>
      <c r="AF1023" s="29"/>
      <c r="AG1023" s="29"/>
    </row>
    <row r="1024" spans="1:33">
      <c r="A1024" s="29" t="s">
        <v>1666</v>
      </c>
      <c r="B1024" s="29" t="s">
        <v>1790</v>
      </c>
      <c r="C1024" s="29" t="s">
        <v>1809</v>
      </c>
      <c r="D1024" s="29" t="s">
        <v>673</v>
      </c>
      <c r="E1024" s="29"/>
      <c r="F1024" s="29" t="s">
        <v>673</v>
      </c>
      <c r="G1024" s="29" t="s">
        <v>1420</v>
      </c>
      <c r="H1024" s="29" t="s">
        <v>1421</v>
      </c>
      <c r="I1024" s="116" t="s">
        <v>310</v>
      </c>
      <c r="J1024" s="29" t="s">
        <v>20</v>
      </c>
      <c r="K1024" s="29">
        <v>0.4</v>
      </c>
      <c r="L1024" s="116" t="s">
        <v>1807</v>
      </c>
      <c r="M1024" s="29" t="s">
        <v>353</v>
      </c>
      <c r="N1024" s="29">
        <v>3.24</v>
      </c>
      <c r="O1024" s="115">
        <v>4.3</v>
      </c>
      <c r="P1024" s="29">
        <v>5.7</v>
      </c>
      <c r="Q1024" s="29">
        <v>0.75348837209302333</v>
      </c>
      <c r="R1024" s="29">
        <v>90</v>
      </c>
      <c r="S1024" s="29">
        <v>0.82</v>
      </c>
      <c r="T1024" s="29">
        <v>30</v>
      </c>
      <c r="U1024" s="29">
        <v>0</v>
      </c>
      <c r="V1024" s="29">
        <v>0</v>
      </c>
      <c r="W1024" s="29">
        <v>1.08</v>
      </c>
      <c r="X1024" s="29">
        <v>0.75384463721729389</v>
      </c>
      <c r="Y1024" s="29">
        <v>0</v>
      </c>
      <c r="Z1024" s="29">
        <v>0</v>
      </c>
      <c r="AA1024" s="29"/>
      <c r="AB1024" s="29"/>
      <c r="AC1024" s="29"/>
      <c r="AD1024" s="29"/>
      <c r="AE1024" s="29"/>
      <c r="AF1024" s="29"/>
      <c r="AG1024" s="29"/>
    </row>
    <row r="1025" spans="1:33">
      <c r="A1025" s="29" t="s">
        <v>1666</v>
      </c>
      <c r="B1025" s="29" t="s">
        <v>1790</v>
      </c>
      <c r="C1025" s="29" t="s">
        <v>1809</v>
      </c>
      <c r="D1025" s="29" t="s">
        <v>673</v>
      </c>
      <c r="E1025" s="29"/>
      <c r="F1025" s="29" t="s">
        <v>673</v>
      </c>
      <c r="G1025" s="29" t="s">
        <v>1422</v>
      </c>
      <c r="H1025" s="29" t="s">
        <v>1423</v>
      </c>
      <c r="I1025" s="116" t="s">
        <v>310</v>
      </c>
      <c r="J1025" s="29" t="s">
        <v>20</v>
      </c>
      <c r="K1025" s="29">
        <v>0.4</v>
      </c>
      <c r="L1025" s="116" t="s">
        <v>1807</v>
      </c>
      <c r="M1025" s="29" t="s">
        <v>353</v>
      </c>
      <c r="N1025" s="29">
        <v>3.24</v>
      </c>
      <c r="O1025" s="115">
        <v>4.3</v>
      </c>
      <c r="P1025" s="29">
        <v>5.7</v>
      </c>
      <c r="Q1025" s="29">
        <v>0.75348837209302333</v>
      </c>
      <c r="R1025" s="29">
        <v>90</v>
      </c>
      <c r="S1025" s="29">
        <v>0.82</v>
      </c>
      <c r="T1025" s="29">
        <v>30</v>
      </c>
      <c r="U1025" s="29">
        <v>0</v>
      </c>
      <c r="V1025" s="29">
        <v>0</v>
      </c>
      <c r="W1025" s="29">
        <v>1.08</v>
      </c>
      <c r="X1025" s="29">
        <v>0.75384463721729389</v>
      </c>
      <c r="Y1025" s="29">
        <v>0</v>
      </c>
      <c r="Z1025" s="29">
        <v>0</v>
      </c>
      <c r="AA1025" s="29"/>
      <c r="AB1025" s="29"/>
      <c r="AC1025" s="29"/>
      <c r="AD1025" s="29"/>
      <c r="AE1025" s="29"/>
      <c r="AF1025" s="29"/>
      <c r="AG1025" s="29"/>
    </row>
    <row r="1026" spans="1:33">
      <c r="A1026" s="29" t="s">
        <v>1666</v>
      </c>
      <c r="B1026" s="29" t="s">
        <v>1790</v>
      </c>
      <c r="C1026" s="29" t="s">
        <v>1809</v>
      </c>
      <c r="D1026" s="29" t="s">
        <v>673</v>
      </c>
      <c r="E1026" s="29"/>
      <c r="F1026" s="29" t="s">
        <v>673</v>
      </c>
      <c r="G1026" s="29" t="s">
        <v>1424</v>
      </c>
      <c r="H1026" s="29" t="s">
        <v>1425</v>
      </c>
      <c r="I1026" s="116" t="s">
        <v>310</v>
      </c>
      <c r="J1026" s="29" t="s">
        <v>20</v>
      </c>
      <c r="K1026" s="29">
        <v>0.4</v>
      </c>
      <c r="L1026" s="116" t="s">
        <v>1807</v>
      </c>
      <c r="M1026" s="29" t="s">
        <v>353</v>
      </c>
      <c r="N1026" s="29">
        <v>3.24</v>
      </c>
      <c r="O1026" s="115">
        <v>4.3</v>
      </c>
      <c r="P1026" s="29">
        <v>5.7</v>
      </c>
      <c r="Q1026" s="29">
        <v>0.75348837209302333</v>
      </c>
      <c r="R1026" s="29">
        <v>90</v>
      </c>
      <c r="S1026" s="29">
        <v>0.82</v>
      </c>
      <c r="T1026" s="29">
        <v>30</v>
      </c>
      <c r="U1026" s="29">
        <v>0</v>
      </c>
      <c r="V1026" s="29">
        <v>0</v>
      </c>
      <c r="W1026" s="29">
        <v>1.08</v>
      </c>
      <c r="X1026" s="29">
        <v>0.75384463721729389</v>
      </c>
      <c r="Y1026" s="29">
        <v>0</v>
      </c>
      <c r="Z1026" s="29">
        <v>0</v>
      </c>
      <c r="AA1026" s="29"/>
      <c r="AB1026" s="29"/>
      <c r="AC1026" s="29"/>
      <c r="AD1026" s="29"/>
      <c r="AE1026" s="29"/>
      <c r="AF1026" s="29"/>
      <c r="AG1026" s="29"/>
    </row>
    <row r="1027" spans="1:33">
      <c r="A1027" s="29" t="s">
        <v>1666</v>
      </c>
      <c r="B1027" s="29" t="s">
        <v>1790</v>
      </c>
      <c r="C1027" s="29" t="s">
        <v>1809</v>
      </c>
      <c r="D1027" s="29" t="s">
        <v>673</v>
      </c>
      <c r="E1027" s="29"/>
      <c r="F1027" s="29" t="s">
        <v>673</v>
      </c>
      <c r="G1027" s="29" t="s">
        <v>1426</v>
      </c>
      <c r="H1027" s="29" t="s">
        <v>1427</v>
      </c>
      <c r="I1027" s="116" t="s">
        <v>310</v>
      </c>
      <c r="J1027" s="29" t="s">
        <v>20</v>
      </c>
      <c r="K1027" s="29">
        <v>0.4</v>
      </c>
      <c r="L1027" s="116" t="s">
        <v>1807</v>
      </c>
      <c r="M1027" s="29" t="s">
        <v>353</v>
      </c>
      <c r="N1027" s="29">
        <v>3.24</v>
      </c>
      <c r="O1027" s="115">
        <v>4.3</v>
      </c>
      <c r="P1027" s="29">
        <v>5.7</v>
      </c>
      <c r="Q1027" s="29">
        <v>0.75348837209302333</v>
      </c>
      <c r="R1027" s="29">
        <v>90</v>
      </c>
      <c r="S1027" s="29">
        <v>0.82</v>
      </c>
      <c r="T1027" s="29">
        <v>30</v>
      </c>
      <c r="U1027" s="29">
        <v>0</v>
      </c>
      <c r="V1027" s="29">
        <v>0</v>
      </c>
      <c r="W1027" s="29">
        <v>1.08</v>
      </c>
      <c r="X1027" s="29">
        <v>0.75384463721729389</v>
      </c>
      <c r="Y1027" s="29">
        <v>0</v>
      </c>
      <c r="Z1027" s="29">
        <v>0</v>
      </c>
      <c r="AA1027" s="29"/>
      <c r="AB1027" s="29"/>
      <c r="AC1027" s="29"/>
      <c r="AD1027" s="29"/>
      <c r="AE1027" s="29"/>
      <c r="AF1027" s="29"/>
      <c r="AG1027" s="29"/>
    </row>
    <row r="1028" spans="1:33">
      <c r="A1028" s="29" t="s">
        <v>1666</v>
      </c>
      <c r="B1028" s="29" t="s">
        <v>1790</v>
      </c>
      <c r="C1028" s="29" t="s">
        <v>1809</v>
      </c>
      <c r="D1028" s="29" t="s">
        <v>673</v>
      </c>
      <c r="E1028" s="29"/>
      <c r="F1028" s="29" t="s">
        <v>673</v>
      </c>
      <c r="G1028" s="29" t="s">
        <v>1428</v>
      </c>
      <c r="H1028" s="29" t="s">
        <v>1429</v>
      </c>
      <c r="I1028" s="116" t="s">
        <v>310</v>
      </c>
      <c r="J1028" s="29" t="s">
        <v>20</v>
      </c>
      <c r="K1028" s="29">
        <v>0.4</v>
      </c>
      <c r="L1028" s="116" t="s">
        <v>1807</v>
      </c>
      <c r="M1028" s="29" t="s">
        <v>353</v>
      </c>
      <c r="N1028" s="29">
        <v>3.24</v>
      </c>
      <c r="O1028" s="115">
        <v>4.3</v>
      </c>
      <c r="P1028" s="29">
        <v>5.7</v>
      </c>
      <c r="Q1028" s="29">
        <v>0.75348837209302333</v>
      </c>
      <c r="R1028" s="29">
        <v>90</v>
      </c>
      <c r="S1028" s="29">
        <v>0.82</v>
      </c>
      <c r="T1028" s="29">
        <v>30</v>
      </c>
      <c r="U1028" s="29">
        <v>0</v>
      </c>
      <c r="V1028" s="29">
        <v>0</v>
      </c>
      <c r="W1028" s="29">
        <v>1.08</v>
      </c>
      <c r="X1028" s="29">
        <v>0.75384463721729389</v>
      </c>
      <c r="Y1028" s="29">
        <v>0</v>
      </c>
      <c r="Z1028" s="29">
        <v>0</v>
      </c>
      <c r="AA1028" s="29"/>
      <c r="AB1028" s="29"/>
      <c r="AC1028" s="29"/>
      <c r="AD1028" s="29"/>
      <c r="AE1028" s="29"/>
      <c r="AF1028" s="29"/>
      <c r="AG1028" s="29"/>
    </row>
    <row r="1029" spans="1:33">
      <c r="A1029" s="29" t="s">
        <v>1666</v>
      </c>
      <c r="B1029" s="29" t="s">
        <v>1790</v>
      </c>
      <c r="C1029" s="29" t="s">
        <v>1809</v>
      </c>
      <c r="D1029" s="29" t="s">
        <v>673</v>
      </c>
      <c r="E1029" s="29"/>
      <c r="F1029" s="29" t="s">
        <v>673</v>
      </c>
      <c r="G1029" s="29" t="s">
        <v>1430</v>
      </c>
      <c r="H1029" s="29" t="s">
        <v>1431</v>
      </c>
      <c r="I1029" s="116" t="s">
        <v>310</v>
      </c>
      <c r="J1029" s="29" t="s">
        <v>20</v>
      </c>
      <c r="K1029" s="29">
        <v>0.4</v>
      </c>
      <c r="L1029" s="116" t="s">
        <v>1807</v>
      </c>
      <c r="M1029" s="29" t="s">
        <v>353</v>
      </c>
      <c r="N1029" s="29">
        <v>3.24</v>
      </c>
      <c r="O1029" s="115">
        <v>4.3</v>
      </c>
      <c r="P1029" s="29">
        <v>5.7</v>
      </c>
      <c r="Q1029" s="29">
        <v>0.75348837209302333</v>
      </c>
      <c r="R1029" s="29">
        <v>90</v>
      </c>
      <c r="S1029" s="29">
        <v>0.82</v>
      </c>
      <c r="T1029" s="29">
        <v>30</v>
      </c>
      <c r="U1029" s="29">
        <v>0</v>
      </c>
      <c r="V1029" s="29">
        <v>0</v>
      </c>
      <c r="W1029" s="29">
        <v>1.08</v>
      </c>
      <c r="X1029" s="29">
        <v>0.75384463721729389</v>
      </c>
      <c r="Y1029" s="29">
        <v>0</v>
      </c>
      <c r="Z1029" s="29">
        <v>0</v>
      </c>
      <c r="AA1029" s="29"/>
      <c r="AB1029" s="29"/>
      <c r="AC1029" s="29"/>
      <c r="AD1029" s="29"/>
      <c r="AE1029" s="29"/>
      <c r="AF1029" s="29"/>
      <c r="AG1029" s="29"/>
    </row>
    <row r="1030" spans="1:33">
      <c r="A1030" s="29" t="s">
        <v>1666</v>
      </c>
      <c r="B1030" s="29" t="s">
        <v>1790</v>
      </c>
      <c r="C1030" s="29" t="s">
        <v>1809</v>
      </c>
      <c r="D1030" s="29" t="s">
        <v>673</v>
      </c>
      <c r="E1030" s="29"/>
      <c r="F1030" s="29" t="s">
        <v>673</v>
      </c>
      <c r="G1030" s="29" t="s">
        <v>1432</v>
      </c>
      <c r="H1030" s="29" t="s">
        <v>1433</v>
      </c>
      <c r="I1030" s="116" t="s">
        <v>310</v>
      </c>
      <c r="J1030" s="29" t="s">
        <v>20</v>
      </c>
      <c r="K1030" s="29">
        <v>0.4</v>
      </c>
      <c r="L1030" s="116" t="s">
        <v>1807</v>
      </c>
      <c r="M1030" s="29" t="s">
        <v>353</v>
      </c>
      <c r="N1030" s="29">
        <v>3.24</v>
      </c>
      <c r="O1030" s="115">
        <v>4.3</v>
      </c>
      <c r="P1030" s="29">
        <v>5.7</v>
      </c>
      <c r="Q1030" s="29">
        <v>0.75348837209302333</v>
      </c>
      <c r="R1030" s="29">
        <v>90</v>
      </c>
      <c r="S1030" s="29">
        <v>0.82</v>
      </c>
      <c r="T1030" s="29">
        <v>30</v>
      </c>
      <c r="U1030" s="29">
        <v>0</v>
      </c>
      <c r="V1030" s="29">
        <v>0</v>
      </c>
      <c r="W1030" s="29">
        <v>1.08</v>
      </c>
      <c r="X1030" s="29">
        <v>0.75384463721729389</v>
      </c>
      <c r="Y1030" s="29">
        <v>0</v>
      </c>
      <c r="Z1030" s="29">
        <v>0</v>
      </c>
      <c r="AA1030" s="29"/>
      <c r="AB1030" s="29"/>
      <c r="AC1030" s="29"/>
      <c r="AD1030" s="29"/>
      <c r="AE1030" s="29"/>
      <c r="AF1030" s="29"/>
      <c r="AG1030" s="29"/>
    </row>
    <row r="1031" spans="1:33">
      <c r="A1031" s="29" t="s">
        <v>1666</v>
      </c>
      <c r="B1031" s="29" t="s">
        <v>1790</v>
      </c>
      <c r="C1031" s="29" t="s">
        <v>1809</v>
      </c>
      <c r="D1031" s="29" t="s">
        <v>673</v>
      </c>
      <c r="E1031" s="29"/>
      <c r="F1031" s="29" t="s">
        <v>673</v>
      </c>
      <c r="G1031" s="29" t="s">
        <v>1434</v>
      </c>
      <c r="H1031" s="29" t="s">
        <v>1435</v>
      </c>
      <c r="I1031" s="116" t="s">
        <v>310</v>
      </c>
      <c r="J1031" s="29" t="s">
        <v>20</v>
      </c>
      <c r="K1031" s="29">
        <v>0.4</v>
      </c>
      <c r="L1031" s="116" t="s">
        <v>1807</v>
      </c>
      <c r="M1031" s="29" t="s">
        <v>353</v>
      </c>
      <c r="N1031" s="29">
        <v>3.24</v>
      </c>
      <c r="O1031" s="115">
        <v>4.3</v>
      </c>
      <c r="P1031" s="29">
        <v>5.7</v>
      </c>
      <c r="Q1031" s="29">
        <v>0.75348837209302333</v>
      </c>
      <c r="R1031" s="29">
        <v>90</v>
      </c>
      <c r="S1031" s="29">
        <v>0.82</v>
      </c>
      <c r="T1031" s="29">
        <v>30</v>
      </c>
      <c r="U1031" s="29">
        <v>0</v>
      </c>
      <c r="V1031" s="29">
        <v>0</v>
      </c>
      <c r="W1031" s="29">
        <v>1.08</v>
      </c>
      <c r="X1031" s="29">
        <v>0.75384463721729389</v>
      </c>
      <c r="Y1031" s="29">
        <v>0</v>
      </c>
      <c r="Z1031" s="29">
        <v>0</v>
      </c>
      <c r="AA1031" s="29"/>
      <c r="AB1031" s="29"/>
      <c r="AC1031" s="29"/>
      <c r="AD1031" s="29"/>
      <c r="AE1031" s="29"/>
      <c r="AF1031" s="29"/>
      <c r="AG1031" s="29"/>
    </row>
    <row r="1032" spans="1:33">
      <c r="A1032" s="29" t="s">
        <v>1666</v>
      </c>
      <c r="B1032" s="29" t="s">
        <v>1790</v>
      </c>
      <c r="C1032" s="29" t="s">
        <v>1809</v>
      </c>
      <c r="D1032" s="29" t="s">
        <v>673</v>
      </c>
      <c r="E1032" s="29"/>
      <c r="F1032" s="29" t="s">
        <v>673</v>
      </c>
      <c r="G1032" s="29" t="s">
        <v>1436</v>
      </c>
      <c r="H1032" s="29" t="s">
        <v>1437</v>
      </c>
      <c r="I1032" s="116" t="s">
        <v>310</v>
      </c>
      <c r="J1032" s="29" t="s">
        <v>20</v>
      </c>
      <c r="K1032" s="29">
        <v>0.4</v>
      </c>
      <c r="L1032" s="116" t="s">
        <v>1807</v>
      </c>
      <c r="M1032" s="29" t="s">
        <v>353</v>
      </c>
      <c r="N1032" s="29">
        <v>2.61</v>
      </c>
      <c r="O1032" s="115">
        <v>2.9</v>
      </c>
      <c r="P1032" s="29">
        <v>4.59</v>
      </c>
      <c r="Q1032" s="29">
        <v>0.9</v>
      </c>
      <c r="R1032" s="29">
        <v>90</v>
      </c>
      <c r="S1032" s="29">
        <v>0.82</v>
      </c>
      <c r="T1032" s="29">
        <v>30</v>
      </c>
      <c r="U1032" s="29">
        <v>0</v>
      </c>
      <c r="V1032" s="29">
        <v>0</v>
      </c>
      <c r="W1032" s="29">
        <v>0.86999999999999988</v>
      </c>
      <c r="X1032" s="29">
        <v>0.6072637355361532</v>
      </c>
      <c r="Y1032" s="29">
        <v>0</v>
      </c>
      <c r="Z1032" s="29">
        <v>0</v>
      </c>
      <c r="AA1032" s="29"/>
      <c r="AB1032" s="29"/>
      <c r="AC1032" s="29"/>
      <c r="AD1032" s="29"/>
      <c r="AE1032" s="29"/>
      <c r="AF1032" s="29"/>
      <c r="AG1032" s="29"/>
    </row>
    <row r="1033" spans="1:33">
      <c r="A1033" s="29" t="s">
        <v>1666</v>
      </c>
      <c r="B1033" s="29" t="s">
        <v>1790</v>
      </c>
      <c r="C1033" s="29" t="s">
        <v>1809</v>
      </c>
      <c r="D1033" s="29" t="s">
        <v>673</v>
      </c>
      <c r="E1033" s="29"/>
      <c r="F1033" s="29" t="s">
        <v>673</v>
      </c>
      <c r="G1033" s="29" t="s">
        <v>1438</v>
      </c>
      <c r="H1033" s="29" t="s">
        <v>1439</v>
      </c>
      <c r="I1033" s="116" t="s">
        <v>310</v>
      </c>
      <c r="J1033" s="29" t="s">
        <v>20</v>
      </c>
      <c r="K1033" s="29">
        <v>0.4</v>
      </c>
      <c r="L1033" s="116" t="s">
        <v>1807</v>
      </c>
      <c r="M1033" s="29" t="s">
        <v>353</v>
      </c>
      <c r="N1033" s="29">
        <v>2.61</v>
      </c>
      <c r="O1033" s="115">
        <v>2.9</v>
      </c>
      <c r="P1033" s="29">
        <v>4.59</v>
      </c>
      <c r="Q1033" s="29">
        <v>0.9</v>
      </c>
      <c r="R1033" s="29">
        <v>90</v>
      </c>
      <c r="S1033" s="29">
        <v>0.82</v>
      </c>
      <c r="T1033" s="29">
        <v>30</v>
      </c>
      <c r="U1033" s="29">
        <v>0</v>
      </c>
      <c r="V1033" s="29">
        <v>0</v>
      </c>
      <c r="W1033" s="29">
        <v>0.86999999999999988</v>
      </c>
      <c r="X1033" s="29">
        <v>0.6072637355361532</v>
      </c>
      <c r="Y1033" s="29">
        <v>0</v>
      </c>
      <c r="Z1033" s="29">
        <v>0</v>
      </c>
      <c r="AA1033" s="29"/>
      <c r="AB1033" s="29"/>
      <c r="AC1033" s="29"/>
      <c r="AD1033" s="29"/>
      <c r="AE1033" s="29"/>
      <c r="AF1033" s="29"/>
      <c r="AG1033" s="29"/>
    </row>
    <row r="1034" spans="1:33">
      <c r="A1034" s="29" t="s">
        <v>1666</v>
      </c>
      <c r="B1034" s="29" t="s">
        <v>1790</v>
      </c>
      <c r="C1034" s="29" t="s">
        <v>1809</v>
      </c>
      <c r="D1034" s="29" t="s">
        <v>673</v>
      </c>
      <c r="E1034" s="29"/>
      <c r="F1034" s="29" t="s">
        <v>673</v>
      </c>
      <c r="G1034" s="29" t="s">
        <v>1440</v>
      </c>
      <c r="H1034" s="29" t="s">
        <v>1441</v>
      </c>
      <c r="I1034" s="116" t="s">
        <v>310</v>
      </c>
      <c r="J1034" s="29" t="s">
        <v>20</v>
      </c>
      <c r="K1034" s="29">
        <v>0.4</v>
      </c>
      <c r="L1034" s="116" t="s">
        <v>1807</v>
      </c>
      <c r="M1034" s="29" t="s">
        <v>353</v>
      </c>
      <c r="N1034" s="29">
        <v>2.61</v>
      </c>
      <c r="O1034" s="115">
        <v>2.9</v>
      </c>
      <c r="P1034" s="29">
        <v>4.59</v>
      </c>
      <c r="Q1034" s="29">
        <v>0.9</v>
      </c>
      <c r="R1034" s="29">
        <v>90</v>
      </c>
      <c r="S1034" s="29">
        <v>0.82</v>
      </c>
      <c r="T1034" s="29">
        <v>30</v>
      </c>
      <c r="U1034" s="29">
        <v>0</v>
      </c>
      <c r="V1034" s="29">
        <v>0</v>
      </c>
      <c r="W1034" s="29">
        <v>0.86999999999999988</v>
      </c>
      <c r="X1034" s="29">
        <v>0.6072637355361532</v>
      </c>
      <c r="Y1034" s="29">
        <v>0</v>
      </c>
      <c r="Z1034" s="29">
        <v>0</v>
      </c>
      <c r="AA1034" s="29"/>
      <c r="AB1034" s="29"/>
      <c r="AC1034" s="29"/>
      <c r="AD1034" s="29"/>
      <c r="AE1034" s="29"/>
      <c r="AF1034" s="29"/>
      <c r="AG1034" s="29"/>
    </row>
    <row r="1035" spans="1:33">
      <c r="A1035" s="29" t="s">
        <v>1666</v>
      </c>
      <c r="B1035" s="29" t="s">
        <v>1790</v>
      </c>
      <c r="C1035" s="29" t="s">
        <v>1809</v>
      </c>
      <c r="D1035" s="29" t="s">
        <v>673</v>
      </c>
      <c r="E1035" s="29"/>
      <c r="F1035" s="29" t="s">
        <v>673</v>
      </c>
      <c r="G1035" s="29" t="s">
        <v>1442</v>
      </c>
      <c r="H1035" s="29" t="s">
        <v>1443</v>
      </c>
      <c r="I1035" s="116" t="s">
        <v>310</v>
      </c>
      <c r="J1035" s="29" t="s">
        <v>20</v>
      </c>
      <c r="K1035" s="29">
        <v>0.4</v>
      </c>
      <c r="L1035" s="116" t="s">
        <v>1807</v>
      </c>
      <c r="M1035" s="29" t="s">
        <v>353</v>
      </c>
      <c r="N1035" s="29">
        <v>2.61</v>
      </c>
      <c r="O1035" s="115">
        <v>2.9</v>
      </c>
      <c r="P1035" s="29">
        <v>4.59</v>
      </c>
      <c r="Q1035" s="29">
        <v>0.9</v>
      </c>
      <c r="R1035" s="29">
        <v>90</v>
      </c>
      <c r="S1035" s="29">
        <v>0.82</v>
      </c>
      <c r="T1035" s="29">
        <v>30</v>
      </c>
      <c r="U1035" s="29">
        <v>0</v>
      </c>
      <c r="V1035" s="29">
        <v>0</v>
      </c>
      <c r="W1035" s="29">
        <v>0.86999999999999988</v>
      </c>
      <c r="X1035" s="29">
        <v>0.6072637355361532</v>
      </c>
      <c r="Y1035" s="29">
        <v>0</v>
      </c>
      <c r="Z1035" s="29">
        <v>0</v>
      </c>
      <c r="AA1035" s="29"/>
      <c r="AB1035" s="29"/>
      <c r="AC1035" s="29"/>
      <c r="AD1035" s="29"/>
      <c r="AE1035" s="29"/>
      <c r="AF1035" s="29"/>
      <c r="AG1035" s="29"/>
    </row>
    <row r="1036" spans="1:33">
      <c r="A1036" s="29" t="s">
        <v>1666</v>
      </c>
      <c r="B1036" s="29" t="s">
        <v>1790</v>
      </c>
      <c r="C1036" s="29" t="s">
        <v>1809</v>
      </c>
      <c r="D1036" s="29" t="s">
        <v>673</v>
      </c>
      <c r="E1036" s="29"/>
      <c r="F1036" s="29" t="s">
        <v>673</v>
      </c>
      <c r="G1036" s="29" t="s">
        <v>1444</v>
      </c>
      <c r="H1036" s="29" t="s">
        <v>1445</v>
      </c>
      <c r="I1036" s="116" t="s">
        <v>310</v>
      </c>
      <c r="J1036" s="29" t="s">
        <v>20</v>
      </c>
      <c r="K1036" s="29">
        <v>0.4</v>
      </c>
      <c r="L1036" s="116" t="s">
        <v>1807</v>
      </c>
      <c r="M1036" s="29" t="s">
        <v>353</v>
      </c>
      <c r="N1036" s="29">
        <v>2.61</v>
      </c>
      <c r="O1036" s="115">
        <v>2.9</v>
      </c>
      <c r="P1036" s="29">
        <v>4.59</v>
      </c>
      <c r="Q1036" s="29">
        <v>0.9</v>
      </c>
      <c r="R1036" s="29">
        <v>90</v>
      </c>
      <c r="S1036" s="29">
        <v>0.82</v>
      </c>
      <c r="T1036" s="29">
        <v>30</v>
      </c>
      <c r="U1036" s="29">
        <v>0</v>
      </c>
      <c r="V1036" s="29">
        <v>0</v>
      </c>
      <c r="W1036" s="29">
        <v>0.86999999999999988</v>
      </c>
      <c r="X1036" s="29">
        <v>0.6072637355361532</v>
      </c>
      <c r="Y1036" s="29">
        <v>0</v>
      </c>
      <c r="Z1036" s="29">
        <v>0</v>
      </c>
      <c r="AA1036" s="29"/>
      <c r="AB1036" s="29"/>
      <c r="AC1036" s="29"/>
      <c r="AD1036" s="29"/>
      <c r="AE1036" s="29"/>
      <c r="AF1036" s="29"/>
      <c r="AG1036" s="29"/>
    </row>
    <row r="1037" spans="1:33">
      <c r="A1037" s="29" t="s">
        <v>1666</v>
      </c>
      <c r="B1037" s="29" t="s">
        <v>1790</v>
      </c>
      <c r="C1037" s="29" t="s">
        <v>1809</v>
      </c>
      <c r="D1037" s="29" t="s">
        <v>673</v>
      </c>
      <c r="E1037" s="29"/>
      <c r="F1037" s="29" t="s">
        <v>673</v>
      </c>
      <c r="G1037" s="29" t="s">
        <v>1446</v>
      </c>
      <c r="H1037" s="29" t="s">
        <v>1447</v>
      </c>
      <c r="I1037" s="116" t="s">
        <v>310</v>
      </c>
      <c r="J1037" s="29" t="s">
        <v>20</v>
      </c>
      <c r="K1037" s="29">
        <v>0.4</v>
      </c>
      <c r="L1037" s="116" t="s">
        <v>1807</v>
      </c>
      <c r="M1037" s="29" t="s">
        <v>353</v>
      </c>
      <c r="N1037" s="29">
        <v>2.61</v>
      </c>
      <c r="O1037" s="115">
        <v>2.9</v>
      </c>
      <c r="P1037" s="29">
        <v>4.59</v>
      </c>
      <c r="Q1037" s="29">
        <v>0.9</v>
      </c>
      <c r="R1037" s="29">
        <v>90</v>
      </c>
      <c r="S1037" s="29">
        <v>0.82</v>
      </c>
      <c r="T1037" s="29">
        <v>30</v>
      </c>
      <c r="U1037" s="29">
        <v>0</v>
      </c>
      <c r="V1037" s="29">
        <v>0</v>
      </c>
      <c r="W1037" s="29">
        <v>0.86999999999999988</v>
      </c>
      <c r="X1037" s="29">
        <v>0.6072637355361532</v>
      </c>
      <c r="Y1037" s="29">
        <v>0</v>
      </c>
      <c r="Z1037" s="29">
        <v>0</v>
      </c>
      <c r="AA1037" s="29"/>
      <c r="AB1037" s="29"/>
      <c r="AC1037" s="29"/>
      <c r="AD1037" s="29"/>
      <c r="AE1037" s="29"/>
      <c r="AF1037" s="29"/>
      <c r="AG1037" s="29"/>
    </row>
    <row r="1038" spans="1:33">
      <c r="A1038" s="29" t="s">
        <v>1666</v>
      </c>
      <c r="B1038" s="29" t="s">
        <v>1790</v>
      </c>
      <c r="C1038" s="29" t="s">
        <v>1809</v>
      </c>
      <c r="D1038" s="29" t="s">
        <v>673</v>
      </c>
      <c r="E1038" s="29"/>
      <c r="F1038" s="29" t="s">
        <v>673</v>
      </c>
      <c r="G1038" s="29" t="s">
        <v>1448</v>
      </c>
      <c r="H1038" s="29" t="s">
        <v>1449</v>
      </c>
      <c r="I1038" s="116" t="s">
        <v>310</v>
      </c>
      <c r="J1038" s="29" t="s">
        <v>20</v>
      </c>
      <c r="K1038" s="29">
        <v>0.4</v>
      </c>
      <c r="L1038" s="116" t="s">
        <v>1807</v>
      </c>
      <c r="M1038" s="29" t="s">
        <v>353</v>
      </c>
      <c r="N1038" s="29">
        <v>2.61</v>
      </c>
      <c r="O1038" s="115">
        <v>2.9</v>
      </c>
      <c r="P1038" s="29">
        <v>4.59</v>
      </c>
      <c r="Q1038" s="29">
        <v>0.9</v>
      </c>
      <c r="R1038" s="29">
        <v>90</v>
      </c>
      <c r="S1038" s="29">
        <v>0.82</v>
      </c>
      <c r="T1038" s="29">
        <v>30</v>
      </c>
      <c r="U1038" s="29">
        <v>0</v>
      </c>
      <c r="V1038" s="29">
        <v>0</v>
      </c>
      <c r="W1038" s="29">
        <v>0.86999999999999988</v>
      </c>
      <c r="X1038" s="29">
        <v>0.6072637355361532</v>
      </c>
      <c r="Y1038" s="29">
        <v>0</v>
      </c>
      <c r="Z1038" s="29">
        <v>0</v>
      </c>
      <c r="AA1038" s="29"/>
      <c r="AB1038" s="29"/>
      <c r="AC1038" s="29"/>
      <c r="AD1038" s="29"/>
      <c r="AE1038" s="29"/>
      <c r="AF1038" s="29"/>
      <c r="AG1038" s="29"/>
    </row>
    <row r="1039" spans="1:33">
      <c r="A1039" s="29" t="s">
        <v>1666</v>
      </c>
      <c r="B1039" s="29" t="s">
        <v>1790</v>
      </c>
      <c r="C1039" s="29" t="s">
        <v>1809</v>
      </c>
      <c r="D1039" s="29" t="s">
        <v>673</v>
      </c>
      <c r="E1039" s="29"/>
      <c r="F1039" s="29" t="s">
        <v>673</v>
      </c>
      <c r="G1039" s="29" t="s">
        <v>1450</v>
      </c>
      <c r="H1039" s="29" t="s">
        <v>1451</v>
      </c>
      <c r="I1039" s="116" t="s">
        <v>310</v>
      </c>
      <c r="J1039" s="29" t="s">
        <v>20</v>
      </c>
      <c r="K1039" s="29">
        <v>0.4</v>
      </c>
      <c r="L1039" s="116" t="s">
        <v>1807</v>
      </c>
      <c r="M1039" s="29" t="s">
        <v>353</v>
      </c>
      <c r="N1039" s="29">
        <v>2.61</v>
      </c>
      <c r="O1039" s="115">
        <v>2.9</v>
      </c>
      <c r="P1039" s="29">
        <v>4.59</v>
      </c>
      <c r="Q1039" s="29">
        <v>0.9</v>
      </c>
      <c r="R1039" s="29">
        <v>90</v>
      </c>
      <c r="S1039" s="29">
        <v>0.82</v>
      </c>
      <c r="T1039" s="29">
        <v>30</v>
      </c>
      <c r="U1039" s="29">
        <v>0</v>
      </c>
      <c r="V1039" s="29">
        <v>0</v>
      </c>
      <c r="W1039" s="29">
        <v>0.86999999999999988</v>
      </c>
      <c r="X1039" s="29">
        <v>0.6072637355361532</v>
      </c>
      <c r="Y1039" s="29">
        <v>0</v>
      </c>
      <c r="Z1039" s="29">
        <v>0</v>
      </c>
      <c r="AA1039" s="29"/>
      <c r="AB1039" s="29"/>
      <c r="AC1039" s="29"/>
      <c r="AD1039" s="29"/>
      <c r="AE1039" s="29"/>
      <c r="AF1039" s="29"/>
      <c r="AG1039" s="29"/>
    </row>
    <row r="1040" spans="1:33">
      <c r="A1040" s="29" t="s">
        <v>1666</v>
      </c>
      <c r="B1040" s="29" t="s">
        <v>1790</v>
      </c>
      <c r="C1040" s="29" t="s">
        <v>1809</v>
      </c>
      <c r="D1040" s="29" t="s">
        <v>673</v>
      </c>
      <c r="E1040" s="29"/>
      <c r="F1040" s="29" t="s">
        <v>673</v>
      </c>
      <c r="G1040" s="29" t="s">
        <v>1452</v>
      </c>
      <c r="H1040" s="29" t="s">
        <v>1453</v>
      </c>
      <c r="I1040" s="116" t="s">
        <v>310</v>
      </c>
      <c r="J1040" s="29" t="s">
        <v>20</v>
      </c>
      <c r="K1040" s="29">
        <v>0.4</v>
      </c>
      <c r="L1040" s="116" t="s">
        <v>1807</v>
      </c>
      <c r="M1040" s="29" t="s">
        <v>353</v>
      </c>
      <c r="N1040" s="29">
        <v>2.61</v>
      </c>
      <c r="O1040" s="115">
        <v>2.9</v>
      </c>
      <c r="P1040" s="29">
        <v>4.59</v>
      </c>
      <c r="Q1040" s="29">
        <v>0.9</v>
      </c>
      <c r="R1040" s="29">
        <v>90</v>
      </c>
      <c r="S1040" s="29">
        <v>0.82</v>
      </c>
      <c r="T1040" s="29">
        <v>30</v>
      </c>
      <c r="U1040" s="29">
        <v>0</v>
      </c>
      <c r="V1040" s="29">
        <v>0</v>
      </c>
      <c r="W1040" s="29">
        <v>0.86999999999999988</v>
      </c>
      <c r="X1040" s="29">
        <v>0.6072637355361532</v>
      </c>
      <c r="Y1040" s="29">
        <v>0</v>
      </c>
      <c r="Z1040" s="29">
        <v>0</v>
      </c>
      <c r="AA1040" s="29"/>
      <c r="AB1040" s="29"/>
      <c r="AC1040" s="29"/>
      <c r="AD1040" s="29"/>
      <c r="AE1040" s="29"/>
      <c r="AF1040" s="29"/>
      <c r="AG1040" s="29"/>
    </row>
    <row r="1041" spans="1:33">
      <c r="A1041" s="29" t="s">
        <v>1666</v>
      </c>
      <c r="B1041" s="29" t="s">
        <v>1790</v>
      </c>
      <c r="C1041" s="29" t="s">
        <v>1809</v>
      </c>
      <c r="D1041" s="29" t="s">
        <v>673</v>
      </c>
      <c r="E1041" s="29"/>
      <c r="F1041" s="29" t="s">
        <v>673</v>
      </c>
      <c r="G1041" s="29" t="s">
        <v>1454</v>
      </c>
      <c r="H1041" s="29" t="s">
        <v>1455</v>
      </c>
      <c r="I1041" s="116" t="s">
        <v>310</v>
      </c>
      <c r="J1041" s="29" t="s">
        <v>20</v>
      </c>
      <c r="K1041" s="29">
        <v>0.4</v>
      </c>
      <c r="L1041" s="116" t="s">
        <v>1807</v>
      </c>
      <c r="M1041" s="29" t="s">
        <v>353</v>
      </c>
      <c r="N1041" s="29">
        <v>2.61</v>
      </c>
      <c r="O1041" s="115">
        <v>2.9</v>
      </c>
      <c r="P1041" s="29">
        <v>4.59</v>
      </c>
      <c r="Q1041" s="29">
        <v>0.9</v>
      </c>
      <c r="R1041" s="29">
        <v>90</v>
      </c>
      <c r="S1041" s="29">
        <v>0.82</v>
      </c>
      <c r="T1041" s="29">
        <v>30</v>
      </c>
      <c r="U1041" s="29">
        <v>0</v>
      </c>
      <c r="V1041" s="29">
        <v>0</v>
      </c>
      <c r="W1041" s="29">
        <v>0.86999999999999988</v>
      </c>
      <c r="X1041" s="29">
        <v>0.6072637355361532</v>
      </c>
      <c r="Y1041" s="29">
        <v>0</v>
      </c>
      <c r="Z1041" s="29">
        <v>0</v>
      </c>
      <c r="AA1041" s="29"/>
      <c r="AB1041" s="29"/>
      <c r="AC1041" s="29"/>
      <c r="AD1041" s="29"/>
      <c r="AE1041" s="29"/>
      <c r="AF1041" s="29"/>
      <c r="AG1041" s="29"/>
    </row>
    <row r="1042" spans="1:33">
      <c r="A1042" s="29" t="s">
        <v>1666</v>
      </c>
      <c r="B1042" s="29" t="s">
        <v>1790</v>
      </c>
      <c r="C1042" s="29" t="s">
        <v>1809</v>
      </c>
      <c r="D1042" s="29" t="s">
        <v>673</v>
      </c>
      <c r="E1042" s="29"/>
      <c r="F1042" s="29" t="s">
        <v>673</v>
      </c>
      <c r="G1042" s="29" t="s">
        <v>1456</v>
      </c>
      <c r="H1042" s="29" t="s">
        <v>1457</v>
      </c>
      <c r="I1042" s="116" t="s">
        <v>310</v>
      </c>
      <c r="J1042" s="29" t="s">
        <v>20</v>
      </c>
      <c r="K1042" s="29">
        <v>0.4</v>
      </c>
      <c r="L1042" s="116" t="s">
        <v>1807</v>
      </c>
      <c r="M1042" s="29" t="s">
        <v>353</v>
      </c>
      <c r="N1042" s="29">
        <v>1.53</v>
      </c>
      <c r="O1042" s="115">
        <v>1.7</v>
      </c>
      <c r="P1042" s="29">
        <v>2.69</v>
      </c>
      <c r="Q1042" s="29">
        <v>0.9</v>
      </c>
      <c r="R1042" s="29">
        <v>90</v>
      </c>
      <c r="S1042" s="29">
        <v>0.82</v>
      </c>
      <c r="T1042" s="29">
        <v>30</v>
      </c>
      <c r="U1042" s="29">
        <v>0</v>
      </c>
      <c r="V1042" s="29">
        <v>0</v>
      </c>
      <c r="W1042" s="29">
        <v>0.51</v>
      </c>
      <c r="X1042" s="29">
        <v>0.35598218979705537</v>
      </c>
      <c r="Y1042" s="29">
        <v>0</v>
      </c>
      <c r="Z1042" s="29">
        <v>0</v>
      </c>
      <c r="AA1042" s="29"/>
      <c r="AB1042" s="29"/>
      <c r="AC1042" s="29"/>
      <c r="AD1042" s="29"/>
      <c r="AE1042" s="29"/>
      <c r="AF1042" s="29"/>
      <c r="AG1042" s="29"/>
    </row>
    <row r="1043" spans="1:33">
      <c r="A1043" s="29" t="s">
        <v>1666</v>
      </c>
      <c r="B1043" s="29" t="s">
        <v>1790</v>
      </c>
      <c r="C1043" s="29" t="s">
        <v>1809</v>
      </c>
      <c r="D1043" s="29" t="s">
        <v>673</v>
      </c>
      <c r="E1043" s="29"/>
      <c r="F1043" s="29" t="s">
        <v>673</v>
      </c>
      <c r="G1043" s="29" t="s">
        <v>1458</v>
      </c>
      <c r="H1043" s="29" t="s">
        <v>1459</v>
      </c>
      <c r="I1043" s="116" t="s">
        <v>310</v>
      </c>
      <c r="J1043" s="29" t="s">
        <v>20</v>
      </c>
      <c r="K1043" s="29">
        <v>0.4</v>
      </c>
      <c r="L1043" s="116" t="s">
        <v>1807</v>
      </c>
      <c r="M1043" s="29" t="s">
        <v>353</v>
      </c>
      <c r="N1043" s="29">
        <v>1.53</v>
      </c>
      <c r="O1043" s="115">
        <v>1.7</v>
      </c>
      <c r="P1043" s="29">
        <v>2.69</v>
      </c>
      <c r="Q1043" s="29">
        <v>0.9</v>
      </c>
      <c r="R1043" s="29">
        <v>90</v>
      </c>
      <c r="S1043" s="29">
        <v>0.82</v>
      </c>
      <c r="T1043" s="29">
        <v>30</v>
      </c>
      <c r="U1043" s="29">
        <v>0</v>
      </c>
      <c r="V1043" s="29">
        <v>0</v>
      </c>
      <c r="W1043" s="29">
        <v>0.51</v>
      </c>
      <c r="X1043" s="29">
        <v>0.35598218979705537</v>
      </c>
      <c r="Y1043" s="29">
        <v>0</v>
      </c>
      <c r="Z1043" s="29">
        <v>0</v>
      </c>
      <c r="AA1043" s="29"/>
      <c r="AB1043" s="29"/>
      <c r="AC1043" s="29"/>
      <c r="AD1043" s="29"/>
      <c r="AE1043" s="29"/>
      <c r="AF1043" s="29"/>
      <c r="AG1043" s="29"/>
    </row>
    <row r="1044" spans="1:33">
      <c r="A1044" s="29" t="s">
        <v>1666</v>
      </c>
      <c r="B1044" s="29" t="s">
        <v>1790</v>
      </c>
      <c r="C1044" s="29" t="s">
        <v>1809</v>
      </c>
      <c r="D1044" s="29" t="s">
        <v>673</v>
      </c>
      <c r="E1044" s="29"/>
      <c r="F1044" s="29" t="s">
        <v>673</v>
      </c>
      <c r="G1044" s="29" t="s">
        <v>1460</v>
      </c>
      <c r="H1044" s="29" t="s">
        <v>1461</v>
      </c>
      <c r="I1044" s="116" t="s">
        <v>310</v>
      </c>
      <c r="J1044" s="29" t="s">
        <v>20</v>
      </c>
      <c r="K1044" s="29">
        <v>0.4</v>
      </c>
      <c r="L1044" s="116" t="s">
        <v>1807</v>
      </c>
      <c r="M1044" s="29" t="s">
        <v>353</v>
      </c>
      <c r="N1044" s="29">
        <v>1.53</v>
      </c>
      <c r="O1044" s="115">
        <v>1.7</v>
      </c>
      <c r="P1044" s="29">
        <v>2.69</v>
      </c>
      <c r="Q1044" s="29">
        <v>0.9</v>
      </c>
      <c r="R1044" s="29">
        <v>90</v>
      </c>
      <c r="S1044" s="29">
        <v>0.82</v>
      </c>
      <c r="T1044" s="29">
        <v>30</v>
      </c>
      <c r="U1044" s="29">
        <v>0</v>
      </c>
      <c r="V1044" s="29">
        <v>0</v>
      </c>
      <c r="W1044" s="29">
        <v>0.51</v>
      </c>
      <c r="X1044" s="29">
        <v>0.35598218979705537</v>
      </c>
      <c r="Y1044" s="29">
        <v>0</v>
      </c>
      <c r="Z1044" s="29">
        <v>0</v>
      </c>
      <c r="AA1044" s="29"/>
      <c r="AB1044" s="29"/>
      <c r="AC1044" s="29"/>
      <c r="AD1044" s="29"/>
      <c r="AE1044" s="29"/>
      <c r="AF1044" s="29"/>
      <c r="AG1044" s="29"/>
    </row>
    <row r="1045" spans="1:33">
      <c r="A1045" s="29" t="s">
        <v>1666</v>
      </c>
      <c r="B1045" s="29" t="s">
        <v>1790</v>
      </c>
      <c r="C1045" s="29" t="s">
        <v>1809</v>
      </c>
      <c r="D1045" s="29" t="s">
        <v>673</v>
      </c>
      <c r="E1045" s="29"/>
      <c r="F1045" s="29" t="s">
        <v>673</v>
      </c>
      <c r="G1045" s="29" t="s">
        <v>1462</v>
      </c>
      <c r="H1045" s="29" t="s">
        <v>1463</v>
      </c>
      <c r="I1045" s="116" t="s">
        <v>310</v>
      </c>
      <c r="J1045" s="29" t="s">
        <v>20</v>
      </c>
      <c r="K1045" s="29">
        <v>0.4</v>
      </c>
      <c r="L1045" s="116" t="s">
        <v>1807</v>
      </c>
      <c r="M1045" s="29" t="s">
        <v>353</v>
      </c>
      <c r="N1045" s="29">
        <v>1.53</v>
      </c>
      <c r="O1045" s="115">
        <v>1.7</v>
      </c>
      <c r="P1045" s="29">
        <v>2.69</v>
      </c>
      <c r="Q1045" s="29">
        <v>0.9</v>
      </c>
      <c r="R1045" s="29">
        <v>90</v>
      </c>
      <c r="S1045" s="29">
        <v>0.82</v>
      </c>
      <c r="T1045" s="29">
        <v>30</v>
      </c>
      <c r="U1045" s="29">
        <v>0</v>
      </c>
      <c r="V1045" s="29">
        <v>0</v>
      </c>
      <c r="W1045" s="29">
        <v>0.51</v>
      </c>
      <c r="X1045" s="29">
        <v>0.35598218979705537</v>
      </c>
      <c r="Y1045" s="29">
        <v>0</v>
      </c>
      <c r="Z1045" s="29">
        <v>0</v>
      </c>
      <c r="AA1045" s="29"/>
      <c r="AB1045" s="29"/>
      <c r="AC1045" s="29"/>
      <c r="AD1045" s="29"/>
      <c r="AE1045" s="29"/>
      <c r="AF1045" s="29"/>
      <c r="AG1045" s="29"/>
    </row>
    <row r="1046" spans="1:33">
      <c r="A1046" s="29" t="s">
        <v>1666</v>
      </c>
      <c r="B1046" s="29" t="s">
        <v>1790</v>
      </c>
      <c r="C1046" s="29" t="s">
        <v>1837</v>
      </c>
      <c r="D1046" s="29" t="s">
        <v>677</v>
      </c>
      <c r="E1046" s="29"/>
      <c r="F1046" s="29" t="s">
        <v>677</v>
      </c>
      <c r="G1046" s="29" t="s">
        <v>1480</v>
      </c>
      <c r="H1046" s="29" t="s">
        <v>1481</v>
      </c>
      <c r="I1046" s="116" t="s">
        <v>310</v>
      </c>
      <c r="J1046" s="29" t="s">
        <v>20</v>
      </c>
      <c r="K1046" s="29">
        <v>0.4</v>
      </c>
      <c r="L1046" s="116" t="s">
        <v>1807</v>
      </c>
      <c r="M1046" s="29" t="s">
        <v>353</v>
      </c>
      <c r="N1046" s="29">
        <v>2.61</v>
      </c>
      <c r="O1046" s="115">
        <v>2.9</v>
      </c>
      <c r="P1046" s="29">
        <v>4.59</v>
      </c>
      <c r="Q1046" s="29">
        <v>0.9</v>
      </c>
      <c r="R1046" s="29">
        <v>90</v>
      </c>
      <c r="S1046" s="29">
        <v>0.82</v>
      </c>
      <c r="T1046" s="29">
        <v>30</v>
      </c>
      <c r="U1046" s="29">
        <v>0</v>
      </c>
      <c r="V1046" s="29">
        <v>0</v>
      </c>
      <c r="W1046" s="29">
        <v>0.86999999999999988</v>
      </c>
      <c r="X1046" s="29">
        <v>0.6072637355361532</v>
      </c>
      <c r="Y1046" s="29">
        <v>0</v>
      </c>
      <c r="Z1046" s="29">
        <v>0</v>
      </c>
      <c r="AA1046" s="29"/>
      <c r="AB1046" s="29"/>
      <c r="AC1046" s="29"/>
      <c r="AD1046" s="29" t="s">
        <v>1838</v>
      </c>
      <c r="AE1046" s="29" t="s">
        <v>1794</v>
      </c>
      <c r="AF1046" s="29"/>
      <c r="AG1046" s="29"/>
    </row>
    <row r="1047" spans="1:33">
      <c r="A1047" s="29" t="s">
        <v>1666</v>
      </c>
      <c r="B1047" s="29" t="s">
        <v>1790</v>
      </c>
      <c r="C1047" s="29" t="s">
        <v>1837</v>
      </c>
      <c r="D1047" s="29" t="s">
        <v>677</v>
      </c>
      <c r="E1047" s="29"/>
      <c r="F1047" s="29" t="s">
        <v>677</v>
      </c>
      <c r="G1047" s="29" t="s">
        <v>1482</v>
      </c>
      <c r="H1047" s="29" t="s">
        <v>1481</v>
      </c>
      <c r="I1047" s="116" t="s">
        <v>310</v>
      </c>
      <c r="J1047" s="29" t="s">
        <v>20</v>
      </c>
      <c r="K1047" s="29">
        <v>0.4</v>
      </c>
      <c r="L1047" s="116" t="s">
        <v>1807</v>
      </c>
      <c r="M1047" s="29" t="s">
        <v>353</v>
      </c>
      <c r="N1047" s="29">
        <v>2.61</v>
      </c>
      <c r="O1047" s="115">
        <v>2.9</v>
      </c>
      <c r="P1047" s="29">
        <v>4.59</v>
      </c>
      <c r="Q1047" s="29">
        <v>0.9</v>
      </c>
      <c r="R1047" s="29">
        <v>90</v>
      </c>
      <c r="S1047" s="29">
        <v>0.82</v>
      </c>
      <c r="T1047" s="29">
        <v>30</v>
      </c>
      <c r="U1047" s="29">
        <v>0</v>
      </c>
      <c r="V1047" s="29">
        <v>0</v>
      </c>
      <c r="W1047" s="29">
        <v>0.86999999999999988</v>
      </c>
      <c r="X1047" s="29">
        <v>0.6072637355361532</v>
      </c>
      <c r="Y1047" s="29">
        <v>0</v>
      </c>
      <c r="Z1047" s="29">
        <v>0</v>
      </c>
      <c r="AA1047" s="29"/>
      <c r="AB1047" s="29"/>
      <c r="AC1047" s="29"/>
      <c r="AD1047" s="29" t="s">
        <v>1838</v>
      </c>
      <c r="AE1047" s="29" t="s">
        <v>1794</v>
      </c>
      <c r="AF1047" s="29"/>
      <c r="AG1047" s="29"/>
    </row>
    <row r="1048" spans="1:33">
      <c r="A1048" s="29" t="s">
        <v>1666</v>
      </c>
      <c r="B1048" s="29" t="s">
        <v>1790</v>
      </c>
      <c r="C1048" s="29" t="s">
        <v>1837</v>
      </c>
      <c r="D1048" s="29" t="s">
        <v>677</v>
      </c>
      <c r="E1048" s="29"/>
      <c r="F1048" s="29" t="s">
        <v>677</v>
      </c>
      <c r="G1048" s="29" t="s">
        <v>1483</v>
      </c>
      <c r="H1048" s="29" t="s">
        <v>1481</v>
      </c>
      <c r="I1048" s="116" t="s">
        <v>310</v>
      </c>
      <c r="J1048" s="29" t="s">
        <v>20</v>
      </c>
      <c r="K1048" s="29">
        <v>0.4</v>
      </c>
      <c r="L1048" s="116" t="s">
        <v>1807</v>
      </c>
      <c r="M1048" s="29" t="s">
        <v>353</v>
      </c>
      <c r="N1048" s="29">
        <v>1.53</v>
      </c>
      <c r="O1048" s="115">
        <v>1.7</v>
      </c>
      <c r="P1048" s="29">
        <v>2.69</v>
      </c>
      <c r="Q1048" s="29">
        <v>0.9</v>
      </c>
      <c r="R1048" s="29">
        <v>90</v>
      </c>
      <c r="S1048" s="29">
        <v>0.82</v>
      </c>
      <c r="T1048" s="29">
        <v>30</v>
      </c>
      <c r="U1048" s="29">
        <v>0</v>
      </c>
      <c r="V1048" s="29">
        <v>0</v>
      </c>
      <c r="W1048" s="29">
        <v>0.51</v>
      </c>
      <c r="X1048" s="29">
        <v>0.35598218979705537</v>
      </c>
      <c r="Y1048" s="29">
        <v>0</v>
      </c>
      <c r="Z1048" s="29">
        <v>0</v>
      </c>
      <c r="AA1048" s="29"/>
      <c r="AB1048" s="29"/>
      <c r="AC1048" s="29"/>
      <c r="AD1048" s="29" t="s">
        <v>1839</v>
      </c>
      <c r="AE1048" s="29" t="s">
        <v>1794</v>
      </c>
      <c r="AF1048" s="29"/>
      <c r="AG1048" s="29"/>
    </row>
    <row r="1049" spans="1:33">
      <c r="A1049" s="29" t="s">
        <v>1666</v>
      </c>
      <c r="B1049" s="29" t="s">
        <v>1790</v>
      </c>
      <c r="C1049" s="29" t="s">
        <v>1837</v>
      </c>
      <c r="D1049" s="29" t="s">
        <v>677</v>
      </c>
      <c r="E1049" s="29"/>
      <c r="F1049" s="29" t="s">
        <v>677</v>
      </c>
      <c r="G1049" s="29" t="s">
        <v>1484</v>
      </c>
      <c r="H1049" s="29" t="s">
        <v>1481</v>
      </c>
      <c r="I1049" s="116" t="s">
        <v>310</v>
      </c>
      <c r="J1049" s="29" t="s">
        <v>20</v>
      </c>
      <c r="K1049" s="29">
        <v>0.4</v>
      </c>
      <c r="L1049" s="116" t="s">
        <v>1807</v>
      </c>
      <c r="M1049" s="29" t="s">
        <v>353</v>
      </c>
      <c r="N1049" s="29">
        <v>1.53</v>
      </c>
      <c r="O1049" s="115">
        <v>1.7</v>
      </c>
      <c r="P1049" s="29">
        <v>2.69</v>
      </c>
      <c r="Q1049" s="29">
        <v>0.9</v>
      </c>
      <c r="R1049" s="29">
        <v>90</v>
      </c>
      <c r="S1049" s="29">
        <v>0.82</v>
      </c>
      <c r="T1049" s="29">
        <v>30</v>
      </c>
      <c r="U1049" s="29">
        <v>0</v>
      </c>
      <c r="V1049" s="29">
        <v>0</v>
      </c>
      <c r="W1049" s="29">
        <v>0.51</v>
      </c>
      <c r="X1049" s="29">
        <v>0.35598218979705537</v>
      </c>
      <c r="Y1049" s="29">
        <v>0</v>
      </c>
      <c r="Z1049" s="29">
        <v>0</v>
      </c>
      <c r="AA1049" s="29"/>
      <c r="AB1049" s="29"/>
      <c r="AC1049" s="29"/>
      <c r="AD1049" s="29" t="s">
        <v>1839</v>
      </c>
      <c r="AE1049" s="29" t="s">
        <v>1794</v>
      </c>
      <c r="AF1049" s="29"/>
      <c r="AG1049" s="29"/>
    </row>
    <row r="1050" spans="1:33">
      <c r="A1050" s="29" t="s">
        <v>1666</v>
      </c>
      <c r="B1050" s="29" t="s">
        <v>1790</v>
      </c>
      <c r="C1050" s="29" t="s">
        <v>1837</v>
      </c>
      <c r="D1050" s="29" t="s">
        <v>677</v>
      </c>
      <c r="E1050" s="29"/>
      <c r="F1050" s="29" t="s">
        <v>677</v>
      </c>
      <c r="G1050" s="29" t="s">
        <v>1485</v>
      </c>
      <c r="H1050" s="29" t="s">
        <v>1481</v>
      </c>
      <c r="I1050" s="116" t="s">
        <v>310</v>
      </c>
      <c r="J1050" s="29" t="s">
        <v>20</v>
      </c>
      <c r="K1050" s="29">
        <v>0.4</v>
      </c>
      <c r="L1050" s="116" t="s">
        <v>1807</v>
      </c>
      <c r="M1050" s="29" t="s">
        <v>353</v>
      </c>
      <c r="N1050" s="29">
        <v>3.87</v>
      </c>
      <c r="O1050" s="115">
        <v>4.3</v>
      </c>
      <c r="P1050" s="29">
        <v>6.81</v>
      </c>
      <c r="Q1050" s="29">
        <v>0.9</v>
      </c>
      <c r="R1050" s="29">
        <v>90</v>
      </c>
      <c r="S1050" s="29">
        <v>0.82</v>
      </c>
      <c r="T1050" s="29">
        <v>30</v>
      </c>
      <c r="U1050" s="29">
        <v>0</v>
      </c>
      <c r="V1050" s="29">
        <v>0</v>
      </c>
      <c r="W1050" s="29">
        <v>1.29</v>
      </c>
      <c r="X1050" s="29">
        <v>0.90042553889843424</v>
      </c>
      <c r="Y1050" s="29">
        <v>0</v>
      </c>
      <c r="Z1050" s="29">
        <v>0</v>
      </c>
      <c r="AA1050" s="29"/>
      <c r="AB1050" s="29"/>
      <c r="AC1050" s="29"/>
      <c r="AD1050" s="29" t="s">
        <v>1840</v>
      </c>
      <c r="AE1050" s="29" t="s">
        <v>1794</v>
      </c>
      <c r="AF1050" s="29"/>
      <c r="AG1050" s="29"/>
    </row>
    <row r="1051" spans="1:33">
      <c r="A1051" s="29" t="s">
        <v>1666</v>
      </c>
      <c r="B1051" s="29" t="s">
        <v>1790</v>
      </c>
      <c r="C1051" s="29" t="s">
        <v>1841</v>
      </c>
      <c r="D1051" s="29" t="s">
        <v>677</v>
      </c>
      <c r="E1051" s="29"/>
      <c r="F1051" s="29" t="s">
        <v>677</v>
      </c>
      <c r="G1051" s="29" t="s">
        <v>1486</v>
      </c>
      <c r="H1051" s="29" t="s">
        <v>1481</v>
      </c>
      <c r="I1051" s="116" t="s">
        <v>310</v>
      </c>
      <c r="J1051" s="29" t="s">
        <v>20</v>
      </c>
      <c r="K1051" s="29">
        <v>0.4</v>
      </c>
      <c r="L1051" s="116" t="s">
        <v>1807</v>
      </c>
      <c r="M1051" s="29" t="s">
        <v>353</v>
      </c>
      <c r="N1051" s="29">
        <v>1.53</v>
      </c>
      <c r="O1051" s="115">
        <v>1.7</v>
      </c>
      <c r="P1051" s="29">
        <v>2.69</v>
      </c>
      <c r="Q1051" s="29">
        <v>0.9</v>
      </c>
      <c r="R1051" s="29">
        <v>90</v>
      </c>
      <c r="S1051" s="29">
        <v>0.82</v>
      </c>
      <c r="T1051" s="29">
        <v>30</v>
      </c>
      <c r="U1051" s="29">
        <v>0</v>
      </c>
      <c r="V1051" s="29">
        <v>0</v>
      </c>
      <c r="W1051" s="29">
        <v>0.51</v>
      </c>
      <c r="X1051" s="29">
        <v>0.35598218979705537</v>
      </c>
      <c r="Y1051" s="29">
        <v>0</v>
      </c>
      <c r="Z1051" s="29">
        <v>0</v>
      </c>
      <c r="AA1051" s="29"/>
      <c r="AB1051" s="29"/>
      <c r="AC1051" s="29"/>
      <c r="AD1051" s="29" t="s">
        <v>1842</v>
      </c>
      <c r="AE1051" s="29" t="s">
        <v>1794</v>
      </c>
      <c r="AF1051" s="29"/>
      <c r="AG1051" s="29"/>
    </row>
    <row r="1052" spans="1:33">
      <c r="A1052" s="29" t="s">
        <v>1666</v>
      </c>
      <c r="B1052" s="29" t="s">
        <v>1790</v>
      </c>
      <c r="C1052" s="29" t="s">
        <v>1841</v>
      </c>
      <c r="D1052" s="29" t="s">
        <v>677</v>
      </c>
      <c r="E1052" s="29"/>
      <c r="F1052" s="29" t="s">
        <v>677</v>
      </c>
      <c r="G1052" s="29" t="s">
        <v>1487</v>
      </c>
      <c r="H1052" s="29" t="s">
        <v>1481</v>
      </c>
      <c r="I1052" s="116" t="s">
        <v>310</v>
      </c>
      <c r="J1052" s="29" t="s">
        <v>20</v>
      </c>
      <c r="K1052" s="29">
        <v>0.4</v>
      </c>
      <c r="L1052" s="116" t="s">
        <v>1807</v>
      </c>
      <c r="M1052" s="29" t="s">
        <v>353</v>
      </c>
      <c r="N1052" s="29">
        <v>1.53</v>
      </c>
      <c r="O1052" s="115">
        <v>1.7</v>
      </c>
      <c r="P1052" s="29">
        <v>2.69</v>
      </c>
      <c r="Q1052" s="29">
        <v>0.9</v>
      </c>
      <c r="R1052" s="29">
        <v>90</v>
      </c>
      <c r="S1052" s="29">
        <v>0.82</v>
      </c>
      <c r="T1052" s="29">
        <v>30</v>
      </c>
      <c r="U1052" s="29">
        <v>0</v>
      </c>
      <c r="V1052" s="29">
        <v>0</v>
      </c>
      <c r="W1052" s="29">
        <v>0.51</v>
      </c>
      <c r="X1052" s="29">
        <v>0.35598218979705537</v>
      </c>
      <c r="Y1052" s="29">
        <v>0</v>
      </c>
      <c r="Z1052" s="29">
        <v>0</v>
      </c>
      <c r="AA1052" s="29"/>
      <c r="AB1052" s="29"/>
      <c r="AC1052" s="29"/>
      <c r="AD1052" s="29" t="s">
        <v>1843</v>
      </c>
      <c r="AE1052" s="29" t="s">
        <v>1794</v>
      </c>
      <c r="AF1052" s="29"/>
      <c r="AG1052" s="29"/>
    </row>
    <row r="1053" spans="1:33">
      <c r="A1053" s="29" t="s">
        <v>311</v>
      </c>
      <c r="B1053" s="29" t="s">
        <v>1580</v>
      </c>
      <c r="C1053" s="29" t="s">
        <v>326</v>
      </c>
      <c r="D1053" s="29" t="s">
        <v>1488</v>
      </c>
      <c r="E1053" s="29"/>
      <c r="F1053" s="29" t="s">
        <v>1488</v>
      </c>
      <c r="G1053" s="29" t="s">
        <v>1489</v>
      </c>
      <c r="H1053" s="29" t="s">
        <v>1490</v>
      </c>
      <c r="I1053" s="116" t="s">
        <v>310</v>
      </c>
      <c r="J1053" s="29" t="s">
        <v>20</v>
      </c>
      <c r="K1053" s="29">
        <v>0.4</v>
      </c>
      <c r="L1053" s="116"/>
      <c r="M1053" s="29" t="s">
        <v>363</v>
      </c>
      <c r="N1053" s="29">
        <v>87.292800000000014</v>
      </c>
      <c r="O1053" s="115">
        <v>87.292800000000014</v>
      </c>
      <c r="P1053" s="29">
        <v>63</v>
      </c>
      <c r="Q1053" s="29">
        <v>1</v>
      </c>
      <c r="R1053" s="29">
        <v>95</v>
      </c>
      <c r="S1053" s="29">
        <v>1</v>
      </c>
      <c r="T1053" s="29">
        <v>10</v>
      </c>
      <c r="U1053" s="29">
        <v>0</v>
      </c>
      <c r="V1053" s="29">
        <v>0</v>
      </c>
      <c r="W1053" s="29">
        <v>0</v>
      </c>
      <c r="X1053" s="29">
        <v>0</v>
      </c>
      <c r="Y1053" s="29">
        <v>9.1887157894736866</v>
      </c>
      <c r="Z1053" s="29">
        <v>0</v>
      </c>
      <c r="AA1053" s="29"/>
      <c r="AB1053" s="29"/>
      <c r="AC1053" s="29"/>
      <c r="AD1053" s="29"/>
      <c r="AE1053" s="29" t="s">
        <v>1844</v>
      </c>
      <c r="AF1053" s="29"/>
      <c r="AG1053" s="29"/>
    </row>
    <row r="1054" spans="1:33">
      <c r="A1054" s="29" t="s">
        <v>1608</v>
      </c>
      <c r="B1054" s="29" t="s">
        <v>1580</v>
      </c>
      <c r="C1054" s="29" t="s">
        <v>326</v>
      </c>
      <c r="D1054" s="29" t="s">
        <v>1488</v>
      </c>
      <c r="E1054" s="29"/>
      <c r="F1054" s="29" t="s">
        <v>1488</v>
      </c>
      <c r="G1054" s="29" t="s">
        <v>1491</v>
      </c>
      <c r="H1054" s="29" t="s">
        <v>1492</v>
      </c>
      <c r="I1054" s="116" t="s">
        <v>310</v>
      </c>
      <c r="J1054" s="29" t="s">
        <v>20</v>
      </c>
      <c r="K1054" s="29">
        <v>0.4</v>
      </c>
      <c r="L1054" s="116"/>
      <c r="M1054" s="29" t="s">
        <v>363</v>
      </c>
      <c r="N1054" s="29">
        <v>87.292800000000014</v>
      </c>
      <c r="O1054" s="115">
        <v>87.292800000000014</v>
      </c>
      <c r="P1054" s="29">
        <v>63</v>
      </c>
      <c r="Q1054" s="29">
        <v>1</v>
      </c>
      <c r="R1054" s="29">
        <v>95</v>
      </c>
      <c r="S1054" s="29">
        <v>1</v>
      </c>
      <c r="T1054" s="29">
        <v>10</v>
      </c>
      <c r="U1054" s="29">
        <v>0</v>
      </c>
      <c r="V1054" s="29">
        <v>0</v>
      </c>
      <c r="W1054" s="29">
        <v>0</v>
      </c>
      <c r="X1054" s="29">
        <v>0</v>
      </c>
      <c r="Y1054" s="29">
        <v>9.1887157894736866</v>
      </c>
      <c r="Z1054" s="29">
        <v>0</v>
      </c>
      <c r="AA1054" s="29"/>
      <c r="AB1054" s="29"/>
      <c r="AC1054" s="29" t="s">
        <v>1845</v>
      </c>
      <c r="AD1054" s="29"/>
      <c r="AE1054" s="29" t="s">
        <v>1844</v>
      </c>
      <c r="AF1054" s="29"/>
      <c r="AG1054" s="29"/>
    </row>
    <row r="1055" spans="1:33">
      <c r="A1055" s="29" t="s">
        <v>311</v>
      </c>
      <c r="B1055" s="29" t="s">
        <v>1580</v>
      </c>
      <c r="C1055" s="29" t="s">
        <v>386</v>
      </c>
      <c r="D1055" s="29" t="s">
        <v>1488</v>
      </c>
      <c r="E1055" s="29"/>
      <c r="F1055" s="29" t="s">
        <v>1488</v>
      </c>
      <c r="G1055" s="29" t="s">
        <v>1493</v>
      </c>
      <c r="H1055" s="29" t="s">
        <v>1494</v>
      </c>
      <c r="I1055" s="116" t="s">
        <v>310</v>
      </c>
      <c r="J1055" s="29" t="s">
        <v>20</v>
      </c>
      <c r="K1055" s="29">
        <v>0.4</v>
      </c>
      <c r="L1055" s="116"/>
      <c r="M1055" s="29" t="s">
        <v>363</v>
      </c>
      <c r="N1055" s="29">
        <v>87.292800000000014</v>
      </c>
      <c r="O1055" s="115">
        <v>87.292800000000014</v>
      </c>
      <c r="P1055" s="29">
        <v>63</v>
      </c>
      <c r="Q1055" s="29">
        <v>1</v>
      </c>
      <c r="R1055" s="29">
        <v>95</v>
      </c>
      <c r="S1055" s="29">
        <v>1</v>
      </c>
      <c r="T1055" s="29">
        <v>10</v>
      </c>
      <c r="U1055" s="29">
        <v>0</v>
      </c>
      <c r="V1055" s="29">
        <v>0</v>
      </c>
      <c r="W1055" s="29">
        <v>0</v>
      </c>
      <c r="X1055" s="29">
        <v>0</v>
      </c>
      <c r="Y1055" s="29">
        <v>9.1887157894736866</v>
      </c>
      <c r="Z1055" s="29">
        <v>0</v>
      </c>
      <c r="AA1055" s="29"/>
      <c r="AB1055" s="29"/>
      <c r="AC1055" s="29"/>
      <c r="AD1055" s="29"/>
      <c r="AE1055" s="29" t="s">
        <v>1844</v>
      </c>
      <c r="AF1055" s="29"/>
      <c r="AG1055" s="29"/>
    </row>
    <row r="1056" spans="1:33">
      <c r="A1056" s="29" t="s">
        <v>311</v>
      </c>
      <c r="B1056" s="29" t="s">
        <v>1580</v>
      </c>
      <c r="C1056" s="29" t="s">
        <v>386</v>
      </c>
      <c r="D1056" s="29" t="s">
        <v>1488</v>
      </c>
      <c r="E1056" s="29"/>
      <c r="F1056" s="29" t="s">
        <v>1488</v>
      </c>
      <c r="G1056" s="29" t="s">
        <v>1495</v>
      </c>
      <c r="H1056" s="29" t="s">
        <v>1496</v>
      </c>
      <c r="I1056" s="116" t="s">
        <v>310</v>
      </c>
      <c r="J1056" s="29" t="s">
        <v>20</v>
      </c>
      <c r="K1056" s="29">
        <v>0.4</v>
      </c>
      <c r="L1056" s="116"/>
      <c r="M1056" s="29" t="s">
        <v>363</v>
      </c>
      <c r="N1056" s="29">
        <v>87.292800000000014</v>
      </c>
      <c r="O1056" s="115">
        <v>87.292800000000014</v>
      </c>
      <c r="P1056" s="29">
        <v>63</v>
      </c>
      <c r="Q1056" s="29">
        <v>1</v>
      </c>
      <c r="R1056" s="29">
        <v>95</v>
      </c>
      <c r="S1056" s="29">
        <v>1</v>
      </c>
      <c r="T1056" s="29">
        <v>10</v>
      </c>
      <c r="U1056" s="29">
        <v>0</v>
      </c>
      <c r="V1056" s="29">
        <v>0</v>
      </c>
      <c r="W1056" s="29">
        <v>0</v>
      </c>
      <c r="X1056" s="29">
        <v>0</v>
      </c>
      <c r="Y1056" s="29">
        <v>9.1887157894736866</v>
      </c>
      <c r="Z1056" s="29">
        <v>0</v>
      </c>
      <c r="AA1056" s="29"/>
      <c r="AB1056" s="29"/>
      <c r="AC1056" s="29"/>
      <c r="AD1056" s="29"/>
      <c r="AE1056" s="29" t="s">
        <v>1844</v>
      </c>
      <c r="AF1056" s="29"/>
      <c r="AG1056" s="29"/>
    </row>
    <row r="1057" spans="1:33">
      <c r="A1057" s="29" t="s">
        <v>311</v>
      </c>
      <c r="B1057" s="29" t="s">
        <v>1580</v>
      </c>
      <c r="C1057" s="29" t="s">
        <v>317</v>
      </c>
      <c r="D1057" s="29" t="s">
        <v>1488</v>
      </c>
      <c r="E1057" s="29"/>
      <c r="F1057" s="29" t="s">
        <v>1488</v>
      </c>
      <c r="G1057" s="29" t="s">
        <v>1497</v>
      </c>
      <c r="H1057" s="29" t="s">
        <v>1498</v>
      </c>
      <c r="I1057" s="116" t="s">
        <v>310</v>
      </c>
      <c r="J1057" s="29" t="s">
        <v>20</v>
      </c>
      <c r="K1057" s="29">
        <v>0.4</v>
      </c>
      <c r="L1057" s="116"/>
      <c r="M1057" s="29" t="s">
        <v>363</v>
      </c>
      <c r="N1057" s="29">
        <v>87.292800000000014</v>
      </c>
      <c r="O1057" s="115">
        <v>87.292800000000014</v>
      </c>
      <c r="P1057" s="29">
        <v>63</v>
      </c>
      <c r="Q1057" s="29">
        <v>1</v>
      </c>
      <c r="R1057" s="29">
        <v>95</v>
      </c>
      <c r="S1057" s="29">
        <v>1</v>
      </c>
      <c r="T1057" s="29">
        <v>10</v>
      </c>
      <c r="U1057" s="29">
        <v>0</v>
      </c>
      <c r="V1057" s="29">
        <v>0</v>
      </c>
      <c r="W1057" s="29">
        <v>0</v>
      </c>
      <c r="X1057" s="29">
        <v>0</v>
      </c>
      <c r="Y1057" s="29">
        <v>9.1887157894736866</v>
      </c>
      <c r="Z1057" s="29">
        <v>0</v>
      </c>
      <c r="AA1057" s="29"/>
      <c r="AB1057" s="29"/>
      <c r="AC1057" s="29"/>
      <c r="AD1057" s="29"/>
      <c r="AE1057" s="29" t="s">
        <v>1844</v>
      </c>
      <c r="AF1057" s="29"/>
      <c r="AG1057" s="29"/>
    </row>
    <row r="1058" spans="1:33">
      <c r="A1058" s="29" t="s">
        <v>311</v>
      </c>
      <c r="B1058" s="29" t="s">
        <v>1580</v>
      </c>
      <c r="C1058" s="29" t="s">
        <v>317</v>
      </c>
      <c r="D1058" s="29" t="s">
        <v>1488</v>
      </c>
      <c r="E1058" s="29"/>
      <c r="F1058" s="29" t="s">
        <v>1488</v>
      </c>
      <c r="G1058" s="29" t="s">
        <v>1499</v>
      </c>
      <c r="H1058" s="29" t="s">
        <v>1500</v>
      </c>
      <c r="I1058" s="116" t="s">
        <v>310</v>
      </c>
      <c r="J1058" s="29" t="s">
        <v>20</v>
      </c>
      <c r="K1058" s="29">
        <v>0.4</v>
      </c>
      <c r="L1058" s="116"/>
      <c r="M1058" s="29" t="s">
        <v>363</v>
      </c>
      <c r="N1058" s="29">
        <v>87.292800000000014</v>
      </c>
      <c r="O1058" s="115">
        <v>87.292800000000014</v>
      </c>
      <c r="P1058" s="29">
        <v>63</v>
      </c>
      <c r="Q1058" s="29">
        <v>1</v>
      </c>
      <c r="R1058" s="29">
        <v>95</v>
      </c>
      <c r="S1058" s="29">
        <v>1</v>
      </c>
      <c r="T1058" s="29">
        <v>10</v>
      </c>
      <c r="U1058" s="29">
        <v>0</v>
      </c>
      <c r="V1058" s="29">
        <v>0</v>
      </c>
      <c r="W1058" s="29">
        <v>0</v>
      </c>
      <c r="X1058" s="29">
        <v>0</v>
      </c>
      <c r="Y1058" s="29">
        <v>9.1887157894736866</v>
      </c>
      <c r="Z1058" s="29">
        <v>0</v>
      </c>
      <c r="AA1058" s="29"/>
      <c r="AB1058" s="29"/>
      <c r="AC1058" s="29"/>
      <c r="AD1058" s="29"/>
      <c r="AE1058" s="29" t="s">
        <v>1844</v>
      </c>
      <c r="AF1058" s="29"/>
      <c r="AG1058" s="29"/>
    </row>
    <row r="1059" spans="1:33">
      <c r="A1059" s="29" t="s">
        <v>311</v>
      </c>
      <c r="B1059" s="29" t="s">
        <v>1580</v>
      </c>
      <c r="C1059" s="29" t="s">
        <v>317</v>
      </c>
      <c r="D1059" s="29" t="s">
        <v>1488</v>
      </c>
      <c r="E1059" s="29"/>
      <c r="F1059" s="29" t="s">
        <v>1488</v>
      </c>
      <c r="G1059" s="29" t="s">
        <v>1501</v>
      </c>
      <c r="H1059" s="29" t="s">
        <v>1502</v>
      </c>
      <c r="I1059" s="116" t="s">
        <v>310</v>
      </c>
      <c r="J1059" s="29" t="s">
        <v>20</v>
      </c>
      <c r="K1059" s="29">
        <v>0.4</v>
      </c>
      <c r="L1059" s="116"/>
      <c r="M1059" s="29" t="s">
        <v>363</v>
      </c>
      <c r="N1059" s="29">
        <v>87.292800000000014</v>
      </c>
      <c r="O1059" s="115">
        <v>87.292800000000014</v>
      </c>
      <c r="P1059" s="29">
        <v>63</v>
      </c>
      <c r="Q1059" s="29">
        <v>1</v>
      </c>
      <c r="R1059" s="29">
        <v>95</v>
      </c>
      <c r="S1059" s="29">
        <v>1</v>
      </c>
      <c r="T1059" s="29">
        <v>10</v>
      </c>
      <c r="U1059" s="29">
        <v>0</v>
      </c>
      <c r="V1059" s="29">
        <v>0</v>
      </c>
      <c r="W1059" s="29">
        <v>0</v>
      </c>
      <c r="X1059" s="29">
        <v>0</v>
      </c>
      <c r="Y1059" s="29">
        <v>9.1887157894736866</v>
      </c>
      <c r="Z1059" s="29">
        <v>0</v>
      </c>
      <c r="AA1059" s="29"/>
      <c r="AB1059" s="29"/>
      <c r="AC1059" s="29"/>
      <c r="AD1059" s="29"/>
      <c r="AE1059" s="29" t="s">
        <v>1844</v>
      </c>
      <c r="AF1059" s="29"/>
      <c r="AG1059" s="29"/>
    </row>
    <row r="1060" spans="1:33">
      <c r="A1060" s="29" t="s">
        <v>311</v>
      </c>
      <c r="B1060" s="29" t="s">
        <v>1580</v>
      </c>
      <c r="C1060" s="29" t="s">
        <v>1596</v>
      </c>
      <c r="D1060" s="29" t="s">
        <v>1488</v>
      </c>
      <c r="E1060" s="29"/>
      <c r="F1060" s="29" t="s">
        <v>1488</v>
      </c>
      <c r="G1060" s="29" t="s">
        <v>1503</v>
      </c>
      <c r="H1060" s="29" t="s">
        <v>1504</v>
      </c>
      <c r="I1060" s="116" t="s">
        <v>310</v>
      </c>
      <c r="J1060" s="29" t="s">
        <v>20</v>
      </c>
      <c r="K1060" s="29">
        <v>0.4</v>
      </c>
      <c r="L1060" s="116"/>
      <c r="M1060" s="29" t="s">
        <v>363</v>
      </c>
      <c r="N1060" s="29">
        <v>87.292800000000014</v>
      </c>
      <c r="O1060" s="115">
        <v>87.292800000000014</v>
      </c>
      <c r="P1060" s="29">
        <v>63</v>
      </c>
      <c r="Q1060" s="29">
        <v>1</v>
      </c>
      <c r="R1060" s="29">
        <v>95</v>
      </c>
      <c r="S1060" s="29">
        <v>1</v>
      </c>
      <c r="T1060" s="29">
        <v>10</v>
      </c>
      <c r="U1060" s="29">
        <v>0</v>
      </c>
      <c r="V1060" s="29">
        <v>0</v>
      </c>
      <c r="W1060" s="29">
        <v>0</v>
      </c>
      <c r="X1060" s="29">
        <v>0</v>
      </c>
      <c r="Y1060" s="29">
        <v>9.1887157894736866</v>
      </c>
      <c r="Z1060" s="29">
        <v>0</v>
      </c>
      <c r="AA1060" s="29"/>
      <c r="AB1060" s="29"/>
      <c r="AC1060" s="29"/>
      <c r="AD1060" s="29"/>
      <c r="AE1060" s="29" t="s">
        <v>1844</v>
      </c>
      <c r="AF1060" s="29"/>
      <c r="AG1060" s="29"/>
    </row>
    <row r="1061" spans="1:33">
      <c r="A1061" s="29" t="s">
        <v>311</v>
      </c>
      <c r="B1061" s="29" t="s">
        <v>1580</v>
      </c>
      <c r="C1061" s="29" t="s">
        <v>1596</v>
      </c>
      <c r="D1061" s="29" t="s">
        <v>1488</v>
      </c>
      <c r="E1061" s="29"/>
      <c r="F1061" s="29" t="s">
        <v>1488</v>
      </c>
      <c r="G1061" s="29" t="s">
        <v>1505</v>
      </c>
      <c r="H1061" s="29" t="s">
        <v>1506</v>
      </c>
      <c r="I1061" s="116" t="s">
        <v>310</v>
      </c>
      <c r="J1061" s="29" t="s">
        <v>20</v>
      </c>
      <c r="K1061" s="29">
        <v>0.4</v>
      </c>
      <c r="L1061" s="116"/>
      <c r="M1061" s="29" t="s">
        <v>363</v>
      </c>
      <c r="N1061" s="29">
        <v>87.292800000000014</v>
      </c>
      <c r="O1061" s="115">
        <v>87.292800000000014</v>
      </c>
      <c r="P1061" s="29">
        <v>63</v>
      </c>
      <c r="Q1061" s="29">
        <v>1</v>
      </c>
      <c r="R1061" s="29">
        <v>95</v>
      </c>
      <c r="S1061" s="29">
        <v>1</v>
      </c>
      <c r="T1061" s="29">
        <v>10</v>
      </c>
      <c r="U1061" s="29">
        <v>0</v>
      </c>
      <c r="V1061" s="29">
        <v>0</v>
      </c>
      <c r="W1061" s="29">
        <v>0</v>
      </c>
      <c r="X1061" s="29">
        <v>0</v>
      </c>
      <c r="Y1061" s="29">
        <v>9.1887157894736866</v>
      </c>
      <c r="Z1061" s="29">
        <v>0</v>
      </c>
      <c r="AA1061" s="29"/>
      <c r="AB1061" s="29"/>
      <c r="AC1061" s="29"/>
      <c r="AD1061" s="29"/>
      <c r="AE1061" s="29" t="s">
        <v>1844</v>
      </c>
      <c r="AF1061" s="29"/>
      <c r="AG1061" s="29"/>
    </row>
    <row r="1062" spans="1:33">
      <c r="A1062" s="29" t="s">
        <v>311</v>
      </c>
      <c r="B1062" s="29" t="s">
        <v>1580</v>
      </c>
      <c r="C1062" s="29" t="s">
        <v>1596</v>
      </c>
      <c r="D1062" s="29" t="s">
        <v>1488</v>
      </c>
      <c r="E1062" s="29"/>
      <c r="F1062" s="29" t="s">
        <v>1488</v>
      </c>
      <c r="G1062" s="29" t="s">
        <v>1507</v>
      </c>
      <c r="H1062" s="29" t="s">
        <v>1508</v>
      </c>
      <c r="I1062" s="116" t="s">
        <v>310</v>
      </c>
      <c r="J1062" s="29" t="s">
        <v>20</v>
      </c>
      <c r="K1062" s="29">
        <v>0.4</v>
      </c>
      <c r="L1062" s="116"/>
      <c r="M1062" s="29" t="s">
        <v>363</v>
      </c>
      <c r="N1062" s="29">
        <v>87.292800000000014</v>
      </c>
      <c r="O1062" s="115">
        <v>87.292800000000014</v>
      </c>
      <c r="P1062" s="29">
        <v>63</v>
      </c>
      <c r="Q1062" s="29">
        <v>1</v>
      </c>
      <c r="R1062" s="29">
        <v>95</v>
      </c>
      <c r="S1062" s="29">
        <v>1</v>
      </c>
      <c r="T1062" s="29">
        <v>10</v>
      </c>
      <c r="U1062" s="29">
        <v>0</v>
      </c>
      <c r="V1062" s="29">
        <v>0</v>
      </c>
      <c r="W1062" s="29">
        <v>0</v>
      </c>
      <c r="X1062" s="29">
        <v>0</v>
      </c>
      <c r="Y1062" s="29">
        <v>9.1887157894736866</v>
      </c>
      <c r="Z1062" s="29">
        <v>0</v>
      </c>
      <c r="AA1062" s="29"/>
      <c r="AB1062" s="29"/>
      <c r="AC1062" s="29"/>
      <c r="AD1062" s="29"/>
      <c r="AE1062" s="29" t="s">
        <v>1844</v>
      </c>
      <c r="AF1062" s="29"/>
      <c r="AG1062" s="29"/>
    </row>
    <row r="1063" spans="1:33">
      <c r="A1063" s="29" t="s">
        <v>311</v>
      </c>
      <c r="B1063" s="29" t="s">
        <v>1580</v>
      </c>
      <c r="C1063" s="29" t="s">
        <v>1596</v>
      </c>
      <c r="D1063" s="29" t="s">
        <v>1488</v>
      </c>
      <c r="E1063" s="29"/>
      <c r="F1063" s="29" t="s">
        <v>1488</v>
      </c>
      <c r="G1063" s="29" t="s">
        <v>1509</v>
      </c>
      <c r="H1063" s="29" t="s">
        <v>1510</v>
      </c>
      <c r="I1063" s="116" t="s">
        <v>310</v>
      </c>
      <c r="J1063" s="29" t="s">
        <v>20</v>
      </c>
      <c r="K1063" s="29">
        <v>0.4</v>
      </c>
      <c r="L1063" s="116"/>
      <c r="M1063" s="29" t="s">
        <v>363</v>
      </c>
      <c r="N1063" s="29">
        <v>87.292800000000014</v>
      </c>
      <c r="O1063" s="115">
        <v>87.292800000000014</v>
      </c>
      <c r="P1063" s="29">
        <v>63</v>
      </c>
      <c r="Q1063" s="29">
        <v>1</v>
      </c>
      <c r="R1063" s="29">
        <v>95</v>
      </c>
      <c r="S1063" s="29">
        <v>1</v>
      </c>
      <c r="T1063" s="29">
        <v>10</v>
      </c>
      <c r="U1063" s="29">
        <v>0</v>
      </c>
      <c r="V1063" s="29">
        <v>0</v>
      </c>
      <c r="W1063" s="29">
        <v>0</v>
      </c>
      <c r="X1063" s="29">
        <v>0</v>
      </c>
      <c r="Y1063" s="29">
        <v>9.1887157894736866</v>
      </c>
      <c r="Z1063" s="29">
        <v>0</v>
      </c>
      <c r="AA1063" s="29"/>
      <c r="AB1063" s="29"/>
      <c r="AC1063" s="29"/>
      <c r="AD1063" s="29"/>
      <c r="AE1063" s="29" t="s">
        <v>1844</v>
      </c>
      <c r="AF1063" s="29"/>
      <c r="AG1063" s="29"/>
    </row>
    <row r="1064" spans="1:33">
      <c r="A1064" s="29" t="s">
        <v>311</v>
      </c>
      <c r="B1064" s="29" t="s">
        <v>1580</v>
      </c>
      <c r="C1064" s="29" t="s">
        <v>1581</v>
      </c>
      <c r="D1064" s="29" t="s">
        <v>1511</v>
      </c>
      <c r="E1064" s="29"/>
      <c r="F1064" s="29" t="s">
        <v>1511</v>
      </c>
      <c r="G1064" s="29" t="s">
        <v>1512</v>
      </c>
      <c r="H1064" s="29" t="s">
        <v>1513</v>
      </c>
      <c r="I1064" s="116" t="s">
        <v>310</v>
      </c>
      <c r="J1064" s="29" t="s">
        <v>20</v>
      </c>
      <c r="K1064" s="29">
        <v>0.4</v>
      </c>
      <c r="L1064" s="116"/>
      <c r="M1064" s="29" t="s">
        <v>363</v>
      </c>
      <c r="N1064" s="29">
        <v>87.292800000000014</v>
      </c>
      <c r="O1064" s="115">
        <v>87.292800000000014</v>
      </c>
      <c r="P1064" s="29">
        <v>63</v>
      </c>
      <c r="Q1064" s="29">
        <v>1</v>
      </c>
      <c r="R1064" s="29">
        <v>95</v>
      </c>
      <c r="S1064" s="29">
        <v>1</v>
      </c>
      <c r="T1064" s="29">
        <v>10</v>
      </c>
      <c r="U1064" s="29">
        <v>0</v>
      </c>
      <c r="V1064" s="29">
        <v>0</v>
      </c>
      <c r="W1064" s="29">
        <v>0</v>
      </c>
      <c r="X1064" s="29">
        <v>0</v>
      </c>
      <c r="Y1064" s="29">
        <v>9.1887157894736866</v>
      </c>
      <c r="Z1064" s="29">
        <v>0</v>
      </c>
      <c r="AA1064" s="29"/>
      <c r="AB1064" s="29"/>
      <c r="AC1064" s="29"/>
      <c r="AD1064" s="29"/>
      <c r="AE1064" s="29" t="s">
        <v>1844</v>
      </c>
      <c r="AF1064" s="29"/>
      <c r="AG1064" s="29"/>
    </row>
    <row r="1065" spans="1:33">
      <c r="A1065" s="29" t="s">
        <v>311</v>
      </c>
      <c r="B1065" s="29" t="s">
        <v>1580</v>
      </c>
      <c r="C1065" s="29" t="s">
        <v>1581</v>
      </c>
      <c r="D1065" s="29" t="s">
        <v>1511</v>
      </c>
      <c r="E1065" s="29"/>
      <c r="F1065" s="29" t="s">
        <v>1511</v>
      </c>
      <c r="G1065" s="29" t="s">
        <v>1514</v>
      </c>
      <c r="H1065" s="29" t="s">
        <v>1515</v>
      </c>
      <c r="I1065" s="116" t="s">
        <v>310</v>
      </c>
      <c r="J1065" s="29" t="s">
        <v>20</v>
      </c>
      <c r="K1065" s="29">
        <v>0.4</v>
      </c>
      <c r="L1065" s="116"/>
      <c r="M1065" s="29" t="s">
        <v>363</v>
      </c>
      <c r="N1065" s="29">
        <v>87.292800000000014</v>
      </c>
      <c r="O1065" s="115">
        <v>87.292800000000014</v>
      </c>
      <c r="P1065" s="29">
        <v>63</v>
      </c>
      <c r="Q1065" s="29">
        <v>1</v>
      </c>
      <c r="R1065" s="29">
        <v>95</v>
      </c>
      <c r="S1065" s="29">
        <v>1</v>
      </c>
      <c r="T1065" s="29">
        <v>10</v>
      </c>
      <c r="U1065" s="29">
        <v>0</v>
      </c>
      <c r="V1065" s="29">
        <v>0</v>
      </c>
      <c r="W1065" s="29">
        <v>0</v>
      </c>
      <c r="X1065" s="29">
        <v>0</v>
      </c>
      <c r="Y1065" s="29">
        <v>9.1887157894736866</v>
      </c>
      <c r="Z1065" s="29">
        <v>0</v>
      </c>
      <c r="AA1065" s="29"/>
      <c r="AB1065" s="29"/>
      <c r="AC1065" s="29"/>
      <c r="AD1065" s="29"/>
      <c r="AE1065" s="29" t="s">
        <v>1844</v>
      </c>
      <c r="AF1065" s="29"/>
      <c r="AG1065" s="29"/>
    </row>
    <row r="1066" spans="1:33">
      <c r="A1066" s="29" t="s">
        <v>311</v>
      </c>
      <c r="B1066" s="29" t="s">
        <v>1580</v>
      </c>
      <c r="C1066" s="29" t="s">
        <v>1633</v>
      </c>
      <c r="D1066" s="29" t="s">
        <v>1511</v>
      </c>
      <c r="E1066" s="29"/>
      <c r="F1066" s="29" t="s">
        <v>1511</v>
      </c>
      <c r="G1066" s="29" t="s">
        <v>1516</v>
      </c>
      <c r="H1066" s="29" t="s">
        <v>1517</v>
      </c>
      <c r="I1066" s="116" t="s">
        <v>310</v>
      </c>
      <c r="J1066" s="29" t="s">
        <v>20</v>
      </c>
      <c r="K1066" s="29">
        <v>0.4</v>
      </c>
      <c r="L1066" s="116"/>
      <c r="M1066" s="29" t="s">
        <v>363</v>
      </c>
      <c r="N1066" s="29">
        <v>87.292800000000014</v>
      </c>
      <c r="O1066" s="115">
        <v>87.292800000000014</v>
      </c>
      <c r="P1066" s="29">
        <v>63</v>
      </c>
      <c r="Q1066" s="29">
        <v>1</v>
      </c>
      <c r="R1066" s="29">
        <v>95</v>
      </c>
      <c r="S1066" s="29">
        <v>1</v>
      </c>
      <c r="T1066" s="29">
        <v>10</v>
      </c>
      <c r="U1066" s="29">
        <v>0</v>
      </c>
      <c r="V1066" s="29">
        <v>0</v>
      </c>
      <c r="W1066" s="29">
        <v>0</v>
      </c>
      <c r="X1066" s="29">
        <v>0</v>
      </c>
      <c r="Y1066" s="29">
        <v>9.1887157894736866</v>
      </c>
      <c r="Z1066" s="29">
        <v>0</v>
      </c>
      <c r="AA1066" s="29"/>
      <c r="AB1066" s="29"/>
      <c r="AC1066" s="29"/>
      <c r="AD1066" s="29"/>
      <c r="AE1066" s="29" t="s">
        <v>1844</v>
      </c>
      <c r="AF1066" s="29"/>
      <c r="AG1066" s="29"/>
    </row>
    <row r="1067" spans="1:33">
      <c r="A1067" s="29" t="s">
        <v>311</v>
      </c>
      <c r="B1067" s="29" t="s">
        <v>1580</v>
      </c>
      <c r="C1067" s="29" t="s">
        <v>1633</v>
      </c>
      <c r="D1067" s="29" t="s">
        <v>1511</v>
      </c>
      <c r="E1067" s="29"/>
      <c r="F1067" s="29" t="s">
        <v>1511</v>
      </c>
      <c r="G1067" s="29" t="s">
        <v>1518</v>
      </c>
      <c r="H1067" s="29" t="s">
        <v>1519</v>
      </c>
      <c r="I1067" s="116" t="s">
        <v>310</v>
      </c>
      <c r="J1067" s="29" t="s">
        <v>20</v>
      </c>
      <c r="K1067" s="29">
        <v>0.4</v>
      </c>
      <c r="L1067" s="116"/>
      <c r="M1067" s="29" t="s">
        <v>363</v>
      </c>
      <c r="N1067" s="29">
        <v>87.292800000000014</v>
      </c>
      <c r="O1067" s="115">
        <v>87.292800000000014</v>
      </c>
      <c r="P1067" s="29">
        <v>63</v>
      </c>
      <c r="Q1067" s="29">
        <v>1</v>
      </c>
      <c r="R1067" s="29">
        <v>95</v>
      </c>
      <c r="S1067" s="29">
        <v>1</v>
      </c>
      <c r="T1067" s="29">
        <v>10</v>
      </c>
      <c r="U1067" s="29">
        <v>0</v>
      </c>
      <c r="V1067" s="29">
        <v>0</v>
      </c>
      <c r="W1067" s="29">
        <v>0</v>
      </c>
      <c r="X1067" s="29">
        <v>0</v>
      </c>
      <c r="Y1067" s="29">
        <v>9.1887157894736866</v>
      </c>
      <c r="Z1067" s="29">
        <v>0</v>
      </c>
      <c r="AA1067" s="29"/>
      <c r="AB1067" s="29"/>
      <c r="AC1067" s="29"/>
      <c r="AD1067" s="29"/>
      <c r="AE1067" s="29" t="s">
        <v>1844</v>
      </c>
      <c r="AF1067" s="29"/>
      <c r="AG1067" s="29"/>
    </row>
    <row r="1068" spans="1:33">
      <c r="A1068" s="29" t="s">
        <v>1608</v>
      </c>
      <c r="B1068" s="29" t="s">
        <v>1580</v>
      </c>
      <c r="C1068" s="29" t="s">
        <v>1633</v>
      </c>
      <c r="D1068" s="29" t="s">
        <v>1511</v>
      </c>
      <c r="E1068" s="29"/>
      <c r="F1068" s="29" t="s">
        <v>1511</v>
      </c>
      <c r="G1068" s="29" t="s">
        <v>1520</v>
      </c>
      <c r="H1068" s="29" t="s">
        <v>1521</v>
      </c>
      <c r="I1068" s="116" t="s">
        <v>310</v>
      </c>
      <c r="J1068" s="29" t="s">
        <v>20</v>
      </c>
      <c r="K1068" s="29">
        <v>0.4</v>
      </c>
      <c r="L1068" s="116"/>
      <c r="M1068" s="29" t="s">
        <v>363</v>
      </c>
      <c r="N1068" s="29">
        <v>43.646400000000007</v>
      </c>
      <c r="O1068" s="115">
        <v>43.646400000000007</v>
      </c>
      <c r="P1068" s="29">
        <v>63</v>
      </c>
      <c r="Q1068" s="29">
        <v>1</v>
      </c>
      <c r="R1068" s="29">
        <v>95</v>
      </c>
      <c r="S1068" s="29">
        <v>1</v>
      </c>
      <c r="T1068" s="29">
        <v>10</v>
      </c>
      <c r="U1068" s="29">
        <v>0</v>
      </c>
      <c r="V1068" s="29">
        <v>0</v>
      </c>
      <c r="W1068" s="29">
        <v>0</v>
      </c>
      <c r="X1068" s="29">
        <v>0</v>
      </c>
      <c r="Y1068" s="29">
        <v>4.5943578947368433</v>
      </c>
      <c r="Z1068" s="29">
        <v>0</v>
      </c>
      <c r="AA1068" s="29"/>
      <c r="AB1068" s="29"/>
      <c r="AC1068" s="29"/>
      <c r="AD1068" s="29"/>
      <c r="AE1068" s="29" t="s">
        <v>1844</v>
      </c>
      <c r="AF1068" s="29"/>
      <c r="AG1068" s="29"/>
    </row>
    <row r="1069" spans="1:33">
      <c r="A1069" s="29" t="s">
        <v>1608</v>
      </c>
      <c r="B1069" s="29" t="s">
        <v>1580</v>
      </c>
      <c r="C1069" s="29" t="s">
        <v>1629</v>
      </c>
      <c r="D1069" s="29" t="s">
        <v>1511</v>
      </c>
      <c r="E1069" s="29"/>
      <c r="F1069" s="29" t="s">
        <v>1511</v>
      </c>
      <c r="G1069" s="29" t="s">
        <v>1522</v>
      </c>
      <c r="H1069" s="29" t="s">
        <v>1523</v>
      </c>
      <c r="I1069" s="116" t="s">
        <v>310</v>
      </c>
      <c r="J1069" s="29" t="s">
        <v>20</v>
      </c>
      <c r="K1069" s="29">
        <v>0.4</v>
      </c>
      <c r="L1069" s="116"/>
      <c r="M1069" s="29" t="s">
        <v>363</v>
      </c>
      <c r="N1069" s="29">
        <v>87.292800000000014</v>
      </c>
      <c r="O1069" s="115">
        <v>87.292800000000014</v>
      </c>
      <c r="P1069" s="29">
        <v>63</v>
      </c>
      <c r="Q1069" s="29">
        <v>1</v>
      </c>
      <c r="R1069" s="29">
        <v>95</v>
      </c>
      <c r="S1069" s="29">
        <v>1</v>
      </c>
      <c r="T1069" s="29">
        <v>10</v>
      </c>
      <c r="U1069" s="29">
        <v>0</v>
      </c>
      <c r="V1069" s="29">
        <v>0</v>
      </c>
      <c r="W1069" s="29">
        <v>0</v>
      </c>
      <c r="X1069" s="29">
        <v>0</v>
      </c>
      <c r="Y1069" s="29">
        <v>9.1887157894736866</v>
      </c>
      <c r="Z1069" s="29">
        <v>0</v>
      </c>
      <c r="AA1069" s="29"/>
      <c r="AB1069" s="29"/>
      <c r="AC1069" s="29" t="s">
        <v>1846</v>
      </c>
      <c r="AD1069" s="29"/>
      <c r="AE1069" s="29" t="s">
        <v>1844</v>
      </c>
      <c r="AF1069" s="29"/>
      <c r="AG1069" s="29"/>
    </row>
    <row r="1070" spans="1:33">
      <c r="A1070" s="29" t="s">
        <v>311</v>
      </c>
      <c r="B1070" s="29" t="s">
        <v>1580</v>
      </c>
      <c r="C1070" s="29" t="s">
        <v>1847</v>
      </c>
      <c r="D1070" s="29" t="s">
        <v>1511</v>
      </c>
      <c r="E1070" s="29"/>
      <c r="F1070" s="29" t="s">
        <v>1511</v>
      </c>
      <c r="G1070" s="29" t="s">
        <v>1524</v>
      </c>
      <c r="H1070" s="29" t="s">
        <v>1525</v>
      </c>
      <c r="I1070" s="116" t="s">
        <v>310</v>
      </c>
      <c r="J1070" s="29" t="s">
        <v>20</v>
      </c>
      <c r="K1070" s="29">
        <v>0.4</v>
      </c>
      <c r="L1070" s="116"/>
      <c r="M1070" s="29" t="s">
        <v>363</v>
      </c>
      <c r="N1070" s="29">
        <v>87.292800000000014</v>
      </c>
      <c r="O1070" s="115">
        <v>87.292800000000014</v>
      </c>
      <c r="P1070" s="29">
        <v>63</v>
      </c>
      <c r="Q1070" s="29">
        <v>1</v>
      </c>
      <c r="R1070" s="29">
        <v>95</v>
      </c>
      <c r="S1070" s="29">
        <v>1</v>
      </c>
      <c r="T1070" s="29">
        <v>10</v>
      </c>
      <c r="U1070" s="29">
        <v>0</v>
      </c>
      <c r="V1070" s="29">
        <v>0</v>
      </c>
      <c r="W1070" s="29">
        <v>0</v>
      </c>
      <c r="X1070" s="29">
        <v>0</v>
      </c>
      <c r="Y1070" s="29">
        <v>9.1887157894736866</v>
      </c>
      <c r="Z1070" s="29">
        <v>0</v>
      </c>
      <c r="AA1070" s="29"/>
      <c r="AB1070" s="29"/>
      <c r="AC1070" s="29"/>
      <c r="AD1070" s="29"/>
      <c r="AE1070" s="29" t="s">
        <v>1844</v>
      </c>
      <c r="AF1070" s="29"/>
      <c r="AG1070" s="29"/>
    </row>
    <row r="1071" spans="1:33">
      <c r="A1071" s="29" t="s">
        <v>1636</v>
      </c>
      <c r="B1071" s="29" t="s">
        <v>1580</v>
      </c>
      <c r="C1071" s="29" t="s">
        <v>317</v>
      </c>
      <c r="D1071" s="29" t="s">
        <v>1526</v>
      </c>
      <c r="E1071" s="29"/>
      <c r="F1071" s="29" t="s">
        <v>1526</v>
      </c>
      <c r="G1071" s="29" t="s">
        <v>826</v>
      </c>
      <c r="H1071" s="29" t="s">
        <v>827</v>
      </c>
      <c r="I1071" s="116" t="s">
        <v>310</v>
      </c>
      <c r="J1071" s="29" t="s">
        <v>43</v>
      </c>
      <c r="K1071" s="29">
        <v>0.4</v>
      </c>
      <c r="L1071" s="116"/>
      <c r="M1071" s="29" t="s">
        <v>311</v>
      </c>
      <c r="N1071" s="29">
        <v>21</v>
      </c>
      <c r="O1071" s="115">
        <v>30</v>
      </c>
      <c r="P1071" s="29">
        <v>53.623864011420338</v>
      </c>
      <c r="Q1071" s="29">
        <v>0.7</v>
      </c>
      <c r="R1071" s="29">
        <v>95</v>
      </c>
      <c r="S1071" s="29">
        <v>0.85</v>
      </c>
      <c r="T1071" s="29">
        <v>100</v>
      </c>
      <c r="U1071" s="29">
        <v>22.105263157894736</v>
      </c>
      <c r="V1071" s="29">
        <v>13.699611691015944</v>
      </c>
      <c r="W1071" s="29">
        <v>0</v>
      </c>
      <c r="X1071" s="29">
        <v>0</v>
      </c>
      <c r="Y1071" s="29">
        <v>0</v>
      </c>
      <c r="Z1071" s="29">
        <v>0</v>
      </c>
      <c r="AA1071" s="29"/>
      <c r="AB1071" s="29"/>
      <c r="AC1071" s="29"/>
      <c r="AD1071" s="29"/>
      <c r="AE1071" s="29" t="s">
        <v>1583</v>
      </c>
      <c r="AF1071" s="29"/>
      <c r="AG1071" s="29"/>
    </row>
    <row r="1072" spans="1:33">
      <c r="A1072" s="29" t="s">
        <v>1636</v>
      </c>
      <c r="B1072" s="29" t="s">
        <v>1580</v>
      </c>
      <c r="C1072" s="29" t="s">
        <v>317</v>
      </c>
      <c r="D1072" s="29" t="s">
        <v>1526</v>
      </c>
      <c r="E1072" s="29"/>
      <c r="F1072" s="29" t="s">
        <v>1526</v>
      </c>
      <c r="G1072" s="29" t="s">
        <v>931</v>
      </c>
      <c r="H1072" s="29" t="s">
        <v>932</v>
      </c>
      <c r="I1072" s="116" t="s">
        <v>310</v>
      </c>
      <c r="J1072" s="29" t="s">
        <v>43</v>
      </c>
      <c r="K1072" s="29">
        <v>0.4</v>
      </c>
      <c r="L1072" s="116"/>
      <c r="M1072" s="29" t="s">
        <v>311</v>
      </c>
      <c r="N1072" s="29">
        <v>26</v>
      </c>
      <c r="O1072" s="115">
        <v>30</v>
      </c>
      <c r="P1072" s="29">
        <v>53.623864011420338</v>
      </c>
      <c r="Q1072" s="29">
        <v>0.8666666666666667</v>
      </c>
      <c r="R1072" s="29">
        <v>95</v>
      </c>
      <c r="S1072" s="29">
        <v>0.85</v>
      </c>
      <c r="T1072" s="29">
        <v>100</v>
      </c>
      <c r="U1072" s="29">
        <v>27.368421052631582</v>
      </c>
      <c r="V1072" s="29">
        <v>16.961423998400697</v>
      </c>
      <c r="W1072" s="29">
        <v>0</v>
      </c>
      <c r="X1072" s="29">
        <v>0</v>
      </c>
      <c r="Y1072" s="29">
        <v>0</v>
      </c>
      <c r="Z1072" s="29">
        <v>0</v>
      </c>
      <c r="AA1072" s="29"/>
      <c r="AB1072" s="29"/>
      <c r="AC1072" s="29"/>
      <c r="AD1072" s="29"/>
      <c r="AE1072" s="29" t="s">
        <v>1583</v>
      </c>
      <c r="AF1072" s="29"/>
      <c r="AG1072" s="29"/>
    </row>
    <row r="1073" spans="1:33">
      <c r="A1073" s="29" t="s">
        <v>1636</v>
      </c>
      <c r="B1073" s="29" t="s">
        <v>1580</v>
      </c>
      <c r="C1073" s="29" t="s">
        <v>317</v>
      </c>
      <c r="D1073" s="29" t="s">
        <v>1526</v>
      </c>
      <c r="E1073" s="29"/>
      <c r="F1073" s="29" t="s">
        <v>1526</v>
      </c>
      <c r="G1073" s="29" t="s">
        <v>1527</v>
      </c>
      <c r="H1073" s="29" t="s">
        <v>1528</v>
      </c>
      <c r="I1073" s="116" t="s">
        <v>310</v>
      </c>
      <c r="J1073" s="29" t="s">
        <v>43</v>
      </c>
      <c r="K1073" s="29">
        <v>0.4</v>
      </c>
      <c r="L1073" s="116"/>
      <c r="M1073" s="29" t="s">
        <v>311</v>
      </c>
      <c r="N1073" s="29">
        <v>32</v>
      </c>
      <c r="O1073" s="115">
        <v>40</v>
      </c>
      <c r="P1073" s="29">
        <v>71.49848534856045</v>
      </c>
      <c r="Q1073" s="29">
        <v>0.8</v>
      </c>
      <c r="R1073" s="29">
        <v>95</v>
      </c>
      <c r="S1073" s="29">
        <v>0.85</v>
      </c>
      <c r="T1073" s="29">
        <v>100</v>
      </c>
      <c r="U1073" s="29">
        <v>33.684210526315788</v>
      </c>
      <c r="V1073" s="29">
        <v>20.875598767262392</v>
      </c>
      <c r="W1073" s="29">
        <v>0</v>
      </c>
      <c r="X1073" s="29">
        <v>0</v>
      </c>
      <c r="Y1073" s="29">
        <v>0</v>
      </c>
      <c r="Z1073" s="29">
        <v>0</v>
      </c>
      <c r="AA1073" s="29"/>
      <c r="AB1073" s="29"/>
      <c r="AC1073" s="29"/>
      <c r="AD1073" s="29"/>
      <c r="AE1073" s="29" t="s">
        <v>1631</v>
      </c>
      <c r="AF1073" s="29"/>
      <c r="AG1073" s="29"/>
    </row>
    <row r="1074" spans="1:33">
      <c r="A1074" s="29" t="s">
        <v>1636</v>
      </c>
      <c r="B1074" s="29" t="s">
        <v>1580</v>
      </c>
      <c r="C1074" s="29" t="s">
        <v>317</v>
      </c>
      <c r="D1074" s="29" t="s">
        <v>1526</v>
      </c>
      <c r="E1074" s="29"/>
      <c r="F1074" s="29" t="s">
        <v>1526</v>
      </c>
      <c r="G1074" s="29" t="s">
        <v>933</v>
      </c>
      <c r="H1074" s="29" t="s">
        <v>934</v>
      </c>
      <c r="I1074" s="116" t="s">
        <v>310</v>
      </c>
      <c r="J1074" s="29" t="s">
        <v>1010</v>
      </c>
      <c r="K1074" s="29">
        <v>0.4</v>
      </c>
      <c r="L1074" s="116"/>
      <c r="M1074" s="29" t="s">
        <v>311</v>
      </c>
      <c r="N1074" s="29">
        <v>40</v>
      </c>
      <c r="O1074" s="115">
        <v>85</v>
      </c>
      <c r="P1074" s="29">
        <v>129.14413916083734</v>
      </c>
      <c r="Q1074" s="29">
        <v>0.47058823529411764</v>
      </c>
      <c r="R1074" s="29">
        <v>95</v>
      </c>
      <c r="S1074" s="29">
        <v>1</v>
      </c>
      <c r="T1074" s="29">
        <v>100</v>
      </c>
      <c r="U1074" s="29">
        <v>42.105263157894733</v>
      </c>
      <c r="V1074" s="29">
        <v>0</v>
      </c>
      <c r="W1074" s="29">
        <v>0</v>
      </c>
      <c r="X1074" s="29">
        <v>0</v>
      </c>
      <c r="Y1074" s="29">
        <v>0</v>
      </c>
      <c r="Z1074" s="29">
        <v>0</v>
      </c>
      <c r="AA1074" s="29"/>
      <c r="AB1074" s="29"/>
      <c r="AC1074" s="29"/>
      <c r="AD1074" s="29"/>
      <c r="AE1074" s="29" t="s">
        <v>1848</v>
      </c>
      <c r="AF1074" s="29"/>
      <c r="AG1074" s="29"/>
    </row>
    <row r="1075" spans="1:33">
      <c r="A1075" s="29" t="s">
        <v>1636</v>
      </c>
      <c r="B1075" s="29" t="s">
        <v>1580</v>
      </c>
      <c r="C1075" s="29" t="s">
        <v>386</v>
      </c>
      <c r="D1075" s="29" t="s">
        <v>1526</v>
      </c>
      <c r="E1075" s="29"/>
      <c r="F1075" s="29" t="s">
        <v>1526</v>
      </c>
      <c r="G1075" s="29" t="s">
        <v>936</v>
      </c>
      <c r="H1075" s="29" t="s">
        <v>937</v>
      </c>
      <c r="I1075" s="116" t="s">
        <v>310</v>
      </c>
      <c r="J1075" s="29" t="s">
        <v>1010</v>
      </c>
      <c r="K1075" s="29">
        <v>0.4</v>
      </c>
      <c r="L1075" s="116"/>
      <c r="M1075" s="29" t="s">
        <v>311</v>
      </c>
      <c r="N1075" s="29">
        <v>40</v>
      </c>
      <c r="O1075" s="115">
        <v>85</v>
      </c>
      <c r="P1075" s="29">
        <v>129.14413916083734</v>
      </c>
      <c r="Q1075" s="29">
        <v>0.47058823529411764</v>
      </c>
      <c r="R1075" s="29">
        <v>95</v>
      </c>
      <c r="S1075" s="29">
        <v>1</v>
      </c>
      <c r="T1075" s="29">
        <v>100</v>
      </c>
      <c r="U1075" s="29">
        <v>42.105263157894733</v>
      </c>
      <c r="V1075" s="29">
        <v>0</v>
      </c>
      <c r="W1075" s="29">
        <v>0</v>
      </c>
      <c r="X1075" s="29">
        <v>0</v>
      </c>
      <c r="Y1075" s="29">
        <v>0</v>
      </c>
      <c r="Z1075" s="29">
        <v>0</v>
      </c>
      <c r="AA1075" s="29"/>
      <c r="AB1075" s="29"/>
      <c r="AC1075" s="29"/>
      <c r="AD1075" s="29"/>
      <c r="AE1075" s="29" t="s">
        <v>1848</v>
      </c>
      <c r="AF1075" s="29"/>
      <c r="AG1075" s="29"/>
    </row>
    <row r="1076" spans="1:33">
      <c r="A1076" s="29" t="s">
        <v>1636</v>
      </c>
      <c r="B1076" s="29" t="s">
        <v>1580</v>
      </c>
      <c r="C1076" s="29" t="s">
        <v>1581</v>
      </c>
      <c r="D1076" s="29" t="s">
        <v>1526</v>
      </c>
      <c r="E1076" s="29"/>
      <c r="F1076" s="29" t="s">
        <v>1526</v>
      </c>
      <c r="G1076" s="29" t="s">
        <v>1488</v>
      </c>
      <c r="H1076" s="29" t="s">
        <v>1529</v>
      </c>
      <c r="I1076" s="116" t="s">
        <v>310</v>
      </c>
      <c r="J1076" s="29" t="s">
        <v>20</v>
      </c>
      <c r="K1076" s="29">
        <v>0.4</v>
      </c>
      <c r="L1076" s="116"/>
      <c r="M1076" s="29" t="s">
        <v>311</v>
      </c>
      <c r="N1076" s="29"/>
      <c r="O1076" s="115"/>
      <c r="P1076" s="29"/>
      <c r="Q1076" s="29"/>
      <c r="R1076" s="29"/>
      <c r="S1076" s="29"/>
      <c r="T1076" s="29">
        <v>100</v>
      </c>
      <c r="U1076" s="29">
        <v>0</v>
      </c>
      <c r="V1076" s="29">
        <v>0</v>
      </c>
      <c r="W1076" s="29">
        <v>0</v>
      </c>
      <c r="X1076" s="29">
        <v>0</v>
      </c>
      <c r="Y1076" s="29">
        <v>59.726652631578972</v>
      </c>
      <c r="Z1076" s="29">
        <v>0</v>
      </c>
      <c r="AA1076" s="29"/>
      <c r="AB1076" s="29"/>
      <c r="AC1076" s="29"/>
      <c r="AD1076" s="29"/>
      <c r="AE1076" s="29" t="s">
        <v>1762</v>
      </c>
      <c r="AF1076" s="29"/>
      <c r="AG1076" s="29"/>
    </row>
    <row r="1077" spans="1:33">
      <c r="A1077" s="29" t="s">
        <v>1628</v>
      </c>
      <c r="B1077" s="29" t="s">
        <v>1580</v>
      </c>
      <c r="C1077" s="29" t="s">
        <v>317</v>
      </c>
      <c r="D1077" s="29" t="s">
        <v>1530</v>
      </c>
      <c r="E1077" s="29"/>
      <c r="F1077" s="29" t="s">
        <v>1530</v>
      </c>
      <c r="G1077" s="29" t="s">
        <v>661</v>
      </c>
      <c r="H1077" s="29" t="s">
        <v>1531</v>
      </c>
      <c r="I1077" s="116" t="s">
        <v>333</v>
      </c>
      <c r="J1077" s="29" t="s">
        <v>43</v>
      </c>
      <c r="K1077" s="29">
        <v>0.4</v>
      </c>
      <c r="L1077" s="116"/>
      <c r="M1077" s="29" t="s">
        <v>311</v>
      </c>
      <c r="N1077" s="29">
        <v>14.3</v>
      </c>
      <c r="O1077" s="115">
        <v>15</v>
      </c>
      <c r="P1077" s="29">
        <v>25.471335405424664</v>
      </c>
      <c r="Q1077" s="29">
        <v>0.95333333333333337</v>
      </c>
      <c r="R1077" s="29">
        <v>100</v>
      </c>
      <c r="S1077" s="29">
        <v>0.85</v>
      </c>
      <c r="T1077" s="29">
        <v>100</v>
      </c>
      <c r="U1077" s="29">
        <v>14.3</v>
      </c>
      <c r="V1077" s="29">
        <v>8.8623440391643626</v>
      </c>
      <c r="W1077" s="29">
        <v>0</v>
      </c>
      <c r="X1077" s="29">
        <v>0</v>
      </c>
      <c r="Y1077" s="29">
        <v>0</v>
      </c>
      <c r="Z1077" s="29">
        <v>0</v>
      </c>
      <c r="AA1077" s="29"/>
      <c r="AB1077" s="29"/>
      <c r="AC1077" s="29"/>
      <c r="AD1077" s="29" t="s">
        <v>1626</v>
      </c>
      <c r="AE1077" s="29" t="s">
        <v>1583</v>
      </c>
      <c r="AF1077" s="29"/>
      <c r="AG1077" s="29"/>
    </row>
    <row r="1078" spans="1:33">
      <c r="A1078" s="29" t="s">
        <v>1628</v>
      </c>
      <c r="B1078" s="29" t="s">
        <v>1580</v>
      </c>
      <c r="C1078" s="29" t="s">
        <v>317</v>
      </c>
      <c r="D1078" s="29" t="s">
        <v>1530</v>
      </c>
      <c r="E1078" s="29"/>
      <c r="F1078" s="29" t="s">
        <v>1530</v>
      </c>
      <c r="G1078" s="29" t="s">
        <v>686</v>
      </c>
      <c r="H1078" s="29" t="s">
        <v>1532</v>
      </c>
      <c r="I1078" s="116" t="s">
        <v>333</v>
      </c>
      <c r="J1078" s="29" t="s">
        <v>43</v>
      </c>
      <c r="K1078" s="29">
        <v>0.4</v>
      </c>
      <c r="L1078" s="116"/>
      <c r="M1078" s="29" t="s">
        <v>311</v>
      </c>
      <c r="N1078" s="29">
        <v>23.7</v>
      </c>
      <c r="O1078" s="115">
        <v>32</v>
      </c>
      <c r="P1078" s="29">
        <v>54.338848864905948</v>
      </c>
      <c r="Q1078" s="29">
        <v>0.74062499999999998</v>
      </c>
      <c r="R1078" s="29">
        <v>100</v>
      </c>
      <c r="S1078" s="29">
        <v>0.85</v>
      </c>
      <c r="T1078" s="29">
        <v>100</v>
      </c>
      <c r="U1078" s="29">
        <v>23.7</v>
      </c>
      <c r="V1078" s="29">
        <v>14.687940820153523</v>
      </c>
      <c r="W1078" s="29">
        <v>0</v>
      </c>
      <c r="X1078" s="29">
        <v>0</v>
      </c>
      <c r="Y1078" s="29">
        <v>0</v>
      </c>
      <c r="Z1078" s="29">
        <v>0</v>
      </c>
      <c r="AA1078" s="29"/>
      <c r="AB1078" s="29"/>
      <c r="AC1078" s="29"/>
      <c r="AD1078" s="29" t="s">
        <v>1626</v>
      </c>
      <c r="AE1078" s="29" t="s">
        <v>1583</v>
      </c>
      <c r="AF1078" s="29"/>
      <c r="AG1078" s="29"/>
    </row>
    <row r="1079" spans="1:33">
      <c r="A1079" s="29" t="s">
        <v>1636</v>
      </c>
      <c r="B1079" s="29" t="s">
        <v>1580</v>
      </c>
      <c r="C1079" s="29" t="s">
        <v>317</v>
      </c>
      <c r="D1079" s="29" t="s">
        <v>1530</v>
      </c>
      <c r="E1079" s="29"/>
      <c r="F1079" s="29" t="s">
        <v>1530</v>
      </c>
      <c r="G1079" s="29" t="s">
        <v>1533</v>
      </c>
      <c r="H1079" s="29" t="s">
        <v>1534</v>
      </c>
      <c r="I1079" s="116" t="s">
        <v>333</v>
      </c>
      <c r="J1079" s="29" t="s">
        <v>43</v>
      </c>
      <c r="K1079" s="29">
        <v>0.4</v>
      </c>
      <c r="L1079" s="116"/>
      <c r="M1079" s="29" t="s">
        <v>311</v>
      </c>
      <c r="N1079" s="29">
        <v>32</v>
      </c>
      <c r="O1079" s="115">
        <v>40</v>
      </c>
      <c r="P1079" s="29">
        <v>67.923561081132434</v>
      </c>
      <c r="Q1079" s="29">
        <v>0.8</v>
      </c>
      <c r="R1079" s="29">
        <v>100</v>
      </c>
      <c r="S1079" s="29">
        <v>0.85</v>
      </c>
      <c r="T1079" s="29">
        <v>100</v>
      </c>
      <c r="U1079" s="29">
        <v>32</v>
      </c>
      <c r="V1079" s="29">
        <v>19.831818828899273</v>
      </c>
      <c r="W1079" s="29">
        <v>0</v>
      </c>
      <c r="X1079" s="29">
        <v>0</v>
      </c>
      <c r="Y1079" s="29">
        <v>0</v>
      </c>
      <c r="Z1079" s="29">
        <v>0</v>
      </c>
      <c r="AA1079" s="29"/>
      <c r="AB1079" s="29"/>
      <c r="AC1079" s="29"/>
      <c r="AD1079" s="29"/>
      <c r="AE1079" s="29" t="s">
        <v>1631</v>
      </c>
      <c r="AF1079" s="29"/>
      <c r="AG1079" s="29"/>
    </row>
    <row r="1080" spans="1:33">
      <c r="A1080" s="29" t="s">
        <v>1636</v>
      </c>
      <c r="B1080" s="29" t="s">
        <v>1580</v>
      </c>
      <c r="C1080" s="29" t="s">
        <v>317</v>
      </c>
      <c r="D1080" s="29" t="s">
        <v>1530</v>
      </c>
      <c r="E1080" s="29"/>
      <c r="F1080" s="29" t="s">
        <v>1530</v>
      </c>
      <c r="G1080" s="29" t="s">
        <v>694</v>
      </c>
      <c r="H1080" s="29" t="s">
        <v>1535</v>
      </c>
      <c r="I1080" s="116" t="s">
        <v>333</v>
      </c>
      <c r="J1080" s="29" t="s">
        <v>1010</v>
      </c>
      <c r="K1080" s="29">
        <v>0.4</v>
      </c>
      <c r="L1080" s="116"/>
      <c r="M1080" s="29" t="s">
        <v>311</v>
      </c>
      <c r="N1080" s="29">
        <v>60</v>
      </c>
      <c r="O1080" s="115">
        <v>85</v>
      </c>
      <c r="P1080" s="29">
        <v>122.68693220279546</v>
      </c>
      <c r="Q1080" s="29">
        <v>0.70588235294117652</v>
      </c>
      <c r="R1080" s="29">
        <v>100</v>
      </c>
      <c r="S1080" s="29">
        <v>1</v>
      </c>
      <c r="T1080" s="29">
        <v>100</v>
      </c>
      <c r="U1080" s="29">
        <v>60</v>
      </c>
      <c r="V1080" s="29">
        <v>0</v>
      </c>
      <c r="W1080" s="29">
        <v>0</v>
      </c>
      <c r="X1080" s="29">
        <v>0</v>
      </c>
      <c r="Y1080" s="29">
        <v>0</v>
      </c>
      <c r="Z1080" s="29">
        <v>0</v>
      </c>
      <c r="AA1080" s="29"/>
      <c r="AB1080" s="29"/>
      <c r="AC1080" s="29"/>
      <c r="AD1080" s="29"/>
      <c r="AE1080" s="29" t="s">
        <v>1612</v>
      </c>
      <c r="AF1080" s="29"/>
      <c r="AG1080" s="29"/>
    </row>
    <row r="1081" spans="1:33">
      <c r="A1081" s="29" t="s">
        <v>1636</v>
      </c>
      <c r="B1081" s="29" t="s">
        <v>1580</v>
      </c>
      <c r="C1081" s="29" t="s">
        <v>386</v>
      </c>
      <c r="D1081" s="29" t="s">
        <v>1530</v>
      </c>
      <c r="E1081" s="29"/>
      <c r="F1081" s="29" t="s">
        <v>1530</v>
      </c>
      <c r="G1081" s="29" t="s">
        <v>697</v>
      </c>
      <c r="H1081" s="29" t="s">
        <v>1536</v>
      </c>
      <c r="I1081" s="116" t="s">
        <v>333</v>
      </c>
      <c r="J1081" s="29" t="s">
        <v>1010</v>
      </c>
      <c r="K1081" s="29">
        <v>0.4</v>
      </c>
      <c r="L1081" s="116"/>
      <c r="M1081" s="29" t="s">
        <v>311</v>
      </c>
      <c r="N1081" s="29">
        <v>60</v>
      </c>
      <c r="O1081" s="115">
        <v>85</v>
      </c>
      <c r="P1081" s="29">
        <v>122.68693220279546</v>
      </c>
      <c r="Q1081" s="29">
        <v>0.70588235294117652</v>
      </c>
      <c r="R1081" s="29">
        <v>100</v>
      </c>
      <c r="S1081" s="29">
        <v>1</v>
      </c>
      <c r="T1081" s="29">
        <v>100</v>
      </c>
      <c r="U1081" s="29">
        <v>60</v>
      </c>
      <c r="V1081" s="29">
        <v>0</v>
      </c>
      <c r="W1081" s="29">
        <v>0</v>
      </c>
      <c r="X1081" s="29">
        <v>0</v>
      </c>
      <c r="Y1081" s="29">
        <v>0</v>
      </c>
      <c r="Z1081" s="29">
        <v>0</v>
      </c>
      <c r="AA1081" s="29"/>
      <c r="AB1081" s="29"/>
      <c r="AC1081" s="29"/>
      <c r="AD1081" s="29"/>
      <c r="AE1081" s="29" t="s">
        <v>1612</v>
      </c>
      <c r="AF1081" s="29"/>
      <c r="AG1081" s="29"/>
    </row>
    <row r="1082" spans="1:33">
      <c r="A1082" s="29" t="s">
        <v>1636</v>
      </c>
      <c r="B1082" s="29" t="s">
        <v>1580</v>
      </c>
      <c r="C1082" s="29" t="s">
        <v>1596</v>
      </c>
      <c r="D1082" s="29" t="s">
        <v>1530</v>
      </c>
      <c r="E1082" s="29"/>
      <c r="F1082" s="29" t="s">
        <v>1530</v>
      </c>
      <c r="G1082" s="29" t="s">
        <v>700</v>
      </c>
      <c r="H1082" s="29" t="s">
        <v>1537</v>
      </c>
      <c r="I1082" s="116" t="s">
        <v>333</v>
      </c>
      <c r="J1082" s="29" t="s">
        <v>1010</v>
      </c>
      <c r="K1082" s="29">
        <v>0.4</v>
      </c>
      <c r="L1082" s="116"/>
      <c r="M1082" s="29" t="s">
        <v>311</v>
      </c>
      <c r="N1082" s="29">
        <v>60</v>
      </c>
      <c r="O1082" s="115">
        <v>85</v>
      </c>
      <c r="P1082" s="29">
        <v>122.68693220279546</v>
      </c>
      <c r="Q1082" s="29">
        <v>0.70588235294117652</v>
      </c>
      <c r="R1082" s="29">
        <v>100</v>
      </c>
      <c r="S1082" s="29">
        <v>1</v>
      </c>
      <c r="T1082" s="29">
        <v>100</v>
      </c>
      <c r="U1082" s="29">
        <v>60</v>
      </c>
      <c r="V1082" s="29">
        <v>0</v>
      </c>
      <c r="W1082" s="29">
        <v>0</v>
      </c>
      <c r="X1082" s="29">
        <v>0</v>
      </c>
      <c r="Y1082" s="29">
        <v>0</v>
      </c>
      <c r="Z1082" s="29">
        <v>0</v>
      </c>
      <c r="AA1082" s="29"/>
      <c r="AB1082" s="29"/>
      <c r="AC1082" s="29"/>
      <c r="AD1082" s="29"/>
      <c r="AE1082" s="29" t="s">
        <v>1612</v>
      </c>
      <c r="AF1082" s="29"/>
      <c r="AG1082" s="29"/>
    </row>
    <row r="1083" spans="1:33">
      <c r="A1083" s="29" t="s">
        <v>1763</v>
      </c>
      <c r="B1083" s="29" t="s">
        <v>1580</v>
      </c>
      <c r="C1083" s="29" t="s">
        <v>317</v>
      </c>
      <c r="D1083" s="29" t="s">
        <v>1530</v>
      </c>
      <c r="E1083" s="29"/>
      <c r="F1083" s="29" t="s">
        <v>1530</v>
      </c>
      <c r="G1083" s="29" t="s">
        <v>673</v>
      </c>
      <c r="H1083" s="29" t="s">
        <v>1538</v>
      </c>
      <c r="I1083" s="116" t="s">
        <v>333</v>
      </c>
      <c r="J1083" s="29" t="s">
        <v>1010</v>
      </c>
      <c r="K1083" s="29">
        <v>0.4</v>
      </c>
      <c r="L1083" s="116"/>
      <c r="M1083" s="29" t="s">
        <v>311</v>
      </c>
      <c r="N1083" s="29"/>
      <c r="O1083" s="115"/>
      <c r="P1083" s="29"/>
      <c r="Q1083" s="29"/>
      <c r="R1083" s="29"/>
      <c r="S1083" s="29"/>
      <c r="T1083" s="29">
        <v>100</v>
      </c>
      <c r="U1083" s="29">
        <v>0</v>
      </c>
      <c r="V1083" s="29">
        <v>0</v>
      </c>
      <c r="W1083" s="29">
        <v>29.70000000000001</v>
      </c>
      <c r="X1083" s="29">
        <v>20.730727523475569</v>
      </c>
      <c r="Y1083" s="29">
        <v>0</v>
      </c>
      <c r="Z1083" s="29">
        <v>0</v>
      </c>
      <c r="AA1083" s="29"/>
      <c r="AB1083" s="29"/>
      <c r="AC1083" s="29" t="s">
        <v>1849</v>
      </c>
      <c r="AD1083" s="29"/>
      <c r="AE1083" s="29" t="s">
        <v>1612</v>
      </c>
      <c r="AF1083" s="29"/>
      <c r="AG1083" s="29"/>
    </row>
    <row r="1084" spans="1:33">
      <c r="A1084" s="29" t="s">
        <v>1763</v>
      </c>
      <c r="B1084" s="29" t="s">
        <v>1580</v>
      </c>
      <c r="C1084" s="29" t="s">
        <v>386</v>
      </c>
      <c r="D1084" s="29" t="s">
        <v>1530</v>
      </c>
      <c r="E1084" s="29"/>
      <c r="F1084" s="29" t="s">
        <v>1530</v>
      </c>
      <c r="G1084" s="29" t="s">
        <v>677</v>
      </c>
      <c r="H1084" s="29" t="s">
        <v>1539</v>
      </c>
      <c r="I1084" s="116" t="s">
        <v>333</v>
      </c>
      <c r="J1084" s="29" t="s">
        <v>1010</v>
      </c>
      <c r="K1084" s="29">
        <v>0.4</v>
      </c>
      <c r="L1084" s="116"/>
      <c r="M1084" s="29" t="s">
        <v>311</v>
      </c>
      <c r="N1084" s="29"/>
      <c r="O1084" s="115"/>
      <c r="P1084" s="29"/>
      <c r="Q1084" s="29"/>
      <c r="R1084" s="29"/>
      <c r="S1084" s="29"/>
      <c r="T1084" s="29">
        <v>100</v>
      </c>
      <c r="U1084" s="29">
        <v>0</v>
      </c>
      <c r="V1084" s="29">
        <v>0</v>
      </c>
      <c r="W1084" s="29">
        <v>5.0699999999999994</v>
      </c>
      <c r="X1084" s="29">
        <v>3.5388817691589622</v>
      </c>
      <c r="Y1084" s="29">
        <v>0</v>
      </c>
      <c r="Z1084" s="29">
        <v>0</v>
      </c>
      <c r="AA1084" s="29"/>
      <c r="AB1084" s="29"/>
      <c r="AC1084" s="29" t="s">
        <v>1849</v>
      </c>
      <c r="AD1084" s="29"/>
      <c r="AE1084" s="29" t="s">
        <v>1612</v>
      </c>
      <c r="AF1084" s="29"/>
      <c r="AG1084" s="29"/>
    </row>
    <row r="1085" spans="1:33">
      <c r="A1085" s="29" t="s">
        <v>1615</v>
      </c>
      <c r="B1085" s="29" t="s">
        <v>1580</v>
      </c>
      <c r="C1085" s="29" t="s">
        <v>1850</v>
      </c>
      <c r="D1085" s="29" t="s">
        <v>1540</v>
      </c>
      <c r="E1085" s="29"/>
      <c r="F1085" s="29" t="s">
        <v>1851</v>
      </c>
      <c r="G1085" s="29" t="s">
        <v>1541</v>
      </c>
      <c r="H1085" s="29" t="s">
        <v>1542</v>
      </c>
      <c r="I1085" s="116" t="s">
        <v>310</v>
      </c>
      <c r="J1085" s="29" t="s">
        <v>20</v>
      </c>
      <c r="K1085" s="29">
        <v>0.4</v>
      </c>
      <c r="L1085" s="116"/>
      <c r="M1085" s="29" t="s">
        <v>363</v>
      </c>
      <c r="N1085" s="29">
        <v>43.646400000000007</v>
      </c>
      <c r="O1085" s="115">
        <v>43.646400000000007</v>
      </c>
      <c r="P1085" s="29">
        <v>63</v>
      </c>
      <c r="Q1085" s="29">
        <v>1</v>
      </c>
      <c r="R1085" s="29">
        <v>95</v>
      </c>
      <c r="S1085" s="29">
        <v>1</v>
      </c>
      <c r="T1085" s="29">
        <v>10</v>
      </c>
      <c r="U1085" s="29">
        <v>0</v>
      </c>
      <c r="V1085" s="29">
        <v>0</v>
      </c>
      <c r="W1085" s="29">
        <v>0</v>
      </c>
      <c r="X1085" s="29">
        <v>0</v>
      </c>
      <c r="Y1085" s="29">
        <v>4.5943578947368433</v>
      </c>
      <c r="Z1085" s="29">
        <v>0</v>
      </c>
      <c r="AA1085" s="29"/>
      <c r="AB1085" s="29"/>
      <c r="AC1085" s="29"/>
      <c r="AD1085" s="29"/>
      <c r="AE1085" s="29" t="s">
        <v>1844</v>
      </c>
      <c r="AF1085" s="29" t="s">
        <v>1852</v>
      </c>
      <c r="AG1085" s="29"/>
    </row>
    <row r="1086" spans="1:33">
      <c r="A1086" s="29"/>
      <c r="B1086" s="29"/>
      <c r="C1086" s="29"/>
      <c r="D1086" s="29"/>
      <c r="E1086" s="29"/>
      <c r="F1086" s="29"/>
      <c r="G1086" s="29"/>
      <c r="H1086" s="29"/>
      <c r="I1086" s="29"/>
      <c r="J1086" s="29"/>
      <c r="K1086" s="29"/>
      <c r="L1086" s="29"/>
      <c r="M1086" s="29"/>
      <c r="N1086" s="29"/>
      <c r="O1086" s="29"/>
      <c r="P1086" s="29"/>
      <c r="Q1086" s="29"/>
      <c r="R1086" s="29"/>
      <c r="S1086" s="29"/>
      <c r="T1086" s="29"/>
      <c r="U1086" s="29"/>
      <c r="V1086" s="29"/>
      <c r="W1086" s="29"/>
      <c r="X1086" s="29"/>
      <c r="Y1086" s="29"/>
      <c r="Z1086" s="29"/>
      <c r="AA1086" s="29"/>
      <c r="AB1086" s="29"/>
      <c r="AC1086" s="29"/>
      <c r="AD1086" s="29"/>
      <c r="AE1086" s="29"/>
      <c r="AF1086" s="29"/>
      <c r="AG1086" s="29"/>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74FD2-818B-44EC-929D-9C360B3F88EF}">
  <dimension ref="B3:G31"/>
  <sheetViews>
    <sheetView workbookViewId="0">
      <selection activeCell="F19" sqref="F19"/>
    </sheetView>
  </sheetViews>
  <sheetFormatPr defaultColWidth="8.88671875" defaultRowHeight="13.2"/>
  <cols>
    <col min="1" max="1" width="8.88671875" style="42"/>
    <col min="2" max="7" width="32.6640625" style="42" customWidth="1"/>
    <col min="8" max="16384" width="8.88671875" style="42"/>
  </cols>
  <sheetData>
    <row r="3" spans="2:7">
      <c r="B3" s="41" t="s">
        <v>1853</v>
      </c>
      <c r="C3" s="41" t="s">
        <v>1854</v>
      </c>
      <c r="D3" s="41" t="s">
        <v>1855</v>
      </c>
      <c r="E3" s="41" t="s">
        <v>1856</v>
      </c>
      <c r="F3" s="41" t="s">
        <v>1857</v>
      </c>
      <c r="G3" s="41" t="s">
        <v>1858</v>
      </c>
    </row>
    <row r="4" spans="2:7">
      <c r="B4" s="43" t="s">
        <v>1859</v>
      </c>
      <c r="C4" s="43" t="s">
        <v>1860</v>
      </c>
      <c r="D4" s="43" t="s">
        <v>1861</v>
      </c>
      <c r="E4" s="43" t="s">
        <v>1862</v>
      </c>
      <c r="F4" s="43" t="s">
        <v>1863</v>
      </c>
      <c r="G4" s="43" t="s">
        <v>1864</v>
      </c>
    </row>
    <row r="5" spans="2:7">
      <c r="B5" s="43" t="s">
        <v>1540</v>
      </c>
      <c r="C5" s="43" t="s">
        <v>1865</v>
      </c>
      <c r="D5" s="43" t="s">
        <v>1861</v>
      </c>
      <c r="E5" s="43" t="s">
        <v>1866</v>
      </c>
      <c r="F5" s="43" t="s">
        <v>1867</v>
      </c>
      <c r="G5" s="43" t="s">
        <v>1864</v>
      </c>
    </row>
    <row r="6" spans="2:7">
      <c r="B6" s="43" t="s">
        <v>1868</v>
      </c>
      <c r="C6" s="43" t="s">
        <v>1869</v>
      </c>
      <c r="D6" s="43" t="s">
        <v>1861</v>
      </c>
      <c r="E6" s="43" t="s">
        <v>1870</v>
      </c>
      <c r="F6" s="43" t="s">
        <v>1867</v>
      </c>
      <c r="G6" s="43" t="s">
        <v>1864</v>
      </c>
    </row>
    <row r="7" spans="2:7">
      <c r="B7" s="43" t="s">
        <v>1871</v>
      </c>
      <c r="C7" s="43" t="s">
        <v>1872</v>
      </c>
      <c r="D7" s="43" t="s">
        <v>1861</v>
      </c>
      <c r="E7" s="43" t="s">
        <v>1870</v>
      </c>
      <c r="F7" s="43" t="s">
        <v>1867</v>
      </c>
      <c r="G7" s="43" t="s">
        <v>1864</v>
      </c>
    </row>
    <row r="8" spans="2:7">
      <c r="B8" s="43" t="s">
        <v>1873</v>
      </c>
      <c r="C8" s="43" t="s">
        <v>1874</v>
      </c>
      <c r="D8" s="43" t="s">
        <v>1861</v>
      </c>
      <c r="E8" s="43" t="s">
        <v>1875</v>
      </c>
      <c r="F8" s="43" t="s">
        <v>1867</v>
      </c>
      <c r="G8" s="43" t="s">
        <v>1864</v>
      </c>
    </row>
    <row r="9" spans="2:7">
      <c r="B9" s="43" t="s">
        <v>1876</v>
      </c>
      <c r="C9" s="43" t="s">
        <v>1874</v>
      </c>
      <c r="D9" s="43" t="s">
        <v>1861</v>
      </c>
      <c r="E9" s="43" t="s">
        <v>1875</v>
      </c>
      <c r="F9" s="43" t="s">
        <v>1867</v>
      </c>
      <c r="G9" s="43" t="s">
        <v>1864</v>
      </c>
    </row>
    <row r="10" spans="2:7">
      <c r="B10" s="43" t="s">
        <v>1877</v>
      </c>
      <c r="C10" s="43" t="s">
        <v>1878</v>
      </c>
      <c r="D10" s="43" t="s">
        <v>1861</v>
      </c>
      <c r="E10" s="43" t="s">
        <v>1875</v>
      </c>
      <c r="F10" s="43" t="s">
        <v>1867</v>
      </c>
      <c r="G10" s="43" t="s">
        <v>1864</v>
      </c>
    </row>
    <row r="11" spans="2:7">
      <c r="B11" s="43" t="s">
        <v>1879</v>
      </c>
      <c r="C11" s="43" t="s">
        <v>1878</v>
      </c>
      <c r="D11" s="43" t="s">
        <v>1861</v>
      </c>
      <c r="E11" s="43" t="s">
        <v>1875</v>
      </c>
      <c r="F11" s="43" t="s">
        <v>1867</v>
      </c>
      <c r="G11" s="43" t="s">
        <v>1864</v>
      </c>
    </row>
    <row r="12" spans="2:7">
      <c r="B12" s="43" t="s">
        <v>1880</v>
      </c>
      <c r="C12" s="43" t="s">
        <v>1881</v>
      </c>
      <c r="D12" s="43" t="s">
        <v>1861</v>
      </c>
      <c r="E12" s="43" t="s">
        <v>1870</v>
      </c>
      <c r="F12" s="43" t="s">
        <v>1867</v>
      </c>
      <c r="G12" s="43" t="s">
        <v>1864</v>
      </c>
    </row>
    <row r="13" spans="2:7">
      <c r="B13" s="43" t="s">
        <v>1880</v>
      </c>
      <c r="C13" s="43" t="s">
        <v>1881</v>
      </c>
      <c r="D13" s="43" t="s">
        <v>1861</v>
      </c>
      <c r="E13" s="43" t="s">
        <v>1875</v>
      </c>
      <c r="F13" s="43" t="s">
        <v>1867</v>
      </c>
      <c r="G13" s="43" t="s">
        <v>1864</v>
      </c>
    </row>
    <row r="22" spans="5:6">
      <c r="E22" s="42" t="s">
        <v>1862</v>
      </c>
      <c r="F22" s="42">
        <f>COUNTIF($E$4:$E$13,E22)</f>
        <v>1</v>
      </c>
    </row>
    <row r="23" spans="5:6">
      <c r="E23" s="42" t="s">
        <v>1866</v>
      </c>
      <c r="F23" s="42">
        <f>COUNTIF($E$4:$E$13,E23)</f>
        <v>1</v>
      </c>
    </row>
    <row r="24" spans="5:6">
      <c r="E24" s="42" t="s">
        <v>1870</v>
      </c>
      <c r="F24" s="42">
        <f>COUNTIF($E$4:$E$13,E24)</f>
        <v>3</v>
      </c>
    </row>
    <row r="25" spans="5:6">
      <c r="E25" s="42" t="s">
        <v>1875</v>
      </c>
      <c r="F25" s="42">
        <f>COUNTIF($E$4:$E$13,E25)</f>
        <v>5</v>
      </c>
    </row>
    <row r="26" spans="5:6">
      <c r="E26"/>
    </row>
    <row r="27" spans="5:6">
      <c r="E27"/>
    </row>
    <row r="28" spans="5:6">
      <c r="E28"/>
    </row>
    <row r="29" spans="5:6">
      <c r="E29"/>
    </row>
    <row r="30" spans="5:6">
      <c r="E30"/>
    </row>
    <row r="31" spans="5:6">
      <c r="E3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23503-2D68-4076-A6CC-D65FDF217D08}">
  <sheetPr filterMode="1"/>
  <dimension ref="A1:Q135"/>
  <sheetViews>
    <sheetView zoomScale="70" zoomScaleNormal="70" workbookViewId="0">
      <pane xSplit="3" ySplit="1" topLeftCell="J46" activePane="bottomRight" state="frozen"/>
      <selection pane="topRight" activeCell="D1" sqref="D1"/>
      <selection pane="bottomLeft" activeCell="A2" sqref="A2"/>
      <selection pane="bottomRight" activeCell="M48" sqref="A1:Q135"/>
    </sheetView>
  </sheetViews>
  <sheetFormatPr defaultColWidth="55.33203125" defaultRowHeight="13.8"/>
  <cols>
    <col min="1" max="1" width="20" style="36" bestFit="1" customWidth="1"/>
    <col min="2" max="2" width="14.44140625" style="36" bestFit="1" customWidth="1"/>
    <col min="3" max="3" width="22.33203125" style="36" customWidth="1"/>
    <col min="4" max="4" width="53.44140625" style="36" bestFit="1" customWidth="1"/>
    <col min="5" max="8" width="14.44140625" style="36" bestFit="1" customWidth="1"/>
    <col min="9" max="9" width="54.33203125" style="36" bestFit="1" customWidth="1"/>
    <col min="10" max="10" width="15.44140625" style="36" bestFit="1" customWidth="1"/>
    <col min="11" max="11" width="40.33203125" style="36" customWidth="1"/>
    <col min="12" max="12" width="54.6640625" style="36" bestFit="1" customWidth="1"/>
    <col min="13" max="13" width="67.33203125" style="36" customWidth="1"/>
    <col min="14" max="14" width="28.44140625" style="36" bestFit="1" customWidth="1"/>
    <col min="15" max="15" width="32.109375" style="36" bestFit="1" customWidth="1"/>
    <col min="16" max="16" width="26.33203125" style="36" bestFit="1" customWidth="1"/>
    <col min="17" max="17" width="15.44140625" style="36" bestFit="1" customWidth="1"/>
    <col min="18" max="16384" width="55.33203125" style="36"/>
  </cols>
  <sheetData>
    <row r="1" spans="1:17" ht="41.4">
      <c r="A1" s="35" t="s">
        <v>1882</v>
      </c>
      <c r="B1" s="35" t="s">
        <v>1883</v>
      </c>
      <c r="C1" s="35" t="s">
        <v>1884</v>
      </c>
      <c r="D1" s="35" t="s">
        <v>1885</v>
      </c>
      <c r="E1" s="35" t="s">
        <v>1886</v>
      </c>
      <c r="F1" s="35" t="s">
        <v>1887</v>
      </c>
      <c r="G1" s="35" t="s">
        <v>1888</v>
      </c>
      <c r="H1" s="35" t="s">
        <v>1889</v>
      </c>
      <c r="I1" s="35" t="s">
        <v>1890</v>
      </c>
      <c r="J1" s="35" t="s">
        <v>1891</v>
      </c>
      <c r="K1" s="35" t="s">
        <v>1892</v>
      </c>
      <c r="L1" s="35" t="s">
        <v>1893</v>
      </c>
      <c r="M1" s="35" t="s">
        <v>1894</v>
      </c>
      <c r="N1" s="35" t="s">
        <v>1857</v>
      </c>
      <c r="O1" s="35" t="s">
        <v>1895</v>
      </c>
      <c r="P1" s="35" t="s">
        <v>1896</v>
      </c>
      <c r="Q1" s="35" t="s">
        <v>1897</v>
      </c>
    </row>
    <row r="2" spans="1:17" ht="110.4" hidden="1">
      <c r="A2" s="37" t="s">
        <v>305</v>
      </c>
      <c r="B2" s="37" t="s">
        <v>326</v>
      </c>
      <c r="C2" s="37" t="s">
        <v>323</v>
      </c>
      <c r="D2" s="37" t="s">
        <v>1898</v>
      </c>
      <c r="E2" s="37" t="s">
        <v>1899</v>
      </c>
      <c r="F2" s="37" t="s">
        <v>1900</v>
      </c>
      <c r="G2" s="37" t="s">
        <v>1901</v>
      </c>
      <c r="H2" s="37" t="s">
        <v>349</v>
      </c>
      <c r="I2" s="37" t="s">
        <v>1902</v>
      </c>
      <c r="J2" s="37" t="s">
        <v>1903</v>
      </c>
      <c r="K2" s="37" t="s">
        <v>1904</v>
      </c>
      <c r="L2" s="37" t="s">
        <v>1905</v>
      </c>
      <c r="M2" s="37" t="s">
        <v>1906</v>
      </c>
      <c r="N2" s="37" t="s">
        <v>1907</v>
      </c>
      <c r="O2" s="37" t="s">
        <v>1908</v>
      </c>
      <c r="P2" s="37" t="s">
        <v>1909</v>
      </c>
      <c r="Q2" s="37" t="s">
        <v>393</v>
      </c>
    </row>
    <row r="3" spans="1:17" ht="110.4" hidden="1">
      <c r="A3" s="37" t="s">
        <v>318</v>
      </c>
      <c r="B3" s="37" t="s">
        <v>326</v>
      </c>
      <c r="C3" s="37" t="s">
        <v>328</v>
      </c>
      <c r="D3" s="37" t="s">
        <v>1898</v>
      </c>
      <c r="E3" s="37" t="s">
        <v>1899</v>
      </c>
      <c r="F3" s="37" t="s">
        <v>1900</v>
      </c>
      <c r="G3" s="37" t="s">
        <v>1901</v>
      </c>
      <c r="H3" s="37" t="s">
        <v>349</v>
      </c>
      <c r="I3" s="37" t="s">
        <v>1902</v>
      </c>
      <c r="J3" s="37" t="s">
        <v>1903</v>
      </c>
      <c r="K3" s="37" t="s">
        <v>1904</v>
      </c>
      <c r="L3" s="37" t="s">
        <v>1905</v>
      </c>
      <c r="M3" s="37" t="s">
        <v>1906</v>
      </c>
      <c r="N3" s="37" t="s">
        <v>1907</v>
      </c>
      <c r="O3" s="37" t="s">
        <v>1908</v>
      </c>
      <c r="P3" s="37" t="s">
        <v>1909</v>
      </c>
      <c r="Q3" s="37" t="s">
        <v>393</v>
      </c>
    </row>
    <row r="4" spans="1:17" ht="110.4" hidden="1">
      <c r="A4" s="37" t="s">
        <v>322</v>
      </c>
      <c r="B4" s="37" t="s">
        <v>326</v>
      </c>
      <c r="C4" s="37" t="s">
        <v>331</v>
      </c>
      <c r="D4" s="37" t="s">
        <v>1910</v>
      </c>
      <c r="E4" s="37" t="s">
        <v>1899</v>
      </c>
      <c r="F4" s="37" t="s">
        <v>1911</v>
      </c>
      <c r="G4" s="37" t="s">
        <v>1901</v>
      </c>
      <c r="H4" s="37" t="s">
        <v>349</v>
      </c>
      <c r="I4" s="37" t="s">
        <v>1902</v>
      </c>
      <c r="J4" s="37" t="s">
        <v>1903</v>
      </c>
      <c r="K4" s="37" t="s">
        <v>1912</v>
      </c>
      <c r="L4" s="37" t="s">
        <v>1905</v>
      </c>
      <c r="M4" s="37" t="s">
        <v>1906</v>
      </c>
      <c r="N4" s="37" t="s">
        <v>1907</v>
      </c>
      <c r="O4" s="37" t="s">
        <v>1913</v>
      </c>
      <c r="P4" s="37" t="s">
        <v>1909</v>
      </c>
      <c r="Q4" s="37" t="s">
        <v>393</v>
      </c>
    </row>
    <row r="5" spans="1:17" ht="110.4" hidden="1">
      <c r="A5" s="37" t="s">
        <v>327</v>
      </c>
      <c r="B5" s="37" t="s">
        <v>326</v>
      </c>
      <c r="C5" s="37" t="s">
        <v>335</v>
      </c>
      <c r="D5" s="37" t="s">
        <v>1898</v>
      </c>
      <c r="E5" s="37" t="s">
        <v>1899</v>
      </c>
      <c r="F5" s="37" t="s">
        <v>1900</v>
      </c>
      <c r="G5" s="37" t="s">
        <v>1901</v>
      </c>
      <c r="H5" s="37" t="s">
        <v>349</v>
      </c>
      <c r="I5" s="37" t="s">
        <v>1902</v>
      </c>
      <c r="J5" s="37" t="s">
        <v>1903</v>
      </c>
      <c r="K5" s="37" t="s">
        <v>1904</v>
      </c>
      <c r="L5" s="37" t="s">
        <v>1905</v>
      </c>
      <c r="M5" s="37" t="s">
        <v>1906</v>
      </c>
      <c r="N5" s="37" t="s">
        <v>1907</v>
      </c>
      <c r="O5" s="37" t="s">
        <v>1908</v>
      </c>
      <c r="P5" s="37" t="s">
        <v>1909</v>
      </c>
      <c r="Q5" s="37" t="s">
        <v>393</v>
      </c>
    </row>
    <row r="6" spans="1:17" ht="110.4" hidden="1">
      <c r="A6" s="37" t="s">
        <v>330</v>
      </c>
      <c r="B6" s="37" t="s">
        <v>326</v>
      </c>
      <c r="C6" s="37" t="s">
        <v>337</v>
      </c>
      <c r="D6" s="37" t="s">
        <v>1898</v>
      </c>
      <c r="E6" s="37" t="s">
        <v>1899</v>
      </c>
      <c r="F6" s="37" t="s">
        <v>1900</v>
      </c>
      <c r="G6" s="37" t="s">
        <v>1901</v>
      </c>
      <c r="H6" s="37" t="s">
        <v>349</v>
      </c>
      <c r="I6" s="37" t="s">
        <v>1902</v>
      </c>
      <c r="J6" s="37" t="s">
        <v>1903</v>
      </c>
      <c r="K6" s="37" t="s">
        <v>1904</v>
      </c>
      <c r="L6" s="37" t="s">
        <v>1905</v>
      </c>
      <c r="M6" s="37" t="s">
        <v>1906</v>
      </c>
      <c r="N6" s="37" t="s">
        <v>1907</v>
      </c>
      <c r="O6" s="37" t="s">
        <v>1908</v>
      </c>
      <c r="P6" s="37" t="s">
        <v>1909</v>
      </c>
      <c r="Q6" s="37" t="s">
        <v>393</v>
      </c>
    </row>
    <row r="7" spans="1:17" ht="110.4" hidden="1">
      <c r="A7" s="37" t="s">
        <v>334</v>
      </c>
      <c r="B7" s="37" t="s">
        <v>1637</v>
      </c>
      <c r="C7" s="37" t="s">
        <v>340</v>
      </c>
      <c r="D7" s="37" t="s">
        <v>1914</v>
      </c>
      <c r="E7" s="37" t="s">
        <v>1899</v>
      </c>
      <c r="F7" s="37" t="s">
        <v>1911</v>
      </c>
      <c r="G7" s="37" t="s">
        <v>1901</v>
      </c>
      <c r="H7" s="37" t="s">
        <v>349</v>
      </c>
      <c r="I7" s="37" t="s">
        <v>1902</v>
      </c>
      <c r="J7" s="37" t="s">
        <v>1903</v>
      </c>
      <c r="K7" s="37" t="s">
        <v>1915</v>
      </c>
      <c r="L7" s="37" t="s">
        <v>1905</v>
      </c>
      <c r="M7" s="37" t="s">
        <v>1906</v>
      </c>
      <c r="N7" s="37" t="s">
        <v>1907</v>
      </c>
      <c r="O7" s="37" t="s">
        <v>1913</v>
      </c>
      <c r="P7" s="37" t="s">
        <v>1909</v>
      </c>
      <c r="Q7" s="37" t="s">
        <v>393</v>
      </c>
    </row>
    <row r="8" spans="1:17" ht="110.4" hidden="1">
      <c r="A8" s="37" t="s">
        <v>336</v>
      </c>
      <c r="B8" s="37" t="s">
        <v>1637</v>
      </c>
      <c r="C8" s="37" t="s">
        <v>343</v>
      </c>
      <c r="D8" s="37" t="s">
        <v>1914</v>
      </c>
      <c r="E8" s="37" t="s">
        <v>1899</v>
      </c>
      <c r="F8" s="37" t="s">
        <v>1911</v>
      </c>
      <c r="G8" s="37" t="s">
        <v>1901</v>
      </c>
      <c r="H8" s="37" t="s">
        <v>349</v>
      </c>
      <c r="I8" s="37" t="s">
        <v>1902</v>
      </c>
      <c r="J8" s="37" t="s">
        <v>1903</v>
      </c>
      <c r="K8" s="37" t="s">
        <v>1915</v>
      </c>
      <c r="L8" s="37" t="s">
        <v>1905</v>
      </c>
      <c r="M8" s="37" t="s">
        <v>1906</v>
      </c>
      <c r="N8" s="37" t="s">
        <v>1907</v>
      </c>
      <c r="O8" s="37" t="s">
        <v>1913</v>
      </c>
      <c r="P8" s="37" t="s">
        <v>1909</v>
      </c>
      <c r="Q8" s="37" t="s">
        <v>393</v>
      </c>
    </row>
    <row r="9" spans="1:17" ht="82.8" hidden="1">
      <c r="A9" s="37" t="s">
        <v>339</v>
      </c>
      <c r="B9" s="37" t="s">
        <v>1637</v>
      </c>
      <c r="C9" s="37" t="s">
        <v>1916</v>
      </c>
      <c r="D9" s="37" t="s">
        <v>1917</v>
      </c>
      <c r="E9" s="37" t="s">
        <v>1918</v>
      </c>
      <c r="F9" s="37" t="s">
        <v>1899</v>
      </c>
      <c r="G9" s="37" t="s">
        <v>1919</v>
      </c>
      <c r="H9" s="37" t="s">
        <v>1920</v>
      </c>
      <c r="I9" s="37" t="s">
        <v>1921</v>
      </c>
      <c r="J9" s="37" t="s">
        <v>1922</v>
      </c>
      <c r="K9" s="37" t="s">
        <v>1923</v>
      </c>
      <c r="L9" s="37" t="s">
        <v>1924</v>
      </c>
      <c r="M9" s="37" t="s">
        <v>1925</v>
      </c>
      <c r="N9" s="37" t="s">
        <v>1907</v>
      </c>
      <c r="O9" s="37" t="s">
        <v>1926</v>
      </c>
      <c r="P9" s="37" t="s">
        <v>1927</v>
      </c>
      <c r="Q9" s="37" t="s">
        <v>393</v>
      </c>
    </row>
    <row r="10" spans="1:17" ht="82.8" hidden="1">
      <c r="A10" s="37" t="s">
        <v>342</v>
      </c>
      <c r="B10" s="37" t="s">
        <v>1637</v>
      </c>
      <c r="C10" s="37" t="s">
        <v>1928</v>
      </c>
      <c r="D10" s="37" t="s">
        <v>1929</v>
      </c>
      <c r="E10" s="37" t="s">
        <v>1918</v>
      </c>
      <c r="F10" s="37" t="s">
        <v>1899</v>
      </c>
      <c r="G10" s="37" t="s">
        <v>1919</v>
      </c>
      <c r="H10" s="37" t="s">
        <v>1920</v>
      </c>
      <c r="I10" s="37" t="s">
        <v>1921</v>
      </c>
      <c r="J10" s="37" t="s">
        <v>1922</v>
      </c>
      <c r="K10" s="37" t="s">
        <v>1923</v>
      </c>
      <c r="L10" s="37" t="s">
        <v>1924</v>
      </c>
      <c r="M10" s="37" t="s">
        <v>1925</v>
      </c>
      <c r="N10" s="37" t="s">
        <v>1907</v>
      </c>
      <c r="O10" s="37" t="s">
        <v>1926</v>
      </c>
      <c r="P10" s="37" t="s">
        <v>1927</v>
      </c>
      <c r="Q10" s="37" t="s">
        <v>393</v>
      </c>
    </row>
    <row r="11" spans="1:17" ht="82.8" hidden="1">
      <c r="A11" s="37" t="s">
        <v>345</v>
      </c>
      <c r="B11" s="37" t="s">
        <v>1637</v>
      </c>
      <c r="C11" s="37" t="s">
        <v>1930</v>
      </c>
      <c r="D11" s="37" t="s">
        <v>1931</v>
      </c>
      <c r="E11" s="37" t="s">
        <v>1918</v>
      </c>
      <c r="F11" s="37" t="s">
        <v>1899</v>
      </c>
      <c r="G11" s="37" t="s">
        <v>1919</v>
      </c>
      <c r="H11" s="37" t="s">
        <v>1920</v>
      </c>
      <c r="I11" s="37" t="s">
        <v>1921</v>
      </c>
      <c r="J11" s="37" t="s">
        <v>1922</v>
      </c>
      <c r="K11" s="37" t="s">
        <v>1923</v>
      </c>
      <c r="L11" s="37" t="s">
        <v>1924</v>
      </c>
      <c r="M11" s="37" t="s">
        <v>1925</v>
      </c>
      <c r="N11" s="37" t="s">
        <v>1907</v>
      </c>
      <c r="O11" s="37" t="s">
        <v>1926</v>
      </c>
      <c r="P11" s="37" t="s">
        <v>1927</v>
      </c>
      <c r="Q11" s="37" t="s">
        <v>393</v>
      </c>
    </row>
    <row r="12" spans="1:17" ht="82.8" hidden="1">
      <c r="A12" s="37" t="s">
        <v>349</v>
      </c>
      <c r="B12" s="37" t="s">
        <v>1637</v>
      </c>
      <c r="C12" s="37" t="s">
        <v>1932</v>
      </c>
      <c r="D12" s="37" t="s">
        <v>1933</v>
      </c>
      <c r="E12" s="37" t="s">
        <v>1918</v>
      </c>
      <c r="F12" s="37" t="s">
        <v>1899</v>
      </c>
      <c r="G12" s="37" t="s">
        <v>1919</v>
      </c>
      <c r="H12" s="37" t="s">
        <v>1920</v>
      </c>
      <c r="I12" s="37" t="s">
        <v>1921</v>
      </c>
      <c r="J12" s="37" t="s">
        <v>1922</v>
      </c>
      <c r="K12" s="37" t="s">
        <v>1923</v>
      </c>
      <c r="L12" s="37" t="s">
        <v>1924</v>
      </c>
      <c r="M12" s="37" t="s">
        <v>1925</v>
      </c>
      <c r="N12" s="37" t="s">
        <v>1907</v>
      </c>
      <c r="O12" s="37" t="s">
        <v>1926</v>
      </c>
      <c r="P12" s="37" t="s">
        <v>1927</v>
      </c>
      <c r="Q12" s="37" t="s">
        <v>393</v>
      </c>
    </row>
    <row r="13" spans="1:17" ht="82.8" hidden="1">
      <c r="A13" s="37" t="s">
        <v>360</v>
      </c>
      <c r="B13" s="37" t="s">
        <v>1637</v>
      </c>
      <c r="C13" s="37" t="s">
        <v>1934</v>
      </c>
      <c r="D13" s="37" t="s">
        <v>1935</v>
      </c>
      <c r="E13" s="37" t="s">
        <v>1918</v>
      </c>
      <c r="F13" s="37" t="s">
        <v>1899</v>
      </c>
      <c r="G13" s="37" t="s">
        <v>1919</v>
      </c>
      <c r="H13" s="37" t="s">
        <v>1920</v>
      </c>
      <c r="I13" s="37" t="s">
        <v>1921</v>
      </c>
      <c r="J13" s="37" t="s">
        <v>1922</v>
      </c>
      <c r="K13" s="37" t="s">
        <v>1923</v>
      </c>
      <c r="L13" s="37" t="s">
        <v>1924</v>
      </c>
      <c r="M13" s="37" t="s">
        <v>1925</v>
      </c>
      <c r="N13" s="37" t="s">
        <v>1907</v>
      </c>
      <c r="O13" s="37" t="s">
        <v>1926</v>
      </c>
      <c r="P13" s="37" t="s">
        <v>1927</v>
      </c>
      <c r="Q13" s="37" t="s">
        <v>393</v>
      </c>
    </row>
    <row r="14" spans="1:17" ht="82.8" hidden="1">
      <c r="A14" s="37" t="s">
        <v>365</v>
      </c>
      <c r="B14" s="37" t="s">
        <v>1637</v>
      </c>
      <c r="C14" s="37" t="s">
        <v>1936</v>
      </c>
      <c r="D14" s="37" t="s">
        <v>1937</v>
      </c>
      <c r="E14" s="37" t="s">
        <v>1918</v>
      </c>
      <c r="F14" s="37" t="s">
        <v>1899</v>
      </c>
      <c r="G14" s="37" t="s">
        <v>1919</v>
      </c>
      <c r="H14" s="37" t="s">
        <v>1938</v>
      </c>
      <c r="I14" s="37" t="s">
        <v>1921</v>
      </c>
      <c r="J14" s="37" t="s">
        <v>1922</v>
      </c>
      <c r="K14" s="37" t="s">
        <v>1939</v>
      </c>
      <c r="L14" s="37" t="s">
        <v>1924</v>
      </c>
      <c r="M14" s="37" t="s">
        <v>1925</v>
      </c>
      <c r="N14" s="37" t="s">
        <v>1907</v>
      </c>
      <c r="O14" s="37" t="s">
        <v>1926</v>
      </c>
      <c r="P14" s="37" t="s">
        <v>1927</v>
      </c>
      <c r="Q14" s="37" t="s">
        <v>393</v>
      </c>
    </row>
    <row r="15" spans="1:17" ht="82.8" hidden="1">
      <c r="A15" s="37" t="s">
        <v>371</v>
      </c>
      <c r="B15" s="37" t="s">
        <v>1637</v>
      </c>
      <c r="C15" s="37" t="s">
        <v>1940</v>
      </c>
      <c r="D15" s="37" t="s">
        <v>1941</v>
      </c>
      <c r="E15" s="37" t="s">
        <v>1918</v>
      </c>
      <c r="F15" s="37" t="s">
        <v>1899</v>
      </c>
      <c r="G15" s="37" t="s">
        <v>1919</v>
      </c>
      <c r="H15" s="37" t="s">
        <v>1938</v>
      </c>
      <c r="I15" s="37" t="s">
        <v>1921</v>
      </c>
      <c r="J15" s="37" t="s">
        <v>1922</v>
      </c>
      <c r="K15" s="37" t="s">
        <v>1939</v>
      </c>
      <c r="L15" s="37" t="s">
        <v>1924</v>
      </c>
      <c r="M15" s="37" t="s">
        <v>1925</v>
      </c>
      <c r="N15" s="37" t="s">
        <v>1907</v>
      </c>
      <c r="O15" s="37" t="s">
        <v>1926</v>
      </c>
      <c r="P15" s="37" t="s">
        <v>1927</v>
      </c>
      <c r="Q15" s="37" t="s">
        <v>393</v>
      </c>
    </row>
    <row r="16" spans="1:17" s="39" customFormat="1" ht="96.6" hidden="1">
      <c r="A16" s="35" t="s">
        <v>374</v>
      </c>
      <c r="B16" s="35" t="s">
        <v>326</v>
      </c>
      <c r="C16" s="38" t="s">
        <v>1942</v>
      </c>
      <c r="D16" s="35" t="s">
        <v>1943</v>
      </c>
      <c r="E16" s="35" t="s">
        <v>1900</v>
      </c>
      <c r="F16" s="35" t="s">
        <v>1899</v>
      </c>
      <c r="G16" s="35" t="s">
        <v>15</v>
      </c>
      <c r="H16" s="35" t="s">
        <v>1920</v>
      </c>
      <c r="I16" s="35" t="s">
        <v>1899</v>
      </c>
      <c r="J16" s="35" t="s">
        <v>1944</v>
      </c>
      <c r="K16" s="35" t="s">
        <v>1945</v>
      </c>
      <c r="L16" s="35" t="s">
        <v>1899</v>
      </c>
      <c r="M16" s="35" t="s">
        <v>1946</v>
      </c>
      <c r="N16" s="35" t="s">
        <v>1907</v>
      </c>
      <c r="O16" s="35" t="s">
        <v>1947</v>
      </c>
      <c r="P16" s="35" t="s">
        <v>1909</v>
      </c>
      <c r="Q16" s="35" t="s">
        <v>393</v>
      </c>
    </row>
    <row r="17" spans="1:17" s="39" customFormat="1" ht="96.6" hidden="1">
      <c r="A17" s="35" t="s">
        <v>380</v>
      </c>
      <c r="B17" s="35" t="s">
        <v>326</v>
      </c>
      <c r="C17" s="38" t="s">
        <v>1948</v>
      </c>
      <c r="D17" s="35" t="s">
        <v>1949</v>
      </c>
      <c r="E17" s="35" t="s">
        <v>1900</v>
      </c>
      <c r="F17" s="35" t="s">
        <v>1899</v>
      </c>
      <c r="G17" s="35" t="s">
        <v>15</v>
      </c>
      <c r="H17" s="35" t="s">
        <v>1920</v>
      </c>
      <c r="I17" s="35" t="s">
        <v>1899</v>
      </c>
      <c r="J17" s="35" t="s">
        <v>1944</v>
      </c>
      <c r="K17" s="35" t="s">
        <v>1945</v>
      </c>
      <c r="L17" s="35" t="s">
        <v>1899</v>
      </c>
      <c r="M17" s="35" t="s">
        <v>1946</v>
      </c>
      <c r="N17" s="35" t="s">
        <v>1907</v>
      </c>
      <c r="O17" s="35" t="s">
        <v>1947</v>
      </c>
      <c r="P17" s="35" t="s">
        <v>1909</v>
      </c>
      <c r="Q17" s="35" t="s">
        <v>393</v>
      </c>
    </row>
    <row r="18" spans="1:17" s="39" customFormat="1" ht="96.6" hidden="1">
      <c r="A18" s="35" t="s">
        <v>432</v>
      </c>
      <c r="B18" s="35" t="s">
        <v>326</v>
      </c>
      <c r="C18" s="38" t="s">
        <v>1950</v>
      </c>
      <c r="D18" s="35" t="s">
        <v>1951</v>
      </c>
      <c r="E18" s="35" t="s">
        <v>1911</v>
      </c>
      <c r="F18" s="35" t="s">
        <v>1899</v>
      </c>
      <c r="G18" s="35" t="s">
        <v>15</v>
      </c>
      <c r="H18" s="35" t="s">
        <v>1920</v>
      </c>
      <c r="I18" s="35" t="s">
        <v>1899</v>
      </c>
      <c r="J18" s="35" t="s">
        <v>1944</v>
      </c>
      <c r="K18" s="35" t="s">
        <v>1952</v>
      </c>
      <c r="L18" s="35" t="s">
        <v>1899</v>
      </c>
      <c r="M18" s="35" t="s">
        <v>1946</v>
      </c>
      <c r="N18" s="35" t="s">
        <v>1907</v>
      </c>
      <c r="O18" s="35" t="s">
        <v>1947</v>
      </c>
      <c r="P18" s="35" t="s">
        <v>1909</v>
      </c>
      <c r="Q18" s="35" t="s">
        <v>393</v>
      </c>
    </row>
    <row r="19" spans="1:17" s="39" customFormat="1" ht="96.6" hidden="1">
      <c r="A19" s="35" t="s">
        <v>435</v>
      </c>
      <c r="B19" s="35" t="s">
        <v>326</v>
      </c>
      <c r="C19" s="38" t="s">
        <v>1953</v>
      </c>
      <c r="D19" s="35" t="s">
        <v>1954</v>
      </c>
      <c r="E19" s="35" t="s">
        <v>1900</v>
      </c>
      <c r="F19" s="35" t="s">
        <v>1899</v>
      </c>
      <c r="G19" s="35" t="s">
        <v>15</v>
      </c>
      <c r="H19" s="35" t="s">
        <v>1920</v>
      </c>
      <c r="I19" s="35" t="s">
        <v>1899</v>
      </c>
      <c r="J19" s="35" t="s">
        <v>1944</v>
      </c>
      <c r="K19" s="35" t="s">
        <v>1945</v>
      </c>
      <c r="L19" s="35" t="s">
        <v>1899</v>
      </c>
      <c r="M19" s="35" t="s">
        <v>1946</v>
      </c>
      <c r="N19" s="35" t="s">
        <v>1907</v>
      </c>
      <c r="O19" s="35" t="s">
        <v>1947</v>
      </c>
      <c r="P19" s="35" t="s">
        <v>1909</v>
      </c>
      <c r="Q19" s="35" t="s">
        <v>393</v>
      </c>
    </row>
    <row r="20" spans="1:17" s="39" customFormat="1" ht="96.6" hidden="1">
      <c r="A20" s="35" t="s">
        <v>438</v>
      </c>
      <c r="B20" s="35" t="s">
        <v>326</v>
      </c>
      <c r="C20" s="38" t="s">
        <v>1955</v>
      </c>
      <c r="D20" s="35" t="s">
        <v>1956</v>
      </c>
      <c r="E20" s="35" t="s">
        <v>1900</v>
      </c>
      <c r="F20" s="35" t="s">
        <v>1899</v>
      </c>
      <c r="G20" s="35" t="s">
        <v>15</v>
      </c>
      <c r="H20" s="35" t="s">
        <v>1920</v>
      </c>
      <c r="I20" s="35" t="s">
        <v>1899</v>
      </c>
      <c r="J20" s="35" t="s">
        <v>1944</v>
      </c>
      <c r="K20" s="35" t="s">
        <v>1945</v>
      </c>
      <c r="L20" s="35" t="s">
        <v>1899</v>
      </c>
      <c r="M20" s="35" t="s">
        <v>1946</v>
      </c>
      <c r="N20" s="35" t="s">
        <v>1907</v>
      </c>
      <c r="O20" s="35" t="s">
        <v>1947</v>
      </c>
      <c r="P20" s="35" t="s">
        <v>1909</v>
      </c>
      <c r="Q20" s="35" t="s">
        <v>393</v>
      </c>
    </row>
    <row r="21" spans="1:17" s="39" customFormat="1" ht="96.6" hidden="1">
      <c r="A21" s="35" t="s">
        <v>442</v>
      </c>
      <c r="B21" s="35" t="s">
        <v>326</v>
      </c>
      <c r="C21" s="38" t="s">
        <v>1957</v>
      </c>
      <c r="D21" s="35" t="s">
        <v>1958</v>
      </c>
      <c r="E21" s="35" t="s">
        <v>1900</v>
      </c>
      <c r="F21" s="35" t="s">
        <v>1899</v>
      </c>
      <c r="G21" s="35" t="s">
        <v>15</v>
      </c>
      <c r="H21" s="35" t="s">
        <v>1938</v>
      </c>
      <c r="I21" s="35" t="s">
        <v>1899</v>
      </c>
      <c r="J21" s="35" t="s">
        <v>1944</v>
      </c>
      <c r="K21" s="35" t="s">
        <v>1959</v>
      </c>
      <c r="L21" s="35" t="s">
        <v>1899</v>
      </c>
      <c r="M21" s="35" t="s">
        <v>1946</v>
      </c>
      <c r="N21" s="35" t="s">
        <v>1907</v>
      </c>
      <c r="O21" s="35" t="s">
        <v>1947</v>
      </c>
      <c r="P21" s="35" t="s">
        <v>1909</v>
      </c>
      <c r="Q21" s="35" t="s">
        <v>393</v>
      </c>
    </row>
    <row r="22" spans="1:17" s="39" customFormat="1" ht="96.6" hidden="1">
      <c r="A22" s="35" t="s">
        <v>445</v>
      </c>
      <c r="B22" s="35" t="s">
        <v>326</v>
      </c>
      <c r="C22" s="38" t="s">
        <v>1960</v>
      </c>
      <c r="D22" s="35" t="s">
        <v>1961</v>
      </c>
      <c r="E22" s="35" t="s">
        <v>1900</v>
      </c>
      <c r="F22" s="35" t="s">
        <v>1899</v>
      </c>
      <c r="G22" s="35" t="s">
        <v>15</v>
      </c>
      <c r="H22" s="35" t="s">
        <v>1938</v>
      </c>
      <c r="I22" s="35" t="s">
        <v>1899</v>
      </c>
      <c r="J22" s="35" t="s">
        <v>1944</v>
      </c>
      <c r="K22" s="35" t="s">
        <v>1959</v>
      </c>
      <c r="L22" s="35" t="s">
        <v>1899</v>
      </c>
      <c r="M22" s="35" t="s">
        <v>1946</v>
      </c>
      <c r="N22" s="35" t="s">
        <v>1907</v>
      </c>
      <c r="O22" s="35" t="s">
        <v>1947</v>
      </c>
      <c r="P22" s="35" t="s">
        <v>1909</v>
      </c>
      <c r="Q22" s="35" t="s">
        <v>393</v>
      </c>
    </row>
    <row r="23" spans="1:17" s="39" customFormat="1" ht="151.80000000000001" hidden="1">
      <c r="A23" s="35" t="s">
        <v>448</v>
      </c>
      <c r="B23" s="35" t="s">
        <v>326</v>
      </c>
      <c r="C23" s="38" t="s">
        <v>306</v>
      </c>
      <c r="D23" s="35" t="s">
        <v>1962</v>
      </c>
      <c r="E23" s="35" t="s">
        <v>1900</v>
      </c>
      <c r="F23" s="35" t="s">
        <v>1899</v>
      </c>
      <c r="G23" s="35" t="s">
        <v>15</v>
      </c>
      <c r="H23" s="35" t="s">
        <v>349</v>
      </c>
      <c r="I23" s="35" t="s">
        <v>1963</v>
      </c>
      <c r="J23" s="35" t="s">
        <v>1964</v>
      </c>
      <c r="K23" s="38" t="s">
        <v>1965</v>
      </c>
      <c r="L23" s="38" t="s">
        <v>1966</v>
      </c>
      <c r="M23" s="35" t="s">
        <v>1967</v>
      </c>
      <c r="N23" s="35" t="s">
        <v>1907</v>
      </c>
      <c r="O23" s="35" t="s">
        <v>1968</v>
      </c>
      <c r="P23" s="35" t="s">
        <v>1909</v>
      </c>
      <c r="Q23" s="35" t="s">
        <v>393</v>
      </c>
    </row>
    <row r="24" spans="1:17" s="39" customFormat="1" ht="165.6" hidden="1">
      <c r="A24" s="35" t="s">
        <v>452</v>
      </c>
      <c r="B24" s="35" t="s">
        <v>326</v>
      </c>
      <c r="C24" s="38" t="s">
        <v>387</v>
      </c>
      <c r="D24" s="35" t="s">
        <v>1969</v>
      </c>
      <c r="E24" s="35" t="s">
        <v>1900</v>
      </c>
      <c r="F24" s="35" t="s">
        <v>1899</v>
      </c>
      <c r="G24" s="35" t="s">
        <v>15</v>
      </c>
      <c r="H24" s="35" t="s">
        <v>1920</v>
      </c>
      <c r="I24" s="35" t="s">
        <v>1970</v>
      </c>
      <c r="J24" s="35" t="s">
        <v>1944</v>
      </c>
      <c r="K24" s="38" t="s">
        <v>1971</v>
      </c>
      <c r="L24" s="38" t="s">
        <v>1972</v>
      </c>
      <c r="M24" s="35" t="s">
        <v>1973</v>
      </c>
      <c r="N24" s="35" t="s">
        <v>1907</v>
      </c>
      <c r="O24" s="38" t="s">
        <v>1974</v>
      </c>
      <c r="P24" s="35" t="s">
        <v>1909</v>
      </c>
      <c r="Q24" s="35" t="s">
        <v>393</v>
      </c>
    </row>
    <row r="25" spans="1:17" s="39" customFormat="1" ht="165.6" hidden="1">
      <c r="A25" s="35" t="s">
        <v>455</v>
      </c>
      <c r="B25" s="35" t="s">
        <v>326</v>
      </c>
      <c r="C25" s="35" t="s">
        <v>708</v>
      </c>
      <c r="D25" s="35" t="s">
        <v>1975</v>
      </c>
      <c r="E25" s="35" t="s">
        <v>1900</v>
      </c>
      <c r="F25" s="35" t="s">
        <v>1899</v>
      </c>
      <c r="G25" s="35" t="s">
        <v>15</v>
      </c>
      <c r="H25" s="35" t="s">
        <v>1920</v>
      </c>
      <c r="I25" s="35" t="s">
        <v>1970</v>
      </c>
      <c r="J25" s="35" t="s">
        <v>1944</v>
      </c>
      <c r="K25" s="35" t="s">
        <v>1971</v>
      </c>
      <c r="L25" s="35" t="s">
        <v>1976</v>
      </c>
      <c r="M25" s="35" t="s">
        <v>1973</v>
      </c>
      <c r="N25" s="35" t="s">
        <v>1907</v>
      </c>
      <c r="O25" s="35" t="s">
        <v>1977</v>
      </c>
      <c r="P25" s="35" t="s">
        <v>1909</v>
      </c>
      <c r="Q25" s="35" t="s">
        <v>393</v>
      </c>
    </row>
    <row r="26" spans="1:17" s="39" customFormat="1" ht="179.4" hidden="1">
      <c r="A26" s="35" t="s">
        <v>458</v>
      </c>
      <c r="B26" s="35" t="s">
        <v>326</v>
      </c>
      <c r="C26" s="35" t="s">
        <v>845</v>
      </c>
      <c r="D26" s="35" t="s">
        <v>1978</v>
      </c>
      <c r="E26" s="35" t="s">
        <v>1900</v>
      </c>
      <c r="F26" s="35" t="s">
        <v>1899</v>
      </c>
      <c r="G26" s="35" t="s">
        <v>15</v>
      </c>
      <c r="H26" s="35" t="s">
        <v>1938</v>
      </c>
      <c r="I26" s="35" t="s">
        <v>1970</v>
      </c>
      <c r="J26" s="35" t="s">
        <v>1944</v>
      </c>
      <c r="K26" s="35" t="s">
        <v>1979</v>
      </c>
      <c r="L26" s="35" t="s">
        <v>1980</v>
      </c>
      <c r="M26" s="35" t="s">
        <v>1973</v>
      </c>
      <c r="N26" s="35" t="s">
        <v>1907</v>
      </c>
      <c r="O26" s="35" t="s">
        <v>1981</v>
      </c>
      <c r="P26" s="35" t="s">
        <v>1909</v>
      </c>
      <c r="Q26" s="35" t="s">
        <v>393</v>
      </c>
    </row>
    <row r="27" spans="1:17" ht="139.19999999999999" hidden="1" customHeight="1">
      <c r="A27" s="37" t="s">
        <v>462</v>
      </c>
      <c r="B27" s="37" t="s">
        <v>326</v>
      </c>
      <c r="C27" s="37" t="s">
        <v>1031</v>
      </c>
      <c r="D27" s="37" t="s">
        <v>1982</v>
      </c>
      <c r="E27" s="37" t="s">
        <v>1899</v>
      </c>
      <c r="F27" s="37" t="s">
        <v>505</v>
      </c>
      <c r="G27" s="37" t="s">
        <v>1901</v>
      </c>
      <c r="H27" s="37" t="s">
        <v>1920</v>
      </c>
      <c r="I27" s="37" t="s">
        <v>1983</v>
      </c>
      <c r="J27" s="37" t="s">
        <v>1984</v>
      </c>
      <c r="K27" s="118" t="s">
        <v>1985</v>
      </c>
      <c r="L27" s="37" t="s">
        <v>1986</v>
      </c>
      <c r="M27" s="37" t="s">
        <v>1987</v>
      </c>
      <c r="N27" s="37" t="s">
        <v>1988</v>
      </c>
      <c r="O27" s="37" t="s">
        <v>1989</v>
      </c>
      <c r="P27" s="37" t="s">
        <v>1990</v>
      </c>
      <c r="Q27" s="37" t="s">
        <v>393</v>
      </c>
    </row>
    <row r="28" spans="1:17" ht="110.4" hidden="1">
      <c r="A28" s="37" t="s">
        <v>465</v>
      </c>
      <c r="B28" s="37" t="s">
        <v>326</v>
      </c>
      <c r="C28" s="37" t="s">
        <v>1991</v>
      </c>
      <c r="D28" s="37" t="s">
        <v>1992</v>
      </c>
      <c r="E28" s="37" t="s">
        <v>590</v>
      </c>
      <c r="F28" s="37" t="s">
        <v>1899</v>
      </c>
      <c r="G28" s="37" t="s">
        <v>15</v>
      </c>
      <c r="H28" s="37" t="s">
        <v>1938</v>
      </c>
      <c r="I28" s="37" t="s">
        <v>1993</v>
      </c>
      <c r="J28" s="37" t="s">
        <v>1994</v>
      </c>
      <c r="K28" s="37" t="s">
        <v>1995</v>
      </c>
      <c r="L28" s="37" t="s">
        <v>1996</v>
      </c>
      <c r="M28" s="37" t="s">
        <v>1997</v>
      </c>
      <c r="N28" s="37" t="s">
        <v>1988</v>
      </c>
      <c r="O28" s="37" t="s">
        <v>1998</v>
      </c>
      <c r="P28" s="37" t="s">
        <v>1909</v>
      </c>
      <c r="Q28" s="37" t="s">
        <v>393</v>
      </c>
    </row>
    <row r="29" spans="1:17" ht="110.4" hidden="1">
      <c r="A29" s="37" t="s">
        <v>468</v>
      </c>
      <c r="B29" s="37" t="s">
        <v>1637</v>
      </c>
      <c r="C29" s="37" t="s">
        <v>1035</v>
      </c>
      <c r="D29" s="37" t="s">
        <v>1999</v>
      </c>
      <c r="E29" s="37" t="s">
        <v>1899</v>
      </c>
      <c r="F29" s="37" t="s">
        <v>505</v>
      </c>
      <c r="G29" s="37" t="s">
        <v>1901</v>
      </c>
      <c r="H29" s="37" t="s">
        <v>1920</v>
      </c>
      <c r="I29" s="37" t="s">
        <v>1983</v>
      </c>
      <c r="J29" s="37" t="s">
        <v>1984</v>
      </c>
      <c r="K29" s="37" t="s">
        <v>1985</v>
      </c>
      <c r="L29" s="37" t="s">
        <v>1986</v>
      </c>
      <c r="M29" s="37" t="s">
        <v>1987</v>
      </c>
      <c r="N29" s="37" t="s">
        <v>2000</v>
      </c>
      <c r="O29" s="37" t="s">
        <v>1989</v>
      </c>
      <c r="P29" s="37" t="s">
        <v>1990</v>
      </c>
      <c r="Q29" s="37" t="s">
        <v>393</v>
      </c>
    </row>
    <row r="30" spans="1:17" ht="110.4" hidden="1">
      <c r="A30" s="37" t="s">
        <v>471</v>
      </c>
      <c r="B30" s="37" t="s">
        <v>326</v>
      </c>
      <c r="C30" s="37" t="s">
        <v>629</v>
      </c>
      <c r="D30" s="37" t="s">
        <v>2001</v>
      </c>
      <c r="E30" s="37" t="s">
        <v>590</v>
      </c>
      <c r="F30" s="37" t="s">
        <v>1899</v>
      </c>
      <c r="G30" s="37" t="s">
        <v>15</v>
      </c>
      <c r="H30" s="37" t="s">
        <v>1938</v>
      </c>
      <c r="I30" s="37" t="s">
        <v>1993</v>
      </c>
      <c r="J30" s="37" t="s">
        <v>1994</v>
      </c>
      <c r="K30" s="37" t="s">
        <v>1995</v>
      </c>
      <c r="L30" s="37" t="s">
        <v>1996</v>
      </c>
      <c r="M30" s="37" t="s">
        <v>1997</v>
      </c>
      <c r="N30" s="37" t="s">
        <v>2000</v>
      </c>
      <c r="O30" s="37" t="s">
        <v>2002</v>
      </c>
      <c r="P30" s="37" t="s">
        <v>1909</v>
      </c>
      <c r="Q30" s="37" t="s">
        <v>393</v>
      </c>
    </row>
    <row r="31" spans="1:17" ht="110.4" hidden="1">
      <c r="A31" s="37" t="s">
        <v>359</v>
      </c>
      <c r="B31" s="37" t="s">
        <v>1637</v>
      </c>
      <c r="C31" s="37" t="s">
        <v>2003</v>
      </c>
      <c r="D31" s="37" t="s">
        <v>2004</v>
      </c>
      <c r="E31" s="37" t="s">
        <v>1899</v>
      </c>
      <c r="F31" s="37" t="s">
        <v>505</v>
      </c>
      <c r="G31" s="37" t="s">
        <v>1901</v>
      </c>
      <c r="H31" s="37" t="s">
        <v>1920</v>
      </c>
      <c r="I31" s="37" t="s">
        <v>1983</v>
      </c>
      <c r="J31" s="37" t="s">
        <v>1984</v>
      </c>
      <c r="K31" s="37" t="s">
        <v>1985</v>
      </c>
      <c r="L31" s="37" t="s">
        <v>1986</v>
      </c>
      <c r="M31" s="37" t="s">
        <v>2005</v>
      </c>
      <c r="N31" s="37" t="s">
        <v>2006</v>
      </c>
      <c r="O31" s="37" t="s">
        <v>1989</v>
      </c>
      <c r="P31" s="37" t="s">
        <v>1990</v>
      </c>
      <c r="Q31" s="37" t="s">
        <v>393</v>
      </c>
    </row>
    <row r="32" spans="1:17" ht="110.4" hidden="1">
      <c r="A32" s="37" t="s">
        <v>476</v>
      </c>
      <c r="B32" s="37" t="s">
        <v>326</v>
      </c>
      <c r="C32" s="37" t="s">
        <v>634</v>
      </c>
      <c r="D32" s="37" t="s">
        <v>2007</v>
      </c>
      <c r="E32" s="37" t="s">
        <v>590</v>
      </c>
      <c r="F32" s="37" t="s">
        <v>1899</v>
      </c>
      <c r="G32" s="37" t="s">
        <v>15</v>
      </c>
      <c r="H32" s="37" t="s">
        <v>1938</v>
      </c>
      <c r="I32" s="37" t="s">
        <v>1993</v>
      </c>
      <c r="J32" s="37" t="s">
        <v>1994</v>
      </c>
      <c r="K32" s="37" t="s">
        <v>1995</v>
      </c>
      <c r="L32" s="37" t="s">
        <v>1996</v>
      </c>
      <c r="M32" s="37" t="s">
        <v>1997</v>
      </c>
      <c r="N32" s="37" t="s">
        <v>2006</v>
      </c>
      <c r="O32" s="37" t="s">
        <v>2002</v>
      </c>
      <c r="P32" s="37" t="s">
        <v>1909</v>
      </c>
      <c r="Q32" s="37" t="s">
        <v>393</v>
      </c>
    </row>
    <row r="33" spans="1:17" ht="110.4" hidden="1">
      <c r="A33" s="37" t="s">
        <v>479</v>
      </c>
      <c r="B33" s="37" t="s">
        <v>1637</v>
      </c>
      <c r="C33" s="37" t="s">
        <v>1037</v>
      </c>
      <c r="D33" s="37" t="s">
        <v>2008</v>
      </c>
      <c r="E33" s="37" t="s">
        <v>1899</v>
      </c>
      <c r="F33" s="37" t="s">
        <v>505</v>
      </c>
      <c r="G33" s="37" t="s">
        <v>1901</v>
      </c>
      <c r="H33" s="37" t="s">
        <v>1920</v>
      </c>
      <c r="I33" s="37" t="s">
        <v>1983</v>
      </c>
      <c r="J33" s="37" t="s">
        <v>1984</v>
      </c>
      <c r="K33" s="37" t="s">
        <v>1985</v>
      </c>
      <c r="L33" s="37" t="s">
        <v>1986</v>
      </c>
      <c r="M33" s="37" t="s">
        <v>1987</v>
      </c>
      <c r="N33" s="37" t="s">
        <v>2009</v>
      </c>
      <c r="O33" s="37" t="s">
        <v>1989</v>
      </c>
      <c r="P33" s="37" t="s">
        <v>1990</v>
      </c>
      <c r="Q33" s="37" t="s">
        <v>393</v>
      </c>
    </row>
    <row r="34" spans="1:17" ht="110.4" hidden="1">
      <c r="A34" s="37" t="s">
        <v>482</v>
      </c>
      <c r="B34" s="37" t="s">
        <v>326</v>
      </c>
      <c r="C34" s="37" t="s">
        <v>638</v>
      </c>
      <c r="D34" s="37" t="s">
        <v>2010</v>
      </c>
      <c r="E34" s="37" t="s">
        <v>590</v>
      </c>
      <c r="F34" s="37" t="s">
        <v>1899</v>
      </c>
      <c r="G34" s="37" t="s">
        <v>15</v>
      </c>
      <c r="H34" s="37" t="s">
        <v>1938</v>
      </c>
      <c r="I34" s="37" t="s">
        <v>1993</v>
      </c>
      <c r="J34" s="37" t="s">
        <v>1994</v>
      </c>
      <c r="K34" s="37" t="s">
        <v>1995</v>
      </c>
      <c r="L34" s="37" t="s">
        <v>1996</v>
      </c>
      <c r="M34" s="37" t="s">
        <v>1997</v>
      </c>
      <c r="N34" s="37" t="s">
        <v>2009</v>
      </c>
      <c r="O34" s="37" t="s">
        <v>2002</v>
      </c>
      <c r="P34" s="37" t="s">
        <v>1909</v>
      </c>
      <c r="Q34" s="37" t="s">
        <v>393</v>
      </c>
    </row>
    <row r="35" spans="1:17" ht="110.4" hidden="1">
      <c r="A35" s="37" t="s">
        <v>485</v>
      </c>
      <c r="B35" s="37" t="s">
        <v>1637</v>
      </c>
      <c r="C35" s="37" t="s">
        <v>1039</v>
      </c>
      <c r="D35" s="37" t="s">
        <v>2011</v>
      </c>
      <c r="E35" s="37" t="s">
        <v>1899</v>
      </c>
      <c r="F35" s="37" t="s">
        <v>505</v>
      </c>
      <c r="G35" s="37" t="s">
        <v>1901</v>
      </c>
      <c r="H35" s="37" t="s">
        <v>1920</v>
      </c>
      <c r="I35" s="37" t="s">
        <v>1983</v>
      </c>
      <c r="J35" s="37" t="s">
        <v>1984</v>
      </c>
      <c r="K35" s="37" t="s">
        <v>1985</v>
      </c>
      <c r="L35" s="37" t="s">
        <v>1986</v>
      </c>
      <c r="M35" s="37" t="s">
        <v>2005</v>
      </c>
      <c r="N35" s="37" t="s">
        <v>2012</v>
      </c>
      <c r="O35" s="37" t="s">
        <v>1989</v>
      </c>
      <c r="P35" s="37" t="s">
        <v>1990</v>
      </c>
      <c r="Q35" s="37" t="s">
        <v>393</v>
      </c>
    </row>
    <row r="36" spans="1:17" ht="110.4" hidden="1">
      <c r="A36" s="37" t="s">
        <v>490</v>
      </c>
      <c r="B36" s="37" t="s">
        <v>326</v>
      </c>
      <c r="C36" s="37" t="s">
        <v>642</v>
      </c>
      <c r="D36" s="37" t="s">
        <v>2013</v>
      </c>
      <c r="E36" s="37" t="s">
        <v>590</v>
      </c>
      <c r="F36" s="37" t="s">
        <v>1899</v>
      </c>
      <c r="G36" s="37" t="s">
        <v>15</v>
      </c>
      <c r="H36" s="37" t="s">
        <v>1938</v>
      </c>
      <c r="I36" s="37" t="s">
        <v>1993</v>
      </c>
      <c r="J36" s="37" t="s">
        <v>1994</v>
      </c>
      <c r="K36" s="37" t="s">
        <v>1995</v>
      </c>
      <c r="L36" s="37" t="s">
        <v>1996</v>
      </c>
      <c r="M36" s="37" t="s">
        <v>1997</v>
      </c>
      <c r="N36" s="37" t="s">
        <v>2012</v>
      </c>
      <c r="O36" s="37" t="s">
        <v>2002</v>
      </c>
      <c r="P36" s="37" t="s">
        <v>1909</v>
      </c>
      <c r="Q36" s="37" t="s">
        <v>393</v>
      </c>
    </row>
    <row r="37" spans="1:17" ht="110.4" hidden="1">
      <c r="A37" s="37" t="s">
        <v>493</v>
      </c>
      <c r="B37" s="37" t="s">
        <v>1637</v>
      </c>
      <c r="C37" s="37" t="s">
        <v>2014</v>
      </c>
      <c r="D37" s="37" t="s">
        <v>2015</v>
      </c>
      <c r="E37" s="37" t="s">
        <v>1899</v>
      </c>
      <c r="F37" s="37" t="s">
        <v>505</v>
      </c>
      <c r="G37" s="37" t="s">
        <v>1901</v>
      </c>
      <c r="H37" s="37" t="s">
        <v>1920</v>
      </c>
      <c r="I37" s="37" t="s">
        <v>1983</v>
      </c>
      <c r="J37" s="37" t="s">
        <v>1984</v>
      </c>
      <c r="K37" s="37" t="s">
        <v>1985</v>
      </c>
      <c r="L37" s="37" t="s">
        <v>1986</v>
      </c>
      <c r="M37" s="37" t="s">
        <v>1987</v>
      </c>
      <c r="N37" s="37" t="s">
        <v>2016</v>
      </c>
      <c r="O37" s="37" t="s">
        <v>1989</v>
      </c>
      <c r="P37" s="37" t="s">
        <v>1990</v>
      </c>
      <c r="Q37" s="37" t="s">
        <v>393</v>
      </c>
    </row>
    <row r="38" spans="1:17" ht="110.4" hidden="1">
      <c r="A38" s="37" t="s">
        <v>496</v>
      </c>
      <c r="B38" s="37" t="s">
        <v>326</v>
      </c>
      <c r="C38" s="37" t="s">
        <v>646</v>
      </c>
      <c r="D38" s="37" t="s">
        <v>2017</v>
      </c>
      <c r="E38" s="37" t="s">
        <v>590</v>
      </c>
      <c r="F38" s="37" t="s">
        <v>1899</v>
      </c>
      <c r="G38" s="37" t="s">
        <v>15</v>
      </c>
      <c r="H38" s="37" t="s">
        <v>1938</v>
      </c>
      <c r="I38" s="37" t="s">
        <v>1993</v>
      </c>
      <c r="J38" s="37" t="s">
        <v>1994</v>
      </c>
      <c r="K38" s="37" t="s">
        <v>1995</v>
      </c>
      <c r="L38" s="37" t="s">
        <v>1996</v>
      </c>
      <c r="M38" s="37" t="s">
        <v>1997</v>
      </c>
      <c r="N38" s="37" t="s">
        <v>2016</v>
      </c>
      <c r="O38" s="37" t="s">
        <v>2002</v>
      </c>
      <c r="P38" s="37" t="s">
        <v>1909</v>
      </c>
      <c r="Q38" s="37" t="s">
        <v>393</v>
      </c>
    </row>
    <row r="39" spans="1:17" ht="110.4" hidden="1">
      <c r="A39" s="37" t="s">
        <v>499</v>
      </c>
      <c r="B39" s="37" t="s">
        <v>1637</v>
      </c>
      <c r="C39" s="37" t="s">
        <v>1041</v>
      </c>
      <c r="D39" s="37" t="s">
        <v>2018</v>
      </c>
      <c r="E39" s="37" t="s">
        <v>1899</v>
      </c>
      <c r="F39" s="37" t="s">
        <v>505</v>
      </c>
      <c r="G39" s="37" t="s">
        <v>1901</v>
      </c>
      <c r="H39" s="37" t="s">
        <v>1920</v>
      </c>
      <c r="I39" s="37" t="s">
        <v>1983</v>
      </c>
      <c r="J39" s="37" t="s">
        <v>1984</v>
      </c>
      <c r="K39" s="37" t="s">
        <v>1985</v>
      </c>
      <c r="L39" s="37" t="s">
        <v>1986</v>
      </c>
      <c r="M39" s="37" t="s">
        <v>1987</v>
      </c>
      <c r="N39" s="37" t="s">
        <v>1907</v>
      </c>
      <c r="O39" s="37" t="s">
        <v>1989</v>
      </c>
      <c r="P39" s="37" t="s">
        <v>1990</v>
      </c>
      <c r="Q39" s="37" t="s">
        <v>393</v>
      </c>
    </row>
    <row r="40" spans="1:17" ht="110.4" hidden="1">
      <c r="A40" s="37" t="s">
        <v>502</v>
      </c>
      <c r="B40" s="37" t="s">
        <v>326</v>
      </c>
      <c r="C40" s="37" t="s">
        <v>650</v>
      </c>
      <c r="D40" s="37" t="s">
        <v>2019</v>
      </c>
      <c r="E40" s="37" t="s">
        <v>2020</v>
      </c>
      <c r="F40" s="37" t="s">
        <v>1899</v>
      </c>
      <c r="G40" s="37" t="s">
        <v>15</v>
      </c>
      <c r="H40" s="37" t="s">
        <v>1938</v>
      </c>
      <c r="I40" s="37" t="s">
        <v>1993</v>
      </c>
      <c r="J40" s="37" t="s">
        <v>1994</v>
      </c>
      <c r="K40" s="37" t="s">
        <v>2021</v>
      </c>
      <c r="L40" s="37" t="s">
        <v>2022</v>
      </c>
      <c r="M40" s="37" t="s">
        <v>1997</v>
      </c>
      <c r="N40" s="37" t="s">
        <v>1907</v>
      </c>
      <c r="O40" s="37" t="s">
        <v>2002</v>
      </c>
      <c r="P40" s="37" t="s">
        <v>1909</v>
      </c>
      <c r="Q40" s="37" t="s">
        <v>393</v>
      </c>
    </row>
    <row r="41" spans="1:17" ht="110.4" hidden="1">
      <c r="A41" s="37" t="s">
        <v>505</v>
      </c>
      <c r="B41" s="37" t="s">
        <v>326</v>
      </c>
      <c r="C41" s="37" t="s">
        <v>1051</v>
      </c>
      <c r="D41" s="37" t="s">
        <v>2018</v>
      </c>
      <c r="E41" s="37" t="s">
        <v>1899</v>
      </c>
      <c r="F41" s="37" t="s">
        <v>505</v>
      </c>
      <c r="G41" s="37" t="s">
        <v>1901</v>
      </c>
      <c r="H41" s="37" t="s">
        <v>1938</v>
      </c>
      <c r="I41" s="37" t="s">
        <v>1983</v>
      </c>
      <c r="J41" s="37" t="s">
        <v>1984</v>
      </c>
      <c r="K41" s="37" t="s">
        <v>2023</v>
      </c>
      <c r="L41" s="37" t="s">
        <v>1986</v>
      </c>
      <c r="M41" s="37" t="s">
        <v>1987</v>
      </c>
      <c r="N41" s="37" t="s">
        <v>1907</v>
      </c>
      <c r="O41" s="37" t="s">
        <v>1989</v>
      </c>
      <c r="P41" s="37" t="s">
        <v>1990</v>
      </c>
      <c r="Q41" s="37" t="s">
        <v>393</v>
      </c>
    </row>
    <row r="42" spans="1:17" ht="110.4" hidden="1">
      <c r="A42" s="37" t="s">
        <v>510</v>
      </c>
      <c r="B42" s="37" t="s">
        <v>326</v>
      </c>
      <c r="C42" s="37" t="s">
        <v>680</v>
      </c>
      <c r="D42" s="37" t="s">
        <v>2019</v>
      </c>
      <c r="E42" s="37" t="s">
        <v>590</v>
      </c>
      <c r="F42" s="37" t="s">
        <v>1899</v>
      </c>
      <c r="G42" s="37" t="s">
        <v>15</v>
      </c>
      <c r="H42" s="37" t="s">
        <v>1938</v>
      </c>
      <c r="I42" s="37" t="s">
        <v>1993</v>
      </c>
      <c r="J42" s="37" t="s">
        <v>1994</v>
      </c>
      <c r="K42" s="37" t="s">
        <v>1995</v>
      </c>
      <c r="L42" s="37" t="s">
        <v>1996</v>
      </c>
      <c r="M42" s="37" t="s">
        <v>1997</v>
      </c>
      <c r="N42" s="37" t="s">
        <v>1907</v>
      </c>
      <c r="O42" s="37" t="s">
        <v>2002</v>
      </c>
      <c r="P42" s="37" t="s">
        <v>1909</v>
      </c>
      <c r="Q42" s="37" t="s">
        <v>393</v>
      </c>
    </row>
    <row r="43" spans="1:17" ht="110.4" hidden="1">
      <c r="A43" s="37" t="s">
        <v>516</v>
      </c>
      <c r="B43" s="37" t="s">
        <v>1637</v>
      </c>
      <c r="C43" s="37" t="s">
        <v>2024</v>
      </c>
      <c r="D43" s="37" t="s">
        <v>2025</v>
      </c>
      <c r="E43" s="37" t="s">
        <v>1899</v>
      </c>
      <c r="F43" s="37" t="s">
        <v>505</v>
      </c>
      <c r="G43" s="37" t="s">
        <v>1901</v>
      </c>
      <c r="H43" s="37" t="s">
        <v>1920</v>
      </c>
      <c r="I43" s="37" t="s">
        <v>1983</v>
      </c>
      <c r="J43" s="37" t="s">
        <v>1984</v>
      </c>
      <c r="K43" s="37" t="s">
        <v>1985</v>
      </c>
      <c r="L43" s="37" t="s">
        <v>1986</v>
      </c>
      <c r="M43" s="37" t="s">
        <v>1987</v>
      </c>
      <c r="N43" s="37" t="s">
        <v>2026</v>
      </c>
      <c r="O43" s="37" t="s">
        <v>1989</v>
      </c>
      <c r="P43" s="37" t="s">
        <v>1990</v>
      </c>
      <c r="Q43" s="37" t="s">
        <v>393</v>
      </c>
    </row>
    <row r="44" spans="1:17" ht="110.4" hidden="1">
      <c r="A44" s="37" t="s">
        <v>519</v>
      </c>
      <c r="B44" s="37" t="s">
        <v>326</v>
      </c>
      <c r="C44" s="37" t="s">
        <v>653</v>
      </c>
      <c r="D44" s="37" t="s">
        <v>2027</v>
      </c>
      <c r="E44" s="37" t="s">
        <v>590</v>
      </c>
      <c r="F44" s="37" t="s">
        <v>1899</v>
      </c>
      <c r="G44" s="37" t="s">
        <v>15</v>
      </c>
      <c r="H44" s="37" t="s">
        <v>1938</v>
      </c>
      <c r="I44" s="37" t="s">
        <v>1993</v>
      </c>
      <c r="J44" s="37" t="s">
        <v>1994</v>
      </c>
      <c r="K44" s="37" t="s">
        <v>1995</v>
      </c>
      <c r="L44" s="37" t="s">
        <v>1996</v>
      </c>
      <c r="M44" s="37" t="s">
        <v>1997</v>
      </c>
      <c r="N44" s="37" t="s">
        <v>2026</v>
      </c>
      <c r="O44" s="37" t="s">
        <v>2002</v>
      </c>
      <c r="P44" s="37" t="s">
        <v>1909</v>
      </c>
      <c r="Q44" s="37" t="s">
        <v>393</v>
      </c>
    </row>
    <row r="45" spans="1:17" ht="110.4" hidden="1">
      <c r="A45" s="37" t="s">
        <v>524</v>
      </c>
      <c r="B45" s="37" t="s">
        <v>1637</v>
      </c>
      <c r="C45" s="37" t="s">
        <v>1043</v>
      </c>
      <c r="D45" s="37" t="s">
        <v>2028</v>
      </c>
      <c r="E45" s="37" t="s">
        <v>1899</v>
      </c>
      <c r="F45" s="37" t="s">
        <v>505</v>
      </c>
      <c r="G45" s="37" t="s">
        <v>1901</v>
      </c>
      <c r="H45" s="37" t="s">
        <v>1920</v>
      </c>
      <c r="I45" s="37" t="s">
        <v>1983</v>
      </c>
      <c r="J45" s="37" t="s">
        <v>1984</v>
      </c>
      <c r="K45" s="37" t="s">
        <v>1985</v>
      </c>
      <c r="L45" s="37" t="s">
        <v>1986</v>
      </c>
      <c r="M45" s="37" t="s">
        <v>1987</v>
      </c>
      <c r="N45" s="37" t="s">
        <v>2029</v>
      </c>
      <c r="O45" s="37" t="s">
        <v>1989</v>
      </c>
      <c r="P45" s="37" t="s">
        <v>1990</v>
      </c>
      <c r="Q45" s="37" t="s">
        <v>393</v>
      </c>
    </row>
    <row r="46" spans="1:17" ht="110.4">
      <c r="A46" s="37" t="s">
        <v>527</v>
      </c>
      <c r="B46" s="37" t="s">
        <v>326</v>
      </c>
      <c r="C46" s="37" t="s">
        <v>657</v>
      </c>
      <c r="D46" s="37" t="s">
        <v>2030</v>
      </c>
      <c r="E46" s="37" t="s">
        <v>2020</v>
      </c>
      <c r="F46" s="37" t="s">
        <v>1899</v>
      </c>
      <c r="G46" s="37" t="s">
        <v>15</v>
      </c>
      <c r="H46" s="37" t="s">
        <v>1938</v>
      </c>
      <c r="I46" s="37" t="s">
        <v>1993</v>
      </c>
      <c r="J46" s="37" t="s">
        <v>1994</v>
      </c>
      <c r="K46" s="37" t="s">
        <v>2021</v>
      </c>
      <c r="L46" s="37" t="s">
        <v>2022</v>
      </c>
      <c r="M46" s="37" t="s">
        <v>1997</v>
      </c>
      <c r="N46" s="37" t="s">
        <v>2029</v>
      </c>
      <c r="O46" s="37" t="s">
        <v>2002</v>
      </c>
      <c r="P46" s="37" t="s">
        <v>1909</v>
      </c>
      <c r="Q46" s="37" t="s">
        <v>393</v>
      </c>
    </row>
    <row r="47" spans="1:17" ht="110.4" hidden="1">
      <c r="A47" s="37" t="s">
        <v>533</v>
      </c>
      <c r="B47" s="37" t="s">
        <v>326</v>
      </c>
      <c r="C47" s="37" t="s">
        <v>1053</v>
      </c>
      <c r="D47" s="37" t="s">
        <v>2028</v>
      </c>
      <c r="E47" s="37" t="s">
        <v>1899</v>
      </c>
      <c r="F47" s="37" t="s">
        <v>505</v>
      </c>
      <c r="G47" s="37" t="s">
        <v>1901</v>
      </c>
      <c r="H47" s="37" t="s">
        <v>1938</v>
      </c>
      <c r="I47" s="37" t="s">
        <v>1983</v>
      </c>
      <c r="J47" s="37" t="s">
        <v>1984</v>
      </c>
      <c r="K47" s="37" t="s">
        <v>2023</v>
      </c>
      <c r="L47" s="37" t="s">
        <v>1986</v>
      </c>
      <c r="M47" s="37" t="s">
        <v>1987</v>
      </c>
      <c r="N47" s="37" t="s">
        <v>2029</v>
      </c>
      <c r="O47" s="37" t="s">
        <v>1989</v>
      </c>
      <c r="P47" s="37" t="s">
        <v>1990</v>
      </c>
      <c r="Q47" s="37" t="s">
        <v>393</v>
      </c>
    </row>
    <row r="48" spans="1:17" ht="110.4">
      <c r="A48" s="37" t="s">
        <v>536</v>
      </c>
      <c r="B48" s="37" t="s">
        <v>326</v>
      </c>
      <c r="C48" s="37" t="s">
        <v>683</v>
      </c>
      <c r="D48" s="37" t="s">
        <v>2030</v>
      </c>
      <c r="E48" s="37" t="s">
        <v>590</v>
      </c>
      <c r="F48" s="37" t="s">
        <v>1899</v>
      </c>
      <c r="G48" s="37" t="s">
        <v>15</v>
      </c>
      <c r="H48" s="37" t="s">
        <v>1938</v>
      </c>
      <c r="I48" s="37" t="s">
        <v>1993</v>
      </c>
      <c r="J48" s="37" t="s">
        <v>1994</v>
      </c>
      <c r="K48" s="37" t="s">
        <v>1995</v>
      </c>
      <c r="L48" s="37" t="s">
        <v>1996</v>
      </c>
      <c r="M48" s="37" t="s">
        <v>1997</v>
      </c>
      <c r="N48" s="37" t="s">
        <v>2029</v>
      </c>
      <c r="O48" s="37" t="s">
        <v>2002</v>
      </c>
      <c r="P48" s="37" t="s">
        <v>1909</v>
      </c>
      <c r="Q48" s="37" t="s">
        <v>393</v>
      </c>
    </row>
    <row r="49" spans="1:17" ht="110.4" hidden="1">
      <c r="A49" s="37" t="s">
        <v>540</v>
      </c>
      <c r="B49" s="37" t="s">
        <v>1637</v>
      </c>
      <c r="C49" s="37" t="s">
        <v>2031</v>
      </c>
      <c r="D49" s="37" t="s">
        <v>2032</v>
      </c>
      <c r="E49" s="37" t="s">
        <v>1899</v>
      </c>
      <c r="F49" s="37" t="s">
        <v>505</v>
      </c>
      <c r="G49" s="37" t="s">
        <v>1901</v>
      </c>
      <c r="H49" s="37" t="s">
        <v>1920</v>
      </c>
      <c r="I49" s="37" t="s">
        <v>1983</v>
      </c>
      <c r="J49" s="37" t="s">
        <v>1984</v>
      </c>
      <c r="K49" s="37" t="s">
        <v>1985</v>
      </c>
      <c r="L49" s="37" t="s">
        <v>1986</v>
      </c>
      <c r="M49" s="37" t="s">
        <v>1987</v>
      </c>
      <c r="N49" s="37" t="s">
        <v>2033</v>
      </c>
      <c r="O49" s="37" t="s">
        <v>1989</v>
      </c>
      <c r="P49" s="37" t="s">
        <v>1990</v>
      </c>
      <c r="Q49" s="37" t="s">
        <v>393</v>
      </c>
    </row>
    <row r="50" spans="1:17" ht="110.4" hidden="1">
      <c r="A50" s="37" t="s">
        <v>543</v>
      </c>
      <c r="B50" s="37" t="s">
        <v>326</v>
      </c>
      <c r="C50" s="37" t="s">
        <v>661</v>
      </c>
      <c r="D50" s="37" t="s">
        <v>2034</v>
      </c>
      <c r="E50" s="37" t="s">
        <v>2035</v>
      </c>
      <c r="F50" s="37" t="s">
        <v>1899</v>
      </c>
      <c r="G50" s="37" t="s">
        <v>15</v>
      </c>
      <c r="H50" s="37" t="s">
        <v>1938</v>
      </c>
      <c r="I50" s="37" t="s">
        <v>1993</v>
      </c>
      <c r="J50" s="37" t="s">
        <v>1994</v>
      </c>
      <c r="K50" s="37" t="s">
        <v>2036</v>
      </c>
      <c r="L50" s="37" t="s">
        <v>2022</v>
      </c>
      <c r="M50" s="37" t="s">
        <v>1997</v>
      </c>
      <c r="N50" s="37" t="s">
        <v>2033</v>
      </c>
      <c r="O50" s="37" t="s">
        <v>2002</v>
      </c>
      <c r="P50" s="37" t="s">
        <v>1909</v>
      </c>
      <c r="Q50" s="37" t="s">
        <v>393</v>
      </c>
    </row>
    <row r="51" spans="1:17" ht="110.4" hidden="1">
      <c r="A51" s="37" t="s">
        <v>532</v>
      </c>
      <c r="B51" s="37" t="s">
        <v>326</v>
      </c>
      <c r="C51" s="37" t="s">
        <v>2037</v>
      </c>
      <c r="D51" s="37" t="s">
        <v>2032</v>
      </c>
      <c r="E51" s="37" t="s">
        <v>1899</v>
      </c>
      <c r="F51" s="37" t="s">
        <v>505</v>
      </c>
      <c r="G51" s="37" t="s">
        <v>1901</v>
      </c>
      <c r="H51" s="37" t="s">
        <v>1938</v>
      </c>
      <c r="I51" s="37" t="s">
        <v>1983</v>
      </c>
      <c r="J51" s="37" t="s">
        <v>1984</v>
      </c>
      <c r="K51" s="37" t="s">
        <v>2023</v>
      </c>
      <c r="L51" s="37" t="s">
        <v>1986</v>
      </c>
      <c r="M51" s="37" t="s">
        <v>1987</v>
      </c>
      <c r="N51" s="37" t="s">
        <v>2033</v>
      </c>
      <c r="O51" s="37" t="s">
        <v>1989</v>
      </c>
      <c r="P51" s="37" t="s">
        <v>1990</v>
      </c>
      <c r="Q51" s="37" t="s">
        <v>393</v>
      </c>
    </row>
    <row r="52" spans="1:17" ht="110.4" hidden="1">
      <c r="A52" s="37" t="s">
        <v>549</v>
      </c>
      <c r="B52" s="37" t="s">
        <v>326</v>
      </c>
      <c r="C52" s="37" t="s">
        <v>686</v>
      </c>
      <c r="D52" s="37" t="s">
        <v>2034</v>
      </c>
      <c r="E52" s="37" t="s">
        <v>590</v>
      </c>
      <c r="F52" s="37" t="s">
        <v>1899</v>
      </c>
      <c r="G52" s="37" t="s">
        <v>15</v>
      </c>
      <c r="H52" s="37" t="s">
        <v>1938</v>
      </c>
      <c r="I52" s="37" t="s">
        <v>1993</v>
      </c>
      <c r="J52" s="37" t="s">
        <v>1994</v>
      </c>
      <c r="K52" s="37" t="s">
        <v>1995</v>
      </c>
      <c r="L52" s="37" t="s">
        <v>1996</v>
      </c>
      <c r="M52" s="37" t="s">
        <v>1997</v>
      </c>
      <c r="N52" s="37" t="s">
        <v>2033</v>
      </c>
      <c r="O52" s="37" t="s">
        <v>2002</v>
      </c>
      <c r="P52" s="37" t="s">
        <v>1909</v>
      </c>
      <c r="Q52" s="37" t="s">
        <v>393</v>
      </c>
    </row>
    <row r="53" spans="1:17" ht="110.4" hidden="1">
      <c r="A53" s="37" t="s">
        <v>553</v>
      </c>
      <c r="B53" s="37" t="s">
        <v>326</v>
      </c>
      <c r="C53" s="37" t="s">
        <v>1045</v>
      </c>
      <c r="D53" s="37" t="s">
        <v>2038</v>
      </c>
      <c r="E53" s="37" t="s">
        <v>1899</v>
      </c>
      <c r="F53" s="37" t="s">
        <v>505</v>
      </c>
      <c r="G53" s="37" t="s">
        <v>1901</v>
      </c>
      <c r="H53" s="37" t="s">
        <v>1920</v>
      </c>
      <c r="I53" s="37" t="s">
        <v>1983</v>
      </c>
      <c r="J53" s="37" t="s">
        <v>1984</v>
      </c>
      <c r="K53" s="37" t="s">
        <v>1985</v>
      </c>
      <c r="L53" s="37" t="s">
        <v>1986</v>
      </c>
      <c r="M53" s="37" t="s">
        <v>1987</v>
      </c>
      <c r="N53" s="37" t="s">
        <v>2039</v>
      </c>
      <c r="O53" s="37" t="s">
        <v>1989</v>
      </c>
      <c r="P53" s="37" t="s">
        <v>1990</v>
      </c>
      <c r="Q53" s="37" t="s">
        <v>393</v>
      </c>
    </row>
    <row r="54" spans="1:17" ht="110.4" hidden="1">
      <c r="A54" s="37" t="s">
        <v>556</v>
      </c>
      <c r="B54" s="37" t="s">
        <v>326</v>
      </c>
      <c r="C54" s="37" t="s">
        <v>664</v>
      </c>
      <c r="D54" s="37" t="s">
        <v>2040</v>
      </c>
      <c r="E54" s="37" t="s">
        <v>590</v>
      </c>
      <c r="F54" s="37" t="s">
        <v>1899</v>
      </c>
      <c r="G54" s="37" t="s">
        <v>15</v>
      </c>
      <c r="H54" s="37" t="s">
        <v>1938</v>
      </c>
      <c r="I54" s="37" t="s">
        <v>1993</v>
      </c>
      <c r="J54" s="37" t="s">
        <v>1994</v>
      </c>
      <c r="K54" s="37" t="s">
        <v>1995</v>
      </c>
      <c r="L54" s="37" t="s">
        <v>2041</v>
      </c>
      <c r="M54" s="37" t="s">
        <v>1997</v>
      </c>
      <c r="N54" s="37" t="s">
        <v>2039</v>
      </c>
      <c r="O54" s="37" t="s">
        <v>2002</v>
      </c>
      <c r="P54" s="37" t="s">
        <v>1909</v>
      </c>
      <c r="Q54" s="37" t="s">
        <v>393</v>
      </c>
    </row>
    <row r="55" spans="1:17" ht="110.4" hidden="1">
      <c r="A55" s="37" t="s">
        <v>559</v>
      </c>
      <c r="B55" s="37" t="s">
        <v>326</v>
      </c>
      <c r="C55" s="37" t="s">
        <v>1047</v>
      </c>
      <c r="D55" s="37" t="s">
        <v>2038</v>
      </c>
      <c r="E55" s="37" t="s">
        <v>1899</v>
      </c>
      <c r="F55" s="37" t="s">
        <v>505</v>
      </c>
      <c r="G55" s="37" t="s">
        <v>1901</v>
      </c>
      <c r="H55" s="37" t="s">
        <v>1920</v>
      </c>
      <c r="I55" s="37" t="s">
        <v>1983</v>
      </c>
      <c r="J55" s="37" t="s">
        <v>1984</v>
      </c>
      <c r="K55" s="37" t="s">
        <v>1985</v>
      </c>
      <c r="L55" s="37" t="s">
        <v>1986</v>
      </c>
      <c r="M55" s="37" t="s">
        <v>1987</v>
      </c>
      <c r="N55" s="37" t="s">
        <v>2039</v>
      </c>
      <c r="O55" s="37" t="s">
        <v>1989</v>
      </c>
      <c r="P55" s="37" t="s">
        <v>1990</v>
      </c>
      <c r="Q55" s="37" t="s">
        <v>393</v>
      </c>
    </row>
    <row r="56" spans="1:17" ht="110.4" hidden="1">
      <c r="A56" s="37" t="s">
        <v>562</v>
      </c>
      <c r="B56" s="37" t="s">
        <v>326</v>
      </c>
      <c r="C56" s="37" t="s">
        <v>669</v>
      </c>
      <c r="D56" s="37" t="s">
        <v>2040</v>
      </c>
      <c r="E56" s="37" t="s">
        <v>590</v>
      </c>
      <c r="F56" s="37" t="s">
        <v>1899</v>
      </c>
      <c r="G56" s="37" t="s">
        <v>15</v>
      </c>
      <c r="H56" s="37" t="s">
        <v>1938</v>
      </c>
      <c r="I56" s="37" t="s">
        <v>1993</v>
      </c>
      <c r="J56" s="37" t="s">
        <v>1994</v>
      </c>
      <c r="K56" s="37" t="s">
        <v>1995</v>
      </c>
      <c r="L56" s="37" t="s">
        <v>2041</v>
      </c>
      <c r="M56" s="37" t="s">
        <v>1997</v>
      </c>
      <c r="N56" s="37" t="s">
        <v>2039</v>
      </c>
      <c r="O56" s="37" t="s">
        <v>2002</v>
      </c>
      <c r="P56" s="37" t="s">
        <v>1909</v>
      </c>
      <c r="Q56" s="37" t="s">
        <v>393</v>
      </c>
    </row>
    <row r="57" spans="1:17" ht="110.4" hidden="1">
      <c r="A57" s="37" t="s">
        <v>566</v>
      </c>
      <c r="B57" s="37" t="s">
        <v>326</v>
      </c>
      <c r="C57" s="37" t="s">
        <v>1049</v>
      </c>
      <c r="D57" s="37" t="s">
        <v>2038</v>
      </c>
      <c r="E57" s="37" t="s">
        <v>1899</v>
      </c>
      <c r="F57" s="37" t="s">
        <v>505</v>
      </c>
      <c r="G57" s="37" t="s">
        <v>1901</v>
      </c>
      <c r="H57" s="37" t="s">
        <v>1920</v>
      </c>
      <c r="I57" s="37" t="s">
        <v>1983</v>
      </c>
      <c r="J57" s="37" t="s">
        <v>1984</v>
      </c>
      <c r="K57" s="37" t="s">
        <v>1985</v>
      </c>
      <c r="L57" s="37" t="s">
        <v>1986</v>
      </c>
      <c r="M57" s="37" t="s">
        <v>1987</v>
      </c>
      <c r="N57" s="37" t="s">
        <v>2039</v>
      </c>
      <c r="O57" s="37" t="s">
        <v>1989</v>
      </c>
      <c r="P57" s="37" t="s">
        <v>1990</v>
      </c>
      <c r="Q57" s="37" t="s">
        <v>393</v>
      </c>
    </row>
    <row r="58" spans="1:17" ht="110.4" hidden="1">
      <c r="A58" s="37" t="s">
        <v>569</v>
      </c>
      <c r="B58" s="37" t="s">
        <v>326</v>
      </c>
      <c r="C58" s="37" t="s">
        <v>671</v>
      </c>
      <c r="D58" s="37" t="s">
        <v>2040</v>
      </c>
      <c r="E58" s="37" t="s">
        <v>590</v>
      </c>
      <c r="F58" s="37" t="s">
        <v>1899</v>
      </c>
      <c r="G58" s="37" t="s">
        <v>15</v>
      </c>
      <c r="H58" s="37" t="s">
        <v>1938</v>
      </c>
      <c r="I58" s="37" t="s">
        <v>1993</v>
      </c>
      <c r="J58" s="37" t="s">
        <v>1994</v>
      </c>
      <c r="K58" s="37" t="s">
        <v>1995</v>
      </c>
      <c r="L58" s="37" t="s">
        <v>2041</v>
      </c>
      <c r="M58" s="37" t="s">
        <v>1997</v>
      </c>
      <c r="N58" s="37" t="s">
        <v>2039</v>
      </c>
      <c r="O58" s="37" t="s">
        <v>2002</v>
      </c>
      <c r="P58" s="37" t="s">
        <v>1909</v>
      </c>
      <c r="Q58" s="37" t="s">
        <v>393</v>
      </c>
    </row>
    <row r="59" spans="1:17" ht="110.4" hidden="1">
      <c r="A59" s="37" t="s">
        <v>573</v>
      </c>
      <c r="B59" s="37" t="s">
        <v>326</v>
      </c>
      <c r="C59" s="37" t="s">
        <v>2042</v>
      </c>
      <c r="D59" s="37" t="s">
        <v>2043</v>
      </c>
      <c r="E59" s="37" t="s">
        <v>1899</v>
      </c>
      <c r="F59" s="37" t="s">
        <v>505</v>
      </c>
      <c r="G59" s="37" t="s">
        <v>1901</v>
      </c>
      <c r="H59" s="37" t="s">
        <v>1938</v>
      </c>
      <c r="I59" s="37" t="s">
        <v>1983</v>
      </c>
      <c r="J59" s="37" t="s">
        <v>1984</v>
      </c>
      <c r="K59" s="37" t="s">
        <v>1985</v>
      </c>
      <c r="L59" s="37" t="s">
        <v>2044</v>
      </c>
      <c r="M59" s="37" t="s">
        <v>1987</v>
      </c>
      <c r="N59" s="37" t="s">
        <v>2045</v>
      </c>
      <c r="O59" s="37" t="s">
        <v>2046</v>
      </c>
      <c r="P59" s="37" t="s">
        <v>2047</v>
      </c>
      <c r="Q59" s="37" t="s">
        <v>393</v>
      </c>
    </row>
    <row r="60" spans="1:17" ht="110.4" hidden="1">
      <c r="A60" s="37" t="s">
        <v>576</v>
      </c>
      <c r="B60" s="37" t="s">
        <v>326</v>
      </c>
      <c r="C60" s="37" t="s">
        <v>1533</v>
      </c>
      <c r="D60" s="37" t="s">
        <v>2048</v>
      </c>
      <c r="E60" s="37" t="s">
        <v>590</v>
      </c>
      <c r="F60" s="37" t="s">
        <v>1899</v>
      </c>
      <c r="G60" s="37" t="s">
        <v>15</v>
      </c>
      <c r="H60" s="37" t="s">
        <v>1938</v>
      </c>
      <c r="I60" s="37" t="s">
        <v>1993</v>
      </c>
      <c r="J60" s="37" t="s">
        <v>1994</v>
      </c>
      <c r="K60" s="37" t="s">
        <v>1995</v>
      </c>
      <c r="L60" s="37" t="s">
        <v>2049</v>
      </c>
      <c r="M60" s="37" t="s">
        <v>1997</v>
      </c>
      <c r="N60" s="37" t="s">
        <v>2045</v>
      </c>
      <c r="O60" s="37" t="s">
        <v>1998</v>
      </c>
      <c r="P60" s="37" t="s">
        <v>1909</v>
      </c>
      <c r="Q60" s="37" t="s">
        <v>393</v>
      </c>
    </row>
    <row r="61" spans="1:17" ht="110.4" hidden="1">
      <c r="A61" s="37" t="s">
        <v>580</v>
      </c>
      <c r="B61" s="37" t="s">
        <v>326</v>
      </c>
      <c r="C61" s="37" t="s">
        <v>2050</v>
      </c>
      <c r="D61" s="37" t="s">
        <v>2051</v>
      </c>
      <c r="E61" s="37" t="s">
        <v>1899</v>
      </c>
      <c r="F61" s="37" t="s">
        <v>505</v>
      </c>
      <c r="G61" s="37" t="s">
        <v>1901</v>
      </c>
      <c r="H61" s="37" t="s">
        <v>1920</v>
      </c>
      <c r="I61" s="37" t="s">
        <v>1983</v>
      </c>
      <c r="J61" s="37" t="s">
        <v>1984</v>
      </c>
      <c r="K61" s="37" t="s">
        <v>1985</v>
      </c>
      <c r="L61" s="37" t="s">
        <v>2044</v>
      </c>
      <c r="M61" s="37" t="s">
        <v>1987</v>
      </c>
      <c r="N61" s="37" t="s">
        <v>2052</v>
      </c>
      <c r="O61" s="37" t="s">
        <v>1989</v>
      </c>
      <c r="P61" s="37" t="s">
        <v>2053</v>
      </c>
      <c r="Q61" s="37" t="s">
        <v>393</v>
      </c>
    </row>
    <row r="62" spans="1:17" ht="110.4" hidden="1">
      <c r="A62" s="37" t="s">
        <v>583</v>
      </c>
      <c r="B62" s="37" t="s">
        <v>326</v>
      </c>
      <c r="C62" s="37" t="s">
        <v>673</v>
      </c>
      <c r="D62" s="37" t="s">
        <v>2054</v>
      </c>
      <c r="E62" s="37" t="s">
        <v>590</v>
      </c>
      <c r="F62" s="37" t="s">
        <v>1899</v>
      </c>
      <c r="G62" s="37" t="s">
        <v>15</v>
      </c>
      <c r="H62" s="37" t="s">
        <v>1938</v>
      </c>
      <c r="I62" s="37" t="s">
        <v>1993</v>
      </c>
      <c r="J62" s="37" t="s">
        <v>1994</v>
      </c>
      <c r="K62" s="37" t="s">
        <v>1995</v>
      </c>
      <c r="L62" s="37" t="s">
        <v>2049</v>
      </c>
      <c r="M62" s="37" t="s">
        <v>1997</v>
      </c>
      <c r="N62" s="37" t="s">
        <v>2052</v>
      </c>
      <c r="O62" s="37" t="s">
        <v>2002</v>
      </c>
      <c r="P62" s="37" t="s">
        <v>1909</v>
      </c>
      <c r="Q62" s="37" t="s">
        <v>393</v>
      </c>
    </row>
    <row r="63" spans="1:17" ht="110.4" hidden="1">
      <c r="A63" s="37" t="s">
        <v>587</v>
      </c>
      <c r="B63" s="37" t="s">
        <v>326</v>
      </c>
      <c r="C63" s="37" t="s">
        <v>2055</v>
      </c>
      <c r="D63" s="37" t="s">
        <v>2056</v>
      </c>
      <c r="E63" s="37" t="s">
        <v>1899</v>
      </c>
      <c r="F63" s="37" t="s">
        <v>505</v>
      </c>
      <c r="G63" s="37" t="s">
        <v>1901</v>
      </c>
      <c r="H63" s="37" t="s">
        <v>1920</v>
      </c>
      <c r="I63" s="37" t="s">
        <v>1983</v>
      </c>
      <c r="J63" s="37" t="s">
        <v>1984</v>
      </c>
      <c r="K63" s="37" t="s">
        <v>1985</v>
      </c>
      <c r="L63" s="37" t="s">
        <v>2044</v>
      </c>
      <c r="M63" s="37" t="s">
        <v>1987</v>
      </c>
      <c r="N63" s="37" t="s">
        <v>2057</v>
      </c>
      <c r="O63" s="37" t="s">
        <v>1989</v>
      </c>
      <c r="P63" s="37" t="s">
        <v>2053</v>
      </c>
      <c r="Q63" s="37" t="s">
        <v>393</v>
      </c>
    </row>
    <row r="64" spans="1:17" ht="110.4" hidden="1">
      <c r="A64" s="37" t="s">
        <v>590</v>
      </c>
      <c r="B64" s="37" t="s">
        <v>326</v>
      </c>
      <c r="C64" s="37" t="s">
        <v>677</v>
      </c>
      <c r="D64" s="37" t="s">
        <v>2058</v>
      </c>
      <c r="E64" s="37" t="s">
        <v>590</v>
      </c>
      <c r="F64" s="37" t="s">
        <v>1899</v>
      </c>
      <c r="G64" s="37" t="s">
        <v>15</v>
      </c>
      <c r="H64" s="37" t="s">
        <v>1938</v>
      </c>
      <c r="I64" s="37" t="s">
        <v>1993</v>
      </c>
      <c r="J64" s="37" t="s">
        <v>1994</v>
      </c>
      <c r="K64" s="37" t="s">
        <v>1995</v>
      </c>
      <c r="L64" s="37" t="s">
        <v>2049</v>
      </c>
      <c r="M64" s="37" t="s">
        <v>1997</v>
      </c>
      <c r="N64" s="37" t="s">
        <v>2057</v>
      </c>
      <c r="O64" s="37" t="s">
        <v>2002</v>
      </c>
      <c r="P64" s="37" t="s">
        <v>1909</v>
      </c>
      <c r="Q64" s="37" t="s">
        <v>393</v>
      </c>
    </row>
    <row r="65" spans="1:17" ht="110.4" hidden="1">
      <c r="A65" s="37" t="s">
        <v>595</v>
      </c>
      <c r="B65" s="37" t="s">
        <v>1637</v>
      </c>
      <c r="C65" s="37" t="s">
        <v>1243</v>
      </c>
      <c r="D65" s="37" t="s">
        <v>2059</v>
      </c>
      <c r="E65" s="37" t="s">
        <v>1899</v>
      </c>
      <c r="F65" s="37" t="s">
        <v>505</v>
      </c>
      <c r="G65" s="37" t="s">
        <v>1901</v>
      </c>
      <c r="H65" s="37" t="s">
        <v>1938</v>
      </c>
      <c r="I65" s="37" t="s">
        <v>1983</v>
      </c>
      <c r="J65" s="37" t="s">
        <v>1984</v>
      </c>
      <c r="K65" s="37" t="s">
        <v>2023</v>
      </c>
      <c r="L65" s="37" t="s">
        <v>1986</v>
      </c>
      <c r="M65" s="37" t="s">
        <v>1987</v>
      </c>
      <c r="N65" s="37" t="s">
        <v>1988</v>
      </c>
      <c r="O65" s="37" t="s">
        <v>1989</v>
      </c>
      <c r="P65" s="37" t="s">
        <v>1990</v>
      </c>
      <c r="Q65" s="37" t="s">
        <v>393</v>
      </c>
    </row>
    <row r="66" spans="1:17" ht="110.4" hidden="1">
      <c r="A66" s="37" t="s">
        <v>598</v>
      </c>
      <c r="B66" s="37" t="s">
        <v>1637</v>
      </c>
      <c r="C66" s="37" t="s">
        <v>2060</v>
      </c>
      <c r="D66" s="37" t="s">
        <v>2061</v>
      </c>
      <c r="E66" s="37" t="s">
        <v>590</v>
      </c>
      <c r="F66" s="37" t="s">
        <v>1899</v>
      </c>
      <c r="G66" s="37" t="s">
        <v>15</v>
      </c>
      <c r="H66" s="37" t="s">
        <v>1938</v>
      </c>
      <c r="I66" s="37" t="s">
        <v>1993</v>
      </c>
      <c r="J66" s="37" t="s">
        <v>1994</v>
      </c>
      <c r="K66" s="37" t="s">
        <v>1995</v>
      </c>
      <c r="L66" s="37" t="s">
        <v>2041</v>
      </c>
      <c r="M66" s="37" t="s">
        <v>1997</v>
      </c>
      <c r="N66" s="37" t="s">
        <v>1988</v>
      </c>
      <c r="O66" s="37" t="s">
        <v>1998</v>
      </c>
      <c r="P66" s="37" t="s">
        <v>1909</v>
      </c>
      <c r="Q66" s="37" t="s">
        <v>393</v>
      </c>
    </row>
    <row r="67" spans="1:17" ht="110.4" hidden="1">
      <c r="A67" s="37" t="s">
        <v>605</v>
      </c>
      <c r="B67" s="37" t="s">
        <v>1637</v>
      </c>
      <c r="C67" s="37" t="s">
        <v>1247</v>
      </c>
      <c r="D67" s="37" t="s">
        <v>2062</v>
      </c>
      <c r="E67" s="37" t="s">
        <v>1899</v>
      </c>
      <c r="F67" s="37" t="s">
        <v>505</v>
      </c>
      <c r="G67" s="37" t="s">
        <v>1901</v>
      </c>
      <c r="H67" s="37" t="s">
        <v>1938</v>
      </c>
      <c r="I67" s="37" t="s">
        <v>1983</v>
      </c>
      <c r="J67" s="37" t="s">
        <v>1984</v>
      </c>
      <c r="K67" s="37" t="s">
        <v>2023</v>
      </c>
      <c r="L67" s="37" t="s">
        <v>1986</v>
      </c>
      <c r="M67" s="37" t="s">
        <v>1987</v>
      </c>
      <c r="N67" s="37" t="s">
        <v>2000</v>
      </c>
      <c r="O67" s="37" t="s">
        <v>1989</v>
      </c>
      <c r="P67" s="37" t="s">
        <v>1990</v>
      </c>
      <c r="Q67" s="37" t="s">
        <v>393</v>
      </c>
    </row>
    <row r="68" spans="1:17" ht="110.4" hidden="1">
      <c r="A68" s="37" t="s">
        <v>608</v>
      </c>
      <c r="B68" s="37" t="s">
        <v>326</v>
      </c>
      <c r="C68" s="37" t="s">
        <v>809</v>
      </c>
      <c r="D68" s="37" t="s">
        <v>2063</v>
      </c>
      <c r="E68" s="37" t="s">
        <v>590</v>
      </c>
      <c r="F68" s="37" t="s">
        <v>1899</v>
      </c>
      <c r="G68" s="37" t="s">
        <v>15</v>
      </c>
      <c r="H68" s="37" t="s">
        <v>1938</v>
      </c>
      <c r="I68" s="37" t="s">
        <v>1993</v>
      </c>
      <c r="J68" s="37" t="s">
        <v>1994</v>
      </c>
      <c r="K68" s="37" t="s">
        <v>1995</v>
      </c>
      <c r="L68" s="37" t="s">
        <v>1996</v>
      </c>
      <c r="M68" s="37" t="s">
        <v>1997</v>
      </c>
      <c r="N68" s="37" t="s">
        <v>2000</v>
      </c>
      <c r="O68" s="37" t="s">
        <v>2002</v>
      </c>
      <c r="P68" s="37" t="s">
        <v>1909</v>
      </c>
      <c r="Q68" s="37" t="s">
        <v>393</v>
      </c>
    </row>
    <row r="69" spans="1:17" ht="110.4" hidden="1">
      <c r="A69" s="37" t="s">
        <v>615</v>
      </c>
      <c r="B69" s="37" t="s">
        <v>1637</v>
      </c>
      <c r="C69" s="37" t="s">
        <v>1249</v>
      </c>
      <c r="D69" s="37" t="s">
        <v>2062</v>
      </c>
      <c r="E69" s="37" t="s">
        <v>1899</v>
      </c>
      <c r="F69" s="37" t="s">
        <v>505</v>
      </c>
      <c r="G69" s="37" t="s">
        <v>1901</v>
      </c>
      <c r="H69" s="37" t="s">
        <v>1938</v>
      </c>
      <c r="I69" s="37" t="s">
        <v>1983</v>
      </c>
      <c r="J69" s="37" t="s">
        <v>1984</v>
      </c>
      <c r="K69" s="37" t="s">
        <v>2023</v>
      </c>
      <c r="L69" s="37" t="s">
        <v>1986</v>
      </c>
      <c r="M69" s="37" t="s">
        <v>1987</v>
      </c>
      <c r="N69" s="37" t="s">
        <v>2000</v>
      </c>
      <c r="O69" s="37" t="s">
        <v>1989</v>
      </c>
      <c r="P69" s="37" t="s">
        <v>1990</v>
      </c>
      <c r="Q69" s="37" t="s">
        <v>393</v>
      </c>
    </row>
    <row r="70" spans="1:17" ht="110.4" hidden="1">
      <c r="A70" s="37" t="s">
        <v>618</v>
      </c>
      <c r="B70" s="37" t="s">
        <v>326</v>
      </c>
      <c r="C70" s="37" t="s">
        <v>913</v>
      </c>
      <c r="D70" s="37" t="s">
        <v>2064</v>
      </c>
      <c r="E70" s="37" t="s">
        <v>590</v>
      </c>
      <c r="F70" s="37" t="s">
        <v>1899</v>
      </c>
      <c r="G70" s="37" t="s">
        <v>15</v>
      </c>
      <c r="H70" s="37" t="s">
        <v>1938</v>
      </c>
      <c r="I70" s="37" t="s">
        <v>1993</v>
      </c>
      <c r="J70" s="37" t="s">
        <v>1994</v>
      </c>
      <c r="K70" s="37" t="s">
        <v>1995</v>
      </c>
      <c r="L70" s="37" t="s">
        <v>1996</v>
      </c>
      <c r="M70" s="37" t="s">
        <v>1997</v>
      </c>
      <c r="N70" s="37" t="s">
        <v>2000</v>
      </c>
      <c r="O70" s="37" t="s">
        <v>2002</v>
      </c>
      <c r="P70" s="37" t="s">
        <v>1909</v>
      </c>
      <c r="Q70" s="37" t="s">
        <v>393</v>
      </c>
    </row>
    <row r="71" spans="1:17" ht="110.4" hidden="1">
      <c r="A71" s="37" t="s">
        <v>623</v>
      </c>
      <c r="B71" s="37" t="s">
        <v>1637</v>
      </c>
      <c r="C71" s="37" t="s">
        <v>2065</v>
      </c>
      <c r="D71" s="37" t="s">
        <v>2066</v>
      </c>
      <c r="E71" s="37" t="s">
        <v>1899</v>
      </c>
      <c r="F71" s="37" t="s">
        <v>505</v>
      </c>
      <c r="G71" s="37" t="s">
        <v>1901</v>
      </c>
      <c r="H71" s="37" t="s">
        <v>1938</v>
      </c>
      <c r="I71" s="37" t="s">
        <v>1983</v>
      </c>
      <c r="J71" s="37" t="s">
        <v>1984</v>
      </c>
      <c r="K71" s="37" t="s">
        <v>2023</v>
      </c>
      <c r="L71" s="37" t="s">
        <v>1986</v>
      </c>
      <c r="M71" s="37" t="s">
        <v>1987</v>
      </c>
      <c r="N71" s="37" t="s">
        <v>2006</v>
      </c>
      <c r="O71" s="37" t="s">
        <v>1989</v>
      </c>
      <c r="P71" s="37" t="s">
        <v>1990</v>
      </c>
      <c r="Q71" s="37" t="s">
        <v>393</v>
      </c>
    </row>
    <row r="72" spans="1:17" ht="110.4" hidden="1">
      <c r="A72" s="37" t="s">
        <v>628</v>
      </c>
      <c r="B72" s="37" t="s">
        <v>326</v>
      </c>
      <c r="C72" s="37" t="s">
        <v>812</v>
      </c>
      <c r="D72" s="37" t="s">
        <v>2067</v>
      </c>
      <c r="E72" s="37" t="s">
        <v>590</v>
      </c>
      <c r="F72" s="37" t="s">
        <v>1899</v>
      </c>
      <c r="G72" s="37" t="s">
        <v>15</v>
      </c>
      <c r="H72" s="37" t="s">
        <v>1938</v>
      </c>
      <c r="I72" s="37" t="s">
        <v>1993</v>
      </c>
      <c r="J72" s="37" t="s">
        <v>1994</v>
      </c>
      <c r="K72" s="37" t="s">
        <v>1995</v>
      </c>
      <c r="L72" s="37" t="s">
        <v>1996</v>
      </c>
      <c r="M72" s="37" t="s">
        <v>1997</v>
      </c>
      <c r="N72" s="37" t="s">
        <v>2006</v>
      </c>
      <c r="O72" s="37" t="s">
        <v>2002</v>
      </c>
      <c r="P72" s="37" t="s">
        <v>1909</v>
      </c>
      <c r="Q72" s="37" t="s">
        <v>393</v>
      </c>
    </row>
    <row r="73" spans="1:17" ht="110.4" hidden="1">
      <c r="A73" s="37" t="s">
        <v>633</v>
      </c>
      <c r="B73" s="37" t="s">
        <v>1637</v>
      </c>
      <c r="C73" s="37" t="s">
        <v>2068</v>
      </c>
      <c r="D73" s="37" t="s">
        <v>2066</v>
      </c>
      <c r="E73" s="37" t="s">
        <v>1899</v>
      </c>
      <c r="F73" s="37" t="s">
        <v>505</v>
      </c>
      <c r="G73" s="37" t="s">
        <v>1901</v>
      </c>
      <c r="H73" s="37" t="s">
        <v>1938</v>
      </c>
      <c r="I73" s="37" t="s">
        <v>1983</v>
      </c>
      <c r="J73" s="37" t="s">
        <v>1984</v>
      </c>
      <c r="K73" s="37" t="s">
        <v>2023</v>
      </c>
      <c r="L73" s="37" t="s">
        <v>1986</v>
      </c>
      <c r="M73" s="37" t="s">
        <v>1987</v>
      </c>
      <c r="N73" s="37" t="s">
        <v>2006</v>
      </c>
      <c r="O73" s="37" t="s">
        <v>1989</v>
      </c>
      <c r="P73" s="37" t="s">
        <v>1990</v>
      </c>
      <c r="Q73" s="37" t="s">
        <v>393</v>
      </c>
    </row>
    <row r="74" spans="1:17" ht="110.4" hidden="1">
      <c r="A74" s="37" t="s">
        <v>637</v>
      </c>
      <c r="B74" s="37" t="s">
        <v>326</v>
      </c>
      <c r="C74" s="37" t="s">
        <v>916</v>
      </c>
      <c r="D74" s="37" t="s">
        <v>2069</v>
      </c>
      <c r="E74" s="37" t="s">
        <v>590</v>
      </c>
      <c r="F74" s="37" t="s">
        <v>1899</v>
      </c>
      <c r="G74" s="37" t="s">
        <v>15</v>
      </c>
      <c r="H74" s="37" t="s">
        <v>1938</v>
      </c>
      <c r="I74" s="37" t="s">
        <v>1993</v>
      </c>
      <c r="J74" s="37" t="s">
        <v>1994</v>
      </c>
      <c r="K74" s="37" t="s">
        <v>1995</v>
      </c>
      <c r="L74" s="37" t="s">
        <v>1996</v>
      </c>
      <c r="M74" s="37" t="s">
        <v>1997</v>
      </c>
      <c r="N74" s="37" t="s">
        <v>2006</v>
      </c>
      <c r="O74" s="37" t="s">
        <v>2002</v>
      </c>
      <c r="P74" s="37" t="s">
        <v>1909</v>
      </c>
      <c r="Q74" s="37" t="s">
        <v>393</v>
      </c>
    </row>
    <row r="75" spans="1:17" ht="110.4" hidden="1">
      <c r="A75" s="37" t="s">
        <v>641</v>
      </c>
      <c r="B75" s="37" t="s">
        <v>1637</v>
      </c>
      <c r="C75" s="37" t="s">
        <v>1251</v>
      </c>
      <c r="D75" s="37" t="s">
        <v>2070</v>
      </c>
      <c r="E75" s="37" t="s">
        <v>1899</v>
      </c>
      <c r="F75" s="37" t="s">
        <v>505</v>
      </c>
      <c r="G75" s="37" t="s">
        <v>1901</v>
      </c>
      <c r="H75" s="37" t="s">
        <v>1938</v>
      </c>
      <c r="I75" s="37" t="s">
        <v>1983</v>
      </c>
      <c r="J75" s="37" t="s">
        <v>1984</v>
      </c>
      <c r="K75" s="37" t="s">
        <v>2023</v>
      </c>
      <c r="L75" s="37" t="s">
        <v>1986</v>
      </c>
      <c r="M75" s="37" t="s">
        <v>1987</v>
      </c>
      <c r="N75" s="37" t="s">
        <v>2009</v>
      </c>
      <c r="O75" s="37" t="s">
        <v>1989</v>
      </c>
      <c r="P75" s="37" t="s">
        <v>1990</v>
      </c>
      <c r="Q75" s="37" t="s">
        <v>393</v>
      </c>
    </row>
    <row r="76" spans="1:17" ht="110.4" hidden="1">
      <c r="A76" s="37" t="s">
        <v>645</v>
      </c>
      <c r="B76" s="37" t="s">
        <v>326</v>
      </c>
      <c r="C76" s="37" t="s">
        <v>815</v>
      </c>
      <c r="D76" s="37" t="s">
        <v>2071</v>
      </c>
      <c r="E76" s="37" t="s">
        <v>590</v>
      </c>
      <c r="F76" s="37" t="s">
        <v>1899</v>
      </c>
      <c r="G76" s="37" t="s">
        <v>15</v>
      </c>
      <c r="H76" s="37" t="s">
        <v>1938</v>
      </c>
      <c r="I76" s="37" t="s">
        <v>1993</v>
      </c>
      <c r="J76" s="37" t="s">
        <v>1994</v>
      </c>
      <c r="K76" s="37" t="s">
        <v>1995</v>
      </c>
      <c r="L76" s="37" t="s">
        <v>1996</v>
      </c>
      <c r="M76" s="37" t="s">
        <v>1997</v>
      </c>
      <c r="N76" s="37" t="s">
        <v>2009</v>
      </c>
      <c r="O76" s="37" t="s">
        <v>2002</v>
      </c>
      <c r="P76" s="37" t="s">
        <v>1909</v>
      </c>
      <c r="Q76" s="37" t="s">
        <v>393</v>
      </c>
    </row>
    <row r="77" spans="1:17" ht="110.4" hidden="1">
      <c r="A77" s="37" t="s">
        <v>649</v>
      </c>
      <c r="B77" s="37" t="s">
        <v>1637</v>
      </c>
      <c r="C77" s="37" t="s">
        <v>1253</v>
      </c>
      <c r="D77" s="37" t="s">
        <v>2070</v>
      </c>
      <c r="E77" s="37" t="s">
        <v>1899</v>
      </c>
      <c r="F77" s="37" t="s">
        <v>505</v>
      </c>
      <c r="G77" s="37" t="s">
        <v>1901</v>
      </c>
      <c r="H77" s="37" t="s">
        <v>1938</v>
      </c>
      <c r="I77" s="37" t="s">
        <v>1983</v>
      </c>
      <c r="J77" s="37" t="s">
        <v>1984</v>
      </c>
      <c r="K77" s="37" t="s">
        <v>2023</v>
      </c>
      <c r="L77" s="37" t="s">
        <v>1986</v>
      </c>
      <c r="M77" s="37" t="s">
        <v>1987</v>
      </c>
      <c r="N77" s="37" t="s">
        <v>2009</v>
      </c>
      <c r="O77" s="37" t="s">
        <v>1989</v>
      </c>
      <c r="P77" s="37" t="s">
        <v>1990</v>
      </c>
      <c r="Q77" s="37" t="s">
        <v>393</v>
      </c>
    </row>
    <row r="78" spans="1:17" ht="110.4" hidden="1">
      <c r="A78" s="37" t="s">
        <v>652</v>
      </c>
      <c r="B78" s="37" t="s">
        <v>326</v>
      </c>
      <c r="C78" s="37" t="s">
        <v>918</v>
      </c>
      <c r="D78" s="37" t="s">
        <v>2072</v>
      </c>
      <c r="E78" s="37" t="s">
        <v>590</v>
      </c>
      <c r="F78" s="37" t="s">
        <v>1899</v>
      </c>
      <c r="G78" s="37" t="s">
        <v>15</v>
      </c>
      <c r="H78" s="37" t="s">
        <v>1938</v>
      </c>
      <c r="I78" s="37" t="s">
        <v>1993</v>
      </c>
      <c r="J78" s="37" t="s">
        <v>1994</v>
      </c>
      <c r="K78" s="37" t="s">
        <v>1995</v>
      </c>
      <c r="L78" s="37" t="s">
        <v>1996</v>
      </c>
      <c r="M78" s="37" t="s">
        <v>1997</v>
      </c>
      <c r="N78" s="37" t="s">
        <v>2009</v>
      </c>
      <c r="O78" s="37" t="s">
        <v>2002</v>
      </c>
      <c r="P78" s="37" t="s">
        <v>1909</v>
      </c>
      <c r="Q78" s="37" t="s">
        <v>393</v>
      </c>
    </row>
    <row r="79" spans="1:17" ht="110.4" hidden="1">
      <c r="A79" s="37" t="s">
        <v>656</v>
      </c>
      <c r="B79" s="37" t="s">
        <v>1637</v>
      </c>
      <c r="C79" s="37" t="s">
        <v>1255</v>
      </c>
      <c r="D79" s="37" t="s">
        <v>2073</v>
      </c>
      <c r="E79" s="37" t="s">
        <v>1899</v>
      </c>
      <c r="F79" s="37" t="s">
        <v>505</v>
      </c>
      <c r="G79" s="37" t="s">
        <v>1901</v>
      </c>
      <c r="H79" s="37" t="s">
        <v>1938</v>
      </c>
      <c r="I79" s="37" t="s">
        <v>1983</v>
      </c>
      <c r="J79" s="37" t="s">
        <v>1984</v>
      </c>
      <c r="K79" s="37" t="s">
        <v>2023</v>
      </c>
      <c r="L79" s="37" t="s">
        <v>1986</v>
      </c>
      <c r="M79" s="37" t="s">
        <v>1987</v>
      </c>
      <c r="N79" s="37" t="s">
        <v>2012</v>
      </c>
      <c r="O79" s="37" t="s">
        <v>1989</v>
      </c>
      <c r="P79" s="37" t="s">
        <v>1990</v>
      </c>
      <c r="Q79" s="37" t="s">
        <v>393</v>
      </c>
    </row>
    <row r="80" spans="1:17" ht="110.4" hidden="1">
      <c r="A80" s="37" t="s">
        <v>660</v>
      </c>
      <c r="B80" s="37" t="s">
        <v>326</v>
      </c>
      <c r="C80" s="37" t="s">
        <v>921</v>
      </c>
      <c r="D80" s="37" t="s">
        <v>2074</v>
      </c>
      <c r="E80" s="37" t="s">
        <v>590</v>
      </c>
      <c r="F80" s="37" t="s">
        <v>1899</v>
      </c>
      <c r="G80" s="37" t="s">
        <v>15</v>
      </c>
      <c r="H80" s="37" t="s">
        <v>1938</v>
      </c>
      <c r="I80" s="37" t="s">
        <v>1993</v>
      </c>
      <c r="J80" s="37" t="s">
        <v>1994</v>
      </c>
      <c r="K80" s="37" t="s">
        <v>1995</v>
      </c>
      <c r="L80" s="37" t="s">
        <v>1996</v>
      </c>
      <c r="M80" s="37" t="s">
        <v>1997</v>
      </c>
      <c r="N80" s="37" t="s">
        <v>2012</v>
      </c>
      <c r="O80" s="37" t="s">
        <v>2002</v>
      </c>
      <c r="P80" s="37" t="s">
        <v>1909</v>
      </c>
      <c r="Q80" s="37" t="s">
        <v>393</v>
      </c>
    </row>
    <row r="81" spans="1:17" ht="110.4" hidden="1">
      <c r="A81" s="37" t="s">
        <v>412</v>
      </c>
      <c r="B81" s="37" t="s">
        <v>1637</v>
      </c>
      <c r="C81" s="37" t="s">
        <v>1257</v>
      </c>
      <c r="D81" s="37" t="s">
        <v>2075</v>
      </c>
      <c r="E81" s="37" t="s">
        <v>1899</v>
      </c>
      <c r="F81" s="37" t="s">
        <v>505</v>
      </c>
      <c r="G81" s="37" t="s">
        <v>1901</v>
      </c>
      <c r="H81" s="37" t="s">
        <v>1938</v>
      </c>
      <c r="I81" s="37" t="s">
        <v>1983</v>
      </c>
      <c r="J81" s="37" t="s">
        <v>1984</v>
      </c>
      <c r="K81" s="37" t="s">
        <v>2023</v>
      </c>
      <c r="L81" s="37" t="s">
        <v>1986</v>
      </c>
      <c r="M81" s="37" t="s">
        <v>1987</v>
      </c>
      <c r="N81" s="37" t="s">
        <v>2016</v>
      </c>
      <c r="O81" s="37" t="s">
        <v>1989</v>
      </c>
      <c r="P81" s="37" t="s">
        <v>1990</v>
      </c>
      <c r="Q81" s="37" t="s">
        <v>393</v>
      </c>
    </row>
    <row r="82" spans="1:17" ht="110.4" hidden="1">
      <c r="A82" s="37" t="s">
        <v>668</v>
      </c>
      <c r="B82" s="37" t="s">
        <v>326</v>
      </c>
      <c r="C82" s="37" t="s">
        <v>818</v>
      </c>
      <c r="D82" s="37" t="s">
        <v>2076</v>
      </c>
      <c r="E82" s="37" t="s">
        <v>590</v>
      </c>
      <c r="F82" s="37" t="s">
        <v>1899</v>
      </c>
      <c r="G82" s="37" t="s">
        <v>15</v>
      </c>
      <c r="H82" s="37" t="s">
        <v>1938</v>
      </c>
      <c r="I82" s="37" t="s">
        <v>1993</v>
      </c>
      <c r="J82" s="37" t="s">
        <v>1994</v>
      </c>
      <c r="K82" s="37" t="s">
        <v>1995</v>
      </c>
      <c r="L82" s="37" t="s">
        <v>1996</v>
      </c>
      <c r="M82" s="37" t="s">
        <v>1997</v>
      </c>
      <c r="N82" s="37" t="s">
        <v>2016</v>
      </c>
      <c r="O82" s="37" t="s">
        <v>2002</v>
      </c>
      <c r="P82" s="37" t="s">
        <v>1909</v>
      </c>
      <c r="Q82" s="37" t="s">
        <v>393</v>
      </c>
    </row>
    <row r="83" spans="1:17" ht="110.4" hidden="1">
      <c r="A83" s="37" t="s">
        <v>670</v>
      </c>
      <c r="B83" s="37" t="s">
        <v>1637</v>
      </c>
      <c r="C83" s="37" t="s">
        <v>1259</v>
      </c>
      <c r="D83" s="37" t="s">
        <v>2077</v>
      </c>
      <c r="E83" s="37" t="s">
        <v>1899</v>
      </c>
      <c r="F83" s="37" t="s">
        <v>505</v>
      </c>
      <c r="G83" s="37" t="s">
        <v>1901</v>
      </c>
      <c r="H83" s="37" t="s">
        <v>1938</v>
      </c>
      <c r="I83" s="37" t="s">
        <v>1983</v>
      </c>
      <c r="J83" s="37" t="s">
        <v>1984</v>
      </c>
      <c r="K83" s="37" t="s">
        <v>2023</v>
      </c>
      <c r="L83" s="37" t="s">
        <v>1986</v>
      </c>
      <c r="M83" s="37" t="s">
        <v>1987</v>
      </c>
      <c r="N83" s="37" t="s">
        <v>1907</v>
      </c>
      <c r="O83" s="37" t="s">
        <v>1989</v>
      </c>
      <c r="P83" s="37" t="s">
        <v>1990</v>
      </c>
      <c r="Q83" s="37" t="s">
        <v>393</v>
      </c>
    </row>
    <row r="84" spans="1:17" ht="110.4" hidden="1">
      <c r="A84" s="37" t="s">
        <v>672</v>
      </c>
      <c r="B84" s="37" t="s">
        <v>326</v>
      </c>
      <c r="C84" s="37" t="s">
        <v>821</v>
      </c>
      <c r="D84" s="37" t="s">
        <v>2078</v>
      </c>
      <c r="E84" s="37" t="s">
        <v>590</v>
      </c>
      <c r="F84" s="37" t="s">
        <v>1899</v>
      </c>
      <c r="G84" s="37" t="s">
        <v>15</v>
      </c>
      <c r="H84" s="37" t="s">
        <v>1938</v>
      </c>
      <c r="I84" s="37" t="s">
        <v>1993</v>
      </c>
      <c r="J84" s="37" t="s">
        <v>1994</v>
      </c>
      <c r="K84" s="37" t="s">
        <v>1995</v>
      </c>
      <c r="L84" s="37" t="s">
        <v>1996</v>
      </c>
      <c r="M84" s="37" t="s">
        <v>1997</v>
      </c>
      <c r="N84" s="37" t="s">
        <v>1907</v>
      </c>
      <c r="O84" s="37" t="s">
        <v>2002</v>
      </c>
      <c r="P84" s="37" t="s">
        <v>1909</v>
      </c>
      <c r="Q84" s="37" t="s">
        <v>393</v>
      </c>
    </row>
    <row r="85" spans="1:17" ht="110.4" hidden="1">
      <c r="A85" s="37" t="s">
        <v>676</v>
      </c>
      <c r="B85" s="37" t="s">
        <v>1637</v>
      </c>
      <c r="C85" s="37" t="s">
        <v>1261</v>
      </c>
      <c r="D85" s="37" t="s">
        <v>2077</v>
      </c>
      <c r="E85" s="37" t="s">
        <v>1899</v>
      </c>
      <c r="F85" s="37" t="s">
        <v>505</v>
      </c>
      <c r="G85" s="37" t="s">
        <v>1901</v>
      </c>
      <c r="H85" s="37" t="s">
        <v>1938</v>
      </c>
      <c r="I85" s="37" t="s">
        <v>1983</v>
      </c>
      <c r="J85" s="37" t="s">
        <v>1984</v>
      </c>
      <c r="K85" s="37" t="s">
        <v>2023</v>
      </c>
      <c r="L85" s="37" t="s">
        <v>1986</v>
      </c>
      <c r="M85" s="37" t="s">
        <v>1987</v>
      </c>
      <c r="N85" s="37" t="s">
        <v>1907</v>
      </c>
      <c r="O85" s="37" t="s">
        <v>1989</v>
      </c>
      <c r="P85" s="37" t="s">
        <v>1990</v>
      </c>
      <c r="Q85" s="37" t="s">
        <v>393</v>
      </c>
    </row>
    <row r="86" spans="1:17" ht="110.4" hidden="1">
      <c r="A86" s="37" t="s">
        <v>679</v>
      </c>
      <c r="B86" s="37" t="s">
        <v>326</v>
      </c>
      <c r="C86" s="37" t="s">
        <v>924</v>
      </c>
      <c r="D86" s="37" t="s">
        <v>2079</v>
      </c>
      <c r="E86" s="37" t="s">
        <v>590</v>
      </c>
      <c r="F86" s="37" t="s">
        <v>1899</v>
      </c>
      <c r="G86" s="37" t="s">
        <v>15</v>
      </c>
      <c r="H86" s="37" t="s">
        <v>1938</v>
      </c>
      <c r="I86" s="37" t="s">
        <v>1993</v>
      </c>
      <c r="J86" s="37" t="s">
        <v>1994</v>
      </c>
      <c r="K86" s="37" t="s">
        <v>1995</v>
      </c>
      <c r="L86" s="37" t="s">
        <v>1996</v>
      </c>
      <c r="M86" s="37" t="s">
        <v>1997</v>
      </c>
      <c r="N86" s="37" t="s">
        <v>1907</v>
      </c>
      <c r="O86" s="37" t="s">
        <v>2002</v>
      </c>
      <c r="P86" s="37" t="s">
        <v>1909</v>
      </c>
      <c r="Q86" s="37" t="s">
        <v>393</v>
      </c>
    </row>
    <row r="87" spans="1:17" ht="110.4" hidden="1">
      <c r="A87" s="37" t="s">
        <v>682</v>
      </c>
      <c r="B87" s="37" t="s">
        <v>1637</v>
      </c>
      <c r="C87" s="37" t="s">
        <v>2080</v>
      </c>
      <c r="D87" s="37" t="s">
        <v>2081</v>
      </c>
      <c r="E87" s="37" t="s">
        <v>1899</v>
      </c>
      <c r="F87" s="37" t="s">
        <v>505</v>
      </c>
      <c r="G87" s="37" t="s">
        <v>1901</v>
      </c>
      <c r="H87" s="37" t="s">
        <v>1938</v>
      </c>
      <c r="I87" s="37" t="s">
        <v>1983</v>
      </c>
      <c r="J87" s="37" t="s">
        <v>1984</v>
      </c>
      <c r="K87" s="37" t="s">
        <v>2023</v>
      </c>
      <c r="L87" s="37" t="s">
        <v>1986</v>
      </c>
      <c r="M87" s="37" t="s">
        <v>1987</v>
      </c>
      <c r="N87" s="37" t="s">
        <v>2026</v>
      </c>
      <c r="O87" s="37" t="s">
        <v>1989</v>
      </c>
      <c r="P87" s="37" t="s">
        <v>1990</v>
      </c>
      <c r="Q87" s="37" t="s">
        <v>393</v>
      </c>
    </row>
    <row r="88" spans="1:17" ht="110.4" hidden="1">
      <c r="A88" s="37" t="s">
        <v>685</v>
      </c>
      <c r="B88" s="37" t="s">
        <v>1637</v>
      </c>
      <c r="C88" s="37" t="s">
        <v>927</v>
      </c>
      <c r="D88" s="37" t="s">
        <v>2082</v>
      </c>
      <c r="E88" s="37" t="s">
        <v>590</v>
      </c>
      <c r="F88" s="37" t="s">
        <v>1899</v>
      </c>
      <c r="G88" s="37" t="s">
        <v>15</v>
      </c>
      <c r="H88" s="37" t="s">
        <v>1938</v>
      </c>
      <c r="I88" s="37" t="s">
        <v>1993</v>
      </c>
      <c r="J88" s="37" t="s">
        <v>1994</v>
      </c>
      <c r="K88" s="37" t="s">
        <v>1995</v>
      </c>
      <c r="L88" s="37" t="s">
        <v>1996</v>
      </c>
      <c r="M88" s="37" t="s">
        <v>1997</v>
      </c>
      <c r="N88" s="37" t="s">
        <v>2026</v>
      </c>
      <c r="O88" s="37" t="s">
        <v>2002</v>
      </c>
      <c r="P88" s="37" t="s">
        <v>1909</v>
      </c>
      <c r="Q88" s="37" t="s">
        <v>393</v>
      </c>
    </row>
    <row r="89" spans="1:17" ht="110.4" hidden="1">
      <c r="A89" s="37" t="s">
        <v>688</v>
      </c>
      <c r="B89" s="37" t="s">
        <v>1637</v>
      </c>
      <c r="C89" s="37" t="s">
        <v>1263</v>
      </c>
      <c r="D89" s="37" t="s">
        <v>2083</v>
      </c>
      <c r="E89" s="37" t="s">
        <v>1899</v>
      </c>
      <c r="F89" s="37" t="s">
        <v>505</v>
      </c>
      <c r="G89" s="37" t="s">
        <v>1901</v>
      </c>
      <c r="H89" s="37" t="s">
        <v>1938</v>
      </c>
      <c r="I89" s="37" t="s">
        <v>1983</v>
      </c>
      <c r="J89" s="37" t="s">
        <v>1984</v>
      </c>
      <c r="K89" s="37" t="s">
        <v>2023</v>
      </c>
      <c r="L89" s="37" t="s">
        <v>1986</v>
      </c>
      <c r="M89" s="37" t="s">
        <v>1987</v>
      </c>
      <c r="N89" s="37" t="s">
        <v>2029</v>
      </c>
      <c r="O89" s="37" t="s">
        <v>1989</v>
      </c>
      <c r="P89" s="37" t="s">
        <v>1990</v>
      </c>
      <c r="Q89" s="37" t="s">
        <v>393</v>
      </c>
    </row>
    <row r="90" spans="1:17" ht="110.4">
      <c r="A90" s="37" t="s">
        <v>693</v>
      </c>
      <c r="B90" s="37" t="s">
        <v>326</v>
      </c>
      <c r="C90" s="37" t="s">
        <v>824</v>
      </c>
      <c r="D90" s="37" t="s">
        <v>2084</v>
      </c>
      <c r="E90" s="37" t="s">
        <v>590</v>
      </c>
      <c r="F90" s="37" t="s">
        <v>1899</v>
      </c>
      <c r="G90" s="37" t="s">
        <v>15</v>
      </c>
      <c r="H90" s="37" t="s">
        <v>1938</v>
      </c>
      <c r="I90" s="37" t="s">
        <v>1993</v>
      </c>
      <c r="J90" s="37" t="s">
        <v>1994</v>
      </c>
      <c r="K90" s="37" t="s">
        <v>1995</v>
      </c>
      <c r="L90" s="37" t="s">
        <v>1996</v>
      </c>
      <c r="M90" s="37" t="s">
        <v>1997</v>
      </c>
      <c r="N90" s="37" t="s">
        <v>2029</v>
      </c>
      <c r="O90" s="37" t="s">
        <v>2002</v>
      </c>
      <c r="P90" s="37" t="s">
        <v>1909</v>
      </c>
      <c r="Q90" s="37" t="s">
        <v>393</v>
      </c>
    </row>
    <row r="91" spans="1:17" ht="110.4" hidden="1">
      <c r="A91" s="37" t="s">
        <v>696</v>
      </c>
      <c r="B91" s="37" t="s">
        <v>1637</v>
      </c>
      <c r="C91" s="37" t="s">
        <v>1265</v>
      </c>
      <c r="D91" s="37" t="s">
        <v>2083</v>
      </c>
      <c r="E91" s="37" t="s">
        <v>1899</v>
      </c>
      <c r="F91" s="37" t="s">
        <v>505</v>
      </c>
      <c r="G91" s="37" t="s">
        <v>1901</v>
      </c>
      <c r="H91" s="37" t="s">
        <v>1938</v>
      </c>
      <c r="I91" s="37" t="s">
        <v>1983</v>
      </c>
      <c r="J91" s="37" t="s">
        <v>1984</v>
      </c>
      <c r="K91" s="37" t="s">
        <v>2023</v>
      </c>
      <c r="L91" s="37" t="s">
        <v>1986</v>
      </c>
      <c r="M91" s="37" t="s">
        <v>1987</v>
      </c>
      <c r="N91" s="37" t="s">
        <v>2029</v>
      </c>
      <c r="O91" s="37" t="s">
        <v>1989</v>
      </c>
      <c r="P91" s="37" t="s">
        <v>1990</v>
      </c>
      <c r="Q91" s="37" t="s">
        <v>393</v>
      </c>
    </row>
    <row r="92" spans="1:17" ht="110.4">
      <c r="A92" s="37" t="s">
        <v>699</v>
      </c>
      <c r="B92" s="37" t="s">
        <v>326</v>
      </c>
      <c r="C92" s="37" t="s">
        <v>929</v>
      </c>
      <c r="D92" s="37" t="s">
        <v>2085</v>
      </c>
      <c r="E92" s="37" t="s">
        <v>590</v>
      </c>
      <c r="F92" s="37" t="s">
        <v>1899</v>
      </c>
      <c r="G92" s="37" t="s">
        <v>15</v>
      </c>
      <c r="H92" s="37" t="s">
        <v>1938</v>
      </c>
      <c r="I92" s="37" t="s">
        <v>1993</v>
      </c>
      <c r="J92" s="37" t="s">
        <v>1994</v>
      </c>
      <c r="K92" s="37" t="s">
        <v>1995</v>
      </c>
      <c r="L92" s="37" t="s">
        <v>1996</v>
      </c>
      <c r="M92" s="37" t="s">
        <v>1997</v>
      </c>
      <c r="N92" s="37" t="s">
        <v>2029</v>
      </c>
      <c r="O92" s="37" t="s">
        <v>2002</v>
      </c>
      <c r="P92" s="37" t="s">
        <v>1909</v>
      </c>
      <c r="Q92" s="37" t="s">
        <v>393</v>
      </c>
    </row>
    <row r="93" spans="1:17" ht="110.4" hidden="1">
      <c r="A93" s="37" t="s">
        <v>702</v>
      </c>
      <c r="B93" s="37" t="s">
        <v>1637</v>
      </c>
      <c r="C93" s="37" t="s">
        <v>2086</v>
      </c>
      <c r="D93" s="37" t="s">
        <v>2087</v>
      </c>
      <c r="E93" s="37" t="s">
        <v>1899</v>
      </c>
      <c r="F93" s="37" t="s">
        <v>505</v>
      </c>
      <c r="G93" s="37" t="s">
        <v>1901</v>
      </c>
      <c r="H93" s="37" t="s">
        <v>1938</v>
      </c>
      <c r="I93" s="37" t="s">
        <v>1983</v>
      </c>
      <c r="J93" s="37" t="s">
        <v>1984</v>
      </c>
      <c r="K93" s="37" t="s">
        <v>2023</v>
      </c>
      <c r="L93" s="37" t="s">
        <v>1986</v>
      </c>
      <c r="M93" s="37" t="s">
        <v>1987</v>
      </c>
      <c r="N93" s="37" t="s">
        <v>2033</v>
      </c>
      <c r="O93" s="37" t="s">
        <v>1989</v>
      </c>
      <c r="P93" s="37" t="s">
        <v>1990</v>
      </c>
      <c r="Q93" s="37" t="s">
        <v>393</v>
      </c>
    </row>
    <row r="94" spans="1:17" ht="110.4" hidden="1">
      <c r="A94" s="37" t="s">
        <v>705</v>
      </c>
      <c r="B94" s="37" t="s">
        <v>326</v>
      </c>
      <c r="C94" s="37" t="s">
        <v>826</v>
      </c>
      <c r="D94" s="37" t="s">
        <v>2088</v>
      </c>
      <c r="E94" s="37" t="s">
        <v>590</v>
      </c>
      <c r="F94" s="37" t="s">
        <v>1899</v>
      </c>
      <c r="G94" s="37" t="s">
        <v>15</v>
      </c>
      <c r="H94" s="37" t="s">
        <v>1938</v>
      </c>
      <c r="I94" s="37" t="s">
        <v>1993</v>
      </c>
      <c r="J94" s="37" t="s">
        <v>1994</v>
      </c>
      <c r="K94" s="37" t="s">
        <v>1995</v>
      </c>
      <c r="L94" s="37" t="s">
        <v>1996</v>
      </c>
      <c r="M94" s="37" t="s">
        <v>1997</v>
      </c>
      <c r="N94" s="37" t="s">
        <v>2033</v>
      </c>
      <c r="O94" s="37" t="s">
        <v>2002</v>
      </c>
      <c r="P94" s="37" t="s">
        <v>1909</v>
      </c>
      <c r="Q94" s="37" t="s">
        <v>393</v>
      </c>
    </row>
    <row r="95" spans="1:17" ht="110.4" hidden="1">
      <c r="A95" s="37" t="s">
        <v>962</v>
      </c>
      <c r="B95" s="37" t="s">
        <v>1637</v>
      </c>
      <c r="C95" s="37" t="s">
        <v>2089</v>
      </c>
      <c r="D95" s="37" t="s">
        <v>2087</v>
      </c>
      <c r="E95" s="37" t="s">
        <v>1899</v>
      </c>
      <c r="F95" s="37" t="s">
        <v>505</v>
      </c>
      <c r="G95" s="37" t="s">
        <v>1901</v>
      </c>
      <c r="H95" s="37" t="s">
        <v>1938</v>
      </c>
      <c r="I95" s="37" t="s">
        <v>1983</v>
      </c>
      <c r="J95" s="37" t="s">
        <v>1984</v>
      </c>
      <c r="K95" s="37" t="s">
        <v>2023</v>
      </c>
      <c r="L95" s="37" t="s">
        <v>1986</v>
      </c>
      <c r="M95" s="37" t="s">
        <v>1987</v>
      </c>
      <c r="N95" s="37" t="s">
        <v>2033</v>
      </c>
      <c r="O95" s="37" t="s">
        <v>1989</v>
      </c>
      <c r="P95" s="37" t="s">
        <v>1990</v>
      </c>
      <c r="Q95" s="37" t="s">
        <v>393</v>
      </c>
    </row>
    <row r="96" spans="1:17" ht="110.4" hidden="1">
      <c r="A96" s="37" t="s">
        <v>968</v>
      </c>
      <c r="B96" s="37" t="s">
        <v>326</v>
      </c>
      <c r="C96" s="37" t="s">
        <v>931</v>
      </c>
      <c r="D96" s="37" t="s">
        <v>2090</v>
      </c>
      <c r="E96" s="37" t="s">
        <v>590</v>
      </c>
      <c r="F96" s="37" t="s">
        <v>1899</v>
      </c>
      <c r="G96" s="37" t="s">
        <v>15</v>
      </c>
      <c r="H96" s="37" t="s">
        <v>1938</v>
      </c>
      <c r="I96" s="37" t="s">
        <v>1993</v>
      </c>
      <c r="J96" s="37" t="s">
        <v>1994</v>
      </c>
      <c r="K96" s="37" t="s">
        <v>1995</v>
      </c>
      <c r="L96" s="37" t="s">
        <v>1996</v>
      </c>
      <c r="M96" s="37" t="s">
        <v>1997</v>
      </c>
      <c r="N96" s="37" t="s">
        <v>2033</v>
      </c>
      <c r="O96" s="37" t="s">
        <v>2002</v>
      </c>
      <c r="P96" s="37" t="s">
        <v>1909</v>
      </c>
      <c r="Q96" s="37" t="s">
        <v>393</v>
      </c>
    </row>
    <row r="97" spans="1:17" ht="110.4" hidden="1">
      <c r="A97" s="37" t="s">
        <v>971</v>
      </c>
      <c r="B97" s="37" t="s">
        <v>326</v>
      </c>
      <c r="C97" s="37" t="s">
        <v>2091</v>
      </c>
      <c r="D97" s="37" t="s">
        <v>2092</v>
      </c>
      <c r="E97" s="37" t="s">
        <v>1899</v>
      </c>
      <c r="F97" s="37" t="s">
        <v>505</v>
      </c>
      <c r="G97" s="37" t="s">
        <v>1901</v>
      </c>
      <c r="H97" s="37" t="s">
        <v>1938</v>
      </c>
      <c r="I97" s="37" t="s">
        <v>1983</v>
      </c>
      <c r="J97" s="37" t="s">
        <v>1984</v>
      </c>
      <c r="K97" s="37" t="s">
        <v>2023</v>
      </c>
      <c r="L97" s="37" t="s">
        <v>2044</v>
      </c>
      <c r="M97" s="37" t="s">
        <v>1987</v>
      </c>
      <c r="N97" s="37" t="s">
        <v>2045</v>
      </c>
      <c r="O97" s="37" t="s">
        <v>2046</v>
      </c>
      <c r="P97" s="37" t="s">
        <v>2047</v>
      </c>
      <c r="Q97" s="37" t="s">
        <v>393</v>
      </c>
    </row>
    <row r="98" spans="1:17" ht="110.4" hidden="1">
      <c r="A98" s="37" t="s">
        <v>974</v>
      </c>
      <c r="B98" s="37" t="s">
        <v>326</v>
      </c>
      <c r="C98" s="37" t="s">
        <v>1527</v>
      </c>
      <c r="D98" s="37" t="s">
        <v>2048</v>
      </c>
      <c r="E98" s="37" t="s">
        <v>590</v>
      </c>
      <c r="F98" s="37" t="s">
        <v>1899</v>
      </c>
      <c r="G98" s="37" t="s">
        <v>15</v>
      </c>
      <c r="H98" s="37" t="s">
        <v>1938</v>
      </c>
      <c r="I98" s="37" t="s">
        <v>1993</v>
      </c>
      <c r="J98" s="37" t="s">
        <v>1994</v>
      </c>
      <c r="K98" s="37" t="s">
        <v>1995</v>
      </c>
      <c r="L98" s="37" t="s">
        <v>2049</v>
      </c>
      <c r="M98" s="37" t="s">
        <v>1997</v>
      </c>
      <c r="N98" s="37" t="s">
        <v>2045</v>
      </c>
      <c r="O98" s="37" t="s">
        <v>1998</v>
      </c>
      <c r="P98" s="37" t="s">
        <v>1909</v>
      </c>
      <c r="Q98" s="37" t="s">
        <v>393</v>
      </c>
    </row>
    <row r="99" spans="1:17" ht="110.4" hidden="1">
      <c r="A99" s="37" t="s">
        <v>971</v>
      </c>
      <c r="B99" s="37" t="s">
        <v>326</v>
      </c>
      <c r="C99" s="37" t="s">
        <v>1055</v>
      </c>
      <c r="D99" s="37" t="s">
        <v>2093</v>
      </c>
      <c r="E99" s="37" t="s">
        <v>1899</v>
      </c>
      <c r="F99" s="37" t="s">
        <v>316</v>
      </c>
      <c r="G99" s="37" t="s">
        <v>1901</v>
      </c>
      <c r="H99" s="37" t="s">
        <v>1920</v>
      </c>
      <c r="I99" s="37" t="s">
        <v>2094</v>
      </c>
      <c r="J99" s="37" t="s">
        <v>1984</v>
      </c>
      <c r="K99" s="37" t="s">
        <v>2095</v>
      </c>
      <c r="L99" s="37" t="s">
        <v>2096</v>
      </c>
      <c r="M99" s="37" t="s">
        <v>1987</v>
      </c>
      <c r="N99" s="37" t="s">
        <v>1907</v>
      </c>
      <c r="O99" s="37" t="s">
        <v>2046</v>
      </c>
      <c r="P99" s="37" t="s">
        <v>2047</v>
      </c>
      <c r="Q99" s="37" t="s">
        <v>393</v>
      </c>
    </row>
    <row r="100" spans="1:17" ht="110.4" hidden="1">
      <c r="A100" s="37" t="s">
        <v>974</v>
      </c>
      <c r="B100" s="37" t="s">
        <v>326</v>
      </c>
      <c r="C100" s="37" t="s">
        <v>689</v>
      </c>
      <c r="D100" s="37" t="s">
        <v>2097</v>
      </c>
      <c r="E100" s="37" t="s">
        <v>2098</v>
      </c>
      <c r="F100" s="37" t="s">
        <v>1899</v>
      </c>
      <c r="G100" s="37" t="s">
        <v>15</v>
      </c>
      <c r="H100" s="37" t="s">
        <v>1938</v>
      </c>
      <c r="I100" s="37" t="s">
        <v>2099</v>
      </c>
      <c r="J100" s="37" t="s">
        <v>1994</v>
      </c>
      <c r="K100" s="37" t="s">
        <v>2100</v>
      </c>
      <c r="L100" s="37" t="s">
        <v>2041</v>
      </c>
      <c r="M100" s="37" t="s">
        <v>1997</v>
      </c>
      <c r="N100" s="37" t="s">
        <v>1907</v>
      </c>
      <c r="O100" s="37" t="s">
        <v>2002</v>
      </c>
      <c r="P100" s="37" t="s">
        <v>1909</v>
      </c>
      <c r="Q100" s="37" t="s">
        <v>393</v>
      </c>
    </row>
    <row r="101" spans="1:17" ht="110.4" hidden="1">
      <c r="A101" s="37" t="s">
        <v>976</v>
      </c>
      <c r="B101" s="37" t="s">
        <v>326</v>
      </c>
      <c r="C101" s="37" t="s">
        <v>2101</v>
      </c>
      <c r="D101" s="37" t="s">
        <v>2102</v>
      </c>
      <c r="E101" s="37" t="s">
        <v>1899</v>
      </c>
      <c r="F101" s="37" t="s">
        <v>316</v>
      </c>
      <c r="G101" s="37" t="s">
        <v>1901</v>
      </c>
      <c r="H101" s="37" t="s">
        <v>1920</v>
      </c>
      <c r="I101" s="37" t="s">
        <v>2094</v>
      </c>
      <c r="J101" s="37" t="s">
        <v>1984</v>
      </c>
      <c r="K101" s="37" t="s">
        <v>2095</v>
      </c>
      <c r="L101" s="37" t="s">
        <v>2044</v>
      </c>
      <c r="M101" s="37" t="s">
        <v>1987</v>
      </c>
      <c r="N101" s="37" t="s">
        <v>2103</v>
      </c>
      <c r="O101" s="37" t="s">
        <v>2046</v>
      </c>
      <c r="P101" s="37" t="s">
        <v>2047</v>
      </c>
      <c r="Q101" s="37" t="s">
        <v>393</v>
      </c>
    </row>
    <row r="102" spans="1:17" ht="110.4" hidden="1">
      <c r="A102" s="37" t="s">
        <v>978</v>
      </c>
      <c r="B102" s="37" t="s">
        <v>326</v>
      </c>
      <c r="C102" s="37" t="s">
        <v>694</v>
      </c>
      <c r="D102" s="37" t="s">
        <v>2104</v>
      </c>
      <c r="E102" s="37" t="s">
        <v>2098</v>
      </c>
      <c r="F102" s="37" t="s">
        <v>1899</v>
      </c>
      <c r="G102" s="37" t="s">
        <v>15</v>
      </c>
      <c r="H102" s="37" t="s">
        <v>1938</v>
      </c>
      <c r="I102" s="37" t="s">
        <v>2099</v>
      </c>
      <c r="J102" s="37" t="s">
        <v>1994</v>
      </c>
      <c r="K102" s="37" t="s">
        <v>2100</v>
      </c>
      <c r="L102" s="37" t="s">
        <v>2049</v>
      </c>
      <c r="M102" s="37" t="s">
        <v>1997</v>
      </c>
      <c r="N102" s="37" t="s">
        <v>2103</v>
      </c>
      <c r="O102" s="37" t="s">
        <v>1998</v>
      </c>
      <c r="P102" s="37" t="s">
        <v>1909</v>
      </c>
      <c r="Q102" s="37" t="s">
        <v>393</v>
      </c>
    </row>
    <row r="103" spans="1:17" ht="110.4" hidden="1">
      <c r="A103" s="37" t="s">
        <v>316</v>
      </c>
      <c r="B103" s="37" t="s">
        <v>326</v>
      </c>
      <c r="C103" s="37" t="s">
        <v>2105</v>
      </c>
      <c r="D103" s="37" t="s">
        <v>2102</v>
      </c>
      <c r="E103" s="37" t="s">
        <v>1899</v>
      </c>
      <c r="F103" s="37" t="s">
        <v>316</v>
      </c>
      <c r="G103" s="37" t="s">
        <v>1901</v>
      </c>
      <c r="H103" s="37" t="s">
        <v>1920</v>
      </c>
      <c r="I103" s="37" t="s">
        <v>2094</v>
      </c>
      <c r="J103" s="37" t="s">
        <v>1984</v>
      </c>
      <c r="K103" s="37" t="s">
        <v>2095</v>
      </c>
      <c r="L103" s="37" t="s">
        <v>2044</v>
      </c>
      <c r="M103" s="37" t="s">
        <v>1987</v>
      </c>
      <c r="N103" s="37" t="s">
        <v>2106</v>
      </c>
      <c r="O103" s="37" t="s">
        <v>2046</v>
      </c>
      <c r="P103" s="37" t="s">
        <v>2047</v>
      </c>
      <c r="Q103" s="37" t="s">
        <v>393</v>
      </c>
    </row>
    <row r="104" spans="1:17" ht="110.4" hidden="1">
      <c r="A104" s="37" t="s">
        <v>2107</v>
      </c>
      <c r="B104" s="37" t="s">
        <v>326</v>
      </c>
      <c r="C104" s="37" t="s">
        <v>697</v>
      </c>
      <c r="D104" s="37" t="s">
        <v>2108</v>
      </c>
      <c r="E104" s="37" t="s">
        <v>2098</v>
      </c>
      <c r="F104" s="37" t="s">
        <v>1899</v>
      </c>
      <c r="G104" s="37" t="s">
        <v>15</v>
      </c>
      <c r="H104" s="37" t="s">
        <v>1938</v>
      </c>
      <c r="I104" s="37" t="s">
        <v>2099</v>
      </c>
      <c r="J104" s="37" t="s">
        <v>1994</v>
      </c>
      <c r="K104" s="37" t="s">
        <v>2100</v>
      </c>
      <c r="L104" s="37" t="s">
        <v>2049</v>
      </c>
      <c r="M104" s="37" t="s">
        <v>1997</v>
      </c>
      <c r="N104" s="37" t="s">
        <v>2106</v>
      </c>
      <c r="O104" s="37" t="s">
        <v>1998</v>
      </c>
      <c r="P104" s="37" t="s">
        <v>1909</v>
      </c>
      <c r="Q104" s="37" t="s">
        <v>393</v>
      </c>
    </row>
    <row r="105" spans="1:17" ht="110.4" hidden="1">
      <c r="A105" s="37" t="s">
        <v>2109</v>
      </c>
      <c r="B105" s="37" t="s">
        <v>326</v>
      </c>
      <c r="C105" s="37" t="s">
        <v>2110</v>
      </c>
      <c r="D105" s="37" t="s">
        <v>2102</v>
      </c>
      <c r="E105" s="37" t="s">
        <v>1899</v>
      </c>
      <c r="F105" s="37" t="s">
        <v>316</v>
      </c>
      <c r="G105" s="37" t="s">
        <v>1901</v>
      </c>
      <c r="H105" s="37" t="s">
        <v>1920</v>
      </c>
      <c r="I105" s="37" t="s">
        <v>2094</v>
      </c>
      <c r="J105" s="37" t="s">
        <v>1984</v>
      </c>
      <c r="K105" s="37" t="s">
        <v>2095</v>
      </c>
      <c r="L105" s="37" t="s">
        <v>2044</v>
      </c>
      <c r="M105" s="37" t="s">
        <v>1987</v>
      </c>
      <c r="N105" s="37" t="s">
        <v>2111</v>
      </c>
      <c r="O105" s="37" t="s">
        <v>2046</v>
      </c>
      <c r="P105" s="37" t="s">
        <v>2047</v>
      </c>
      <c r="Q105" s="37" t="s">
        <v>393</v>
      </c>
    </row>
    <row r="106" spans="1:17" ht="110.4" hidden="1">
      <c r="A106" s="37" t="s">
        <v>2112</v>
      </c>
      <c r="B106" s="37" t="s">
        <v>326</v>
      </c>
      <c r="C106" s="37" t="s">
        <v>700</v>
      </c>
      <c r="D106" s="37" t="s">
        <v>2108</v>
      </c>
      <c r="E106" s="37" t="s">
        <v>2098</v>
      </c>
      <c r="F106" s="37" t="s">
        <v>1899</v>
      </c>
      <c r="G106" s="37" t="s">
        <v>15</v>
      </c>
      <c r="H106" s="37" t="s">
        <v>1938</v>
      </c>
      <c r="I106" s="37" t="s">
        <v>2099</v>
      </c>
      <c r="J106" s="37" t="s">
        <v>1994</v>
      </c>
      <c r="K106" s="37" t="s">
        <v>2100</v>
      </c>
      <c r="L106" s="37" t="s">
        <v>2049</v>
      </c>
      <c r="M106" s="37" t="s">
        <v>1997</v>
      </c>
      <c r="N106" s="37" t="s">
        <v>2111</v>
      </c>
      <c r="O106" s="37" t="s">
        <v>1998</v>
      </c>
      <c r="P106" s="37" t="s">
        <v>1909</v>
      </c>
      <c r="Q106" s="37" t="s">
        <v>393</v>
      </c>
    </row>
    <row r="107" spans="1:17" ht="110.4" hidden="1">
      <c r="A107" s="37" t="s">
        <v>2113</v>
      </c>
      <c r="B107" s="37" t="s">
        <v>326</v>
      </c>
      <c r="C107" s="37" t="s">
        <v>2114</v>
      </c>
      <c r="D107" s="37" t="s">
        <v>2115</v>
      </c>
      <c r="E107" s="37" t="s">
        <v>1899</v>
      </c>
      <c r="F107" s="37" t="s">
        <v>316</v>
      </c>
      <c r="G107" s="37" t="s">
        <v>1901</v>
      </c>
      <c r="H107" s="37" t="s">
        <v>1938</v>
      </c>
      <c r="I107" s="37" t="s">
        <v>2094</v>
      </c>
      <c r="J107" s="37" t="s">
        <v>1984</v>
      </c>
      <c r="K107" s="37" t="s">
        <v>2116</v>
      </c>
      <c r="L107" s="37" t="s">
        <v>2044</v>
      </c>
      <c r="M107" s="37" t="s">
        <v>1987</v>
      </c>
      <c r="N107" s="37" t="s">
        <v>2103</v>
      </c>
      <c r="O107" s="37" t="s">
        <v>2046</v>
      </c>
      <c r="P107" s="37" t="s">
        <v>2047</v>
      </c>
      <c r="Q107" s="37" t="s">
        <v>393</v>
      </c>
    </row>
    <row r="108" spans="1:17" ht="110.4" hidden="1">
      <c r="A108" s="37" t="s">
        <v>2117</v>
      </c>
      <c r="B108" s="37" t="s">
        <v>326</v>
      </c>
      <c r="C108" s="37" t="s">
        <v>933</v>
      </c>
      <c r="D108" s="37" t="s">
        <v>2118</v>
      </c>
      <c r="E108" s="37" t="s">
        <v>2098</v>
      </c>
      <c r="F108" s="37" t="s">
        <v>1899</v>
      </c>
      <c r="G108" s="37" t="s">
        <v>15</v>
      </c>
      <c r="H108" s="37" t="s">
        <v>1938</v>
      </c>
      <c r="I108" s="37" t="s">
        <v>2099</v>
      </c>
      <c r="J108" s="37" t="s">
        <v>1994</v>
      </c>
      <c r="K108" s="37" t="s">
        <v>2100</v>
      </c>
      <c r="L108" s="37" t="s">
        <v>2049</v>
      </c>
      <c r="M108" s="37" t="s">
        <v>1997</v>
      </c>
      <c r="N108" s="37" t="s">
        <v>2103</v>
      </c>
      <c r="O108" s="37" t="s">
        <v>1998</v>
      </c>
      <c r="P108" s="37" t="s">
        <v>1909</v>
      </c>
      <c r="Q108" s="37" t="s">
        <v>393</v>
      </c>
    </row>
    <row r="109" spans="1:17" ht="110.4" hidden="1">
      <c r="A109" s="37" t="s">
        <v>2119</v>
      </c>
      <c r="B109" s="37" t="s">
        <v>326</v>
      </c>
      <c r="C109" s="37" t="s">
        <v>2120</v>
      </c>
      <c r="D109" s="37" t="s">
        <v>2121</v>
      </c>
      <c r="E109" s="37" t="s">
        <v>1899</v>
      </c>
      <c r="F109" s="37" t="s">
        <v>316</v>
      </c>
      <c r="G109" s="37" t="s">
        <v>1901</v>
      </c>
      <c r="H109" s="37" t="s">
        <v>1938</v>
      </c>
      <c r="I109" s="37" t="s">
        <v>2094</v>
      </c>
      <c r="J109" s="37" t="s">
        <v>1984</v>
      </c>
      <c r="K109" s="37" t="s">
        <v>2116</v>
      </c>
      <c r="L109" s="37" t="s">
        <v>2044</v>
      </c>
      <c r="M109" s="37" t="s">
        <v>1987</v>
      </c>
      <c r="N109" s="37" t="s">
        <v>2106</v>
      </c>
      <c r="O109" s="37" t="s">
        <v>2046</v>
      </c>
      <c r="P109" s="37" t="s">
        <v>2047</v>
      </c>
      <c r="Q109" s="37" t="s">
        <v>393</v>
      </c>
    </row>
    <row r="110" spans="1:17" ht="110.4" hidden="1">
      <c r="A110" s="37" t="s">
        <v>2122</v>
      </c>
      <c r="B110" s="37" t="s">
        <v>326</v>
      </c>
      <c r="C110" s="37" t="s">
        <v>936</v>
      </c>
      <c r="D110" s="37" t="s">
        <v>2118</v>
      </c>
      <c r="E110" s="37" t="s">
        <v>2098</v>
      </c>
      <c r="F110" s="37" t="s">
        <v>1899</v>
      </c>
      <c r="G110" s="37" t="s">
        <v>15</v>
      </c>
      <c r="H110" s="37" t="s">
        <v>1938</v>
      </c>
      <c r="I110" s="37" t="s">
        <v>2099</v>
      </c>
      <c r="J110" s="37" t="s">
        <v>1994</v>
      </c>
      <c r="K110" s="37" t="s">
        <v>2100</v>
      </c>
      <c r="L110" s="37" t="s">
        <v>2049</v>
      </c>
      <c r="M110" s="37" t="s">
        <v>1997</v>
      </c>
      <c r="N110" s="37" t="s">
        <v>2106</v>
      </c>
      <c r="O110" s="37" t="s">
        <v>1998</v>
      </c>
      <c r="P110" s="37" t="s">
        <v>1909</v>
      </c>
      <c r="Q110" s="37" t="s">
        <v>393</v>
      </c>
    </row>
    <row r="111" spans="1:17" ht="110.4" hidden="1">
      <c r="A111" s="37" t="s">
        <v>2123</v>
      </c>
      <c r="B111" s="37" t="s">
        <v>326</v>
      </c>
      <c r="C111" s="37" t="s">
        <v>2124</v>
      </c>
      <c r="D111" s="37" t="s">
        <v>2125</v>
      </c>
      <c r="E111" s="37" t="s">
        <v>1899</v>
      </c>
      <c r="F111" s="37" t="s">
        <v>1899</v>
      </c>
      <c r="G111" s="37" t="s">
        <v>1899</v>
      </c>
      <c r="H111" s="37" t="s">
        <v>2126</v>
      </c>
      <c r="I111" s="37" t="s">
        <v>1899</v>
      </c>
      <c r="J111" s="37" t="s">
        <v>2127</v>
      </c>
      <c r="K111" s="37" t="s">
        <v>1899</v>
      </c>
      <c r="L111" s="37" t="s">
        <v>1899</v>
      </c>
      <c r="M111" s="37" t="s">
        <v>1987</v>
      </c>
      <c r="N111" s="37" t="s">
        <v>1907</v>
      </c>
      <c r="O111" s="37" t="s">
        <v>2128</v>
      </c>
      <c r="P111" s="37" t="s">
        <v>1909</v>
      </c>
      <c r="Q111" s="37" t="s">
        <v>2124</v>
      </c>
    </row>
    <row r="112" spans="1:17" ht="110.4" hidden="1">
      <c r="A112" s="37" t="s">
        <v>2129</v>
      </c>
      <c r="B112" s="37" t="s">
        <v>326</v>
      </c>
      <c r="C112" s="37" t="s">
        <v>2124</v>
      </c>
      <c r="D112" s="37" t="s">
        <v>2130</v>
      </c>
      <c r="E112" s="37" t="s">
        <v>1899</v>
      </c>
      <c r="F112" s="37" t="s">
        <v>1899</v>
      </c>
      <c r="G112" s="37" t="s">
        <v>1899</v>
      </c>
      <c r="H112" s="37" t="s">
        <v>2126</v>
      </c>
      <c r="I112" s="37" t="s">
        <v>1899</v>
      </c>
      <c r="J112" s="37" t="s">
        <v>2127</v>
      </c>
      <c r="K112" s="37" t="s">
        <v>1899</v>
      </c>
      <c r="L112" s="37" t="s">
        <v>1899</v>
      </c>
      <c r="M112" s="37" t="s">
        <v>1987</v>
      </c>
      <c r="N112" s="37" t="s">
        <v>2000</v>
      </c>
      <c r="O112" s="37" t="s">
        <v>2128</v>
      </c>
      <c r="P112" s="37" t="s">
        <v>1909</v>
      </c>
      <c r="Q112" s="37" t="s">
        <v>2124</v>
      </c>
    </row>
    <row r="113" spans="1:17" ht="110.4" hidden="1">
      <c r="A113" s="37" t="s">
        <v>2131</v>
      </c>
      <c r="B113" s="37" t="s">
        <v>326</v>
      </c>
      <c r="C113" s="37" t="s">
        <v>2124</v>
      </c>
      <c r="D113" s="37" t="s">
        <v>2132</v>
      </c>
      <c r="E113" s="37" t="s">
        <v>1899</v>
      </c>
      <c r="F113" s="37" t="s">
        <v>1899</v>
      </c>
      <c r="G113" s="37" t="s">
        <v>1899</v>
      </c>
      <c r="H113" s="37" t="s">
        <v>2126</v>
      </c>
      <c r="I113" s="37" t="s">
        <v>1899</v>
      </c>
      <c r="J113" s="37" t="s">
        <v>2127</v>
      </c>
      <c r="K113" s="37" t="s">
        <v>1899</v>
      </c>
      <c r="L113" s="37" t="s">
        <v>1899</v>
      </c>
      <c r="M113" s="37" t="s">
        <v>1987</v>
      </c>
      <c r="N113" s="37" t="s">
        <v>2133</v>
      </c>
      <c r="O113" s="37" t="s">
        <v>2128</v>
      </c>
      <c r="P113" s="37" t="s">
        <v>1909</v>
      </c>
      <c r="Q113" s="37" t="s">
        <v>2124</v>
      </c>
    </row>
    <row r="114" spans="1:17" ht="110.4" hidden="1">
      <c r="A114" s="37" t="s">
        <v>2134</v>
      </c>
      <c r="B114" s="37" t="s">
        <v>326</v>
      </c>
      <c r="C114" s="37" t="s">
        <v>2124</v>
      </c>
      <c r="D114" s="37" t="s">
        <v>2135</v>
      </c>
      <c r="E114" s="37" t="s">
        <v>1899</v>
      </c>
      <c r="F114" s="37" t="s">
        <v>1899</v>
      </c>
      <c r="G114" s="37" t="s">
        <v>1899</v>
      </c>
      <c r="H114" s="37" t="s">
        <v>2126</v>
      </c>
      <c r="I114" s="37" t="s">
        <v>1899</v>
      </c>
      <c r="J114" s="37" t="s">
        <v>2127</v>
      </c>
      <c r="K114" s="37" t="s">
        <v>1899</v>
      </c>
      <c r="L114" s="37" t="s">
        <v>1899</v>
      </c>
      <c r="M114" s="37" t="s">
        <v>1987</v>
      </c>
      <c r="N114" s="37" t="s">
        <v>2136</v>
      </c>
      <c r="O114" s="37" t="s">
        <v>2128</v>
      </c>
      <c r="P114" s="37" t="s">
        <v>1909</v>
      </c>
      <c r="Q114" s="37" t="s">
        <v>2124</v>
      </c>
    </row>
    <row r="115" spans="1:17" ht="110.4" hidden="1">
      <c r="A115" s="37" t="s">
        <v>2137</v>
      </c>
      <c r="B115" s="37" t="s">
        <v>326</v>
      </c>
      <c r="C115" s="37" t="s">
        <v>401</v>
      </c>
      <c r="D115" s="37" t="s">
        <v>2138</v>
      </c>
      <c r="E115" s="37" t="s">
        <v>1899</v>
      </c>
      <c r="F115" s="37" t="s">
        <v>330</v>
      </c>
      <c r="G115" s="37" t="s">
        <v>2139</v>
      </c>
      <c r="H115" s="37" t="s">
        <v>2140</v>
      </c>
      <c r="I115" s="37" t="s">
        <v>2141</v>
      </c>
      <c r="J115" s="37" t="s">
        <v>2142</v>
      </c>
      <c r="K115" s="37" t="s">
        <v>2143</v>
      </c>
      <c r="L115" s="37" t="s">
        <v>2144</v>
      </c>
      <c r="M115" s="37" t="s">
        <v>2145</v>
      </c>
      <c r="N115" s="37" t="s">
        <v>1907</v>
      </c>
      <c r="O115" s="37" t="s">
        <v>2146</v>
      </c>
      <c r="P115" s="37" t="s">
        <v>1909</v>
      </c>
      <c r="Q115" s="37" t="s">
        <v>2147</v>
      </c>
    </row>
    <row r="116" spans="1:17" ht="110.4" hidden="1">
      <c r="A116" s="37" t="s">
        <v>2148</v>
      </c>
      <c r="B116" s="37" t="s">
        <v>326</v>
      </c>
      <c r="C116" s="37" t="s">
        <v>404</v>
      </c>
      <c r="D116" s="37" t="s">
        <v>2149</v>
      </c>
      <c r="E116" s="37" t="s">
        <v>1899</v>
      </c>
      <c r="F116" s="37" t="s">
        <v>330</v>
      </c>
      <c r="G116" s="37" t="s">
        <v>2139</v>
      </c>
      <c r="H116" s="37" t="s">
        <v>2140</v>
      </c>
      <c r="I116" s="37" t="s">
        <v>2150</v>
      </c>
      <c r="J116" s="37" t="s">
        <v>2142</v>
      </c>
      <c r="K116" s="37" t="s">
        <v>2151</v>
      </c>
      <c r="L116" s="37" t="s">
        <v>2144</v>
      </c>
      <c r="M116" s="37" t="s">
        <v>2145</v>
      </c>
      <c r="N116" s="37" t="s">
        <v>1907</v>
      </c>
      <c r="O116" s="37" t="s">
        <v>2152</v>
      </c>
      <c r="P116" s="37" t="s">
        <v>1909</v>
      </c>
      <c r="Q116" s="37" t="s">
        <v>2147</v>
      </c>
    </row>
    <row r="117" spans="1:17" ht="110.4" hidden="1">
      <c r="A117" s="37" t="s">
        <v>2153</v>
      </c>
      <c r="B117" s="37" t="s">
        <v>326</v>
      </c>
      <c r="C117" s="37" t="s">
        <v>2154</v>
      </c>
      <c r="D117" s="37" t="s">
        <v>2155</v>
      </c>
      <c r="E117" s="37" t="s">
        <v>1899</v>
      </c>
      <c r="F117" s="37" t="s">
        <v>345</v>
      </c>
      <c r="G117" s="37" t="s">
        <v>1901</v>
      </c>
      <c r="H117" s="37" t="s">
        <v>2126</v>
      </c>
      <c r="I117" s="37" t="s">
        <v>2156</v>
      </c>
      <c r="J117" s="37" t="s">
        <v>2157</v>
      </c>
      <c r="K117" s="37" t="s">
        <v>2158</v>
      </c>
      <c r="L117" s="37" t="s">
        <v>2159</v>
      </c>
      <c r="M117" s="37" t="s">
        <v>2160</v>
      </c>
      <c r="N117" s="37" t="s">
        <v>1907</v>
      </c>
      <c r="O117" s="37" t="s">
        <v>2161</v>
      </c>
      <c r="P117" s="37" t="s">
        <v>1909</v>
      </c>
      <c r="Q117" s="37" t="s">
        <v>2147</v>
      </c>
    </row>
    <row r="118" spans="1:17" ht="110.4" hidden="1">
      <c r="A118" s="37" t="s">
        <v>2162</v>
      </c>
      <c r="B118" s="37" t="s">
        <v>326</v>
      </c>
      <c r="C118" s="37" t="s">
        <v>2163</v>
      </c>
      <c r="D118" s="37" t="s">
        <v>2164</v>
      </c>
      <c r="E118" s="37" t="s">
        <v>1899</v>
      </c>
      <c r="F118" s="37" t="s">
        <v>345</v>
      </c>
      <c r="G118" s="37" t="s">
        <v>1901</v>
      </c>
      <c r="H118" s="37" t="s">
        <v>2126</v>
      </c>
      <c r="I118" s="37" t="s">
        <v>2156</v>
      </c>
      <c r="J118" s="37" t="s">
        <v>2157</v>
      </c>
      <c r="K118" s="37" t="s">
        <v>2158</v>
      </c>
      <c r="L118" s="37" t="s">
        <v>2165</v>
      </c>
      <c r="M118" s="37" t="s">
        <v>2160</v>
      </c>
      <c r="N118" s="37" t="s">
        <v>2033</v>
      </c>
      <c r="O118" s="37" t="s">
        <v>2161</v>
      </c>
      <c r="P118" s="37" t="s">
        <v>1909</v>
      </c>
      <c r="Q118" s="37" t="s">
        <v>393</v>
      </c>
    </row>
    <row r="119" spans="1:17" ht="110.4" hidden="1">
      <c r="A119" s="37" t="s">
        <v>2166</v>
      </c>
      <c r="B119" s="37" t="s">
        <v>386</v>
      </c>
      <c r="C119" s="37" t="s">
        <v>2167</v>
      </c>
      <c r="D119" s="37" t="s">
        <v>2168</v>
      </c>
      <c r="E119" s="37" t="s">
        <v>1899</v>
      </c>
      <c r="F119" s="37" t="s">
        <v>532</v>
      </c>
      <c r="G119" s="37" t="s">
        <v>1901</v>
      </c>
      <c r="H119" s="37" t="s">
        <v>2126</v>
      </c>
      <c r="I119" s="37" t="s">
        <v>2156</v>
      </c>
      <c r="J119" s="37" t="s">
        <v>2157</v>
      </c>
      <c r="K119" s="37" t="s">
        <v>2169</v>
      </c>
      <c r="L119" s="37" t="s">
        <v>2165</v>
      </c>
      <c r="M119" s="37" t="s">
        <v>2160</v>
      </c>
      <c r="N119" s="37" t="s">
        <v>2033</v>
      </c>
      <c r="O119" s="37" t="s">
        <v>2170</v>
      </c>
      <c r="P119" s="37" t="s">
        <v>1909</v>
      </c>
      <c r="Q119" s="37" t="s">
        <v>393</v>
      </c>
    </row>
    <row r="120" spans="1:17" ht="110.4" hidden="1">
      <c r="A120" s="37" t="s">
        <v>2171</v>
      </c>
      <c r="B120" s="37" t="s">
        <v>326</v>
      </c>
      <c r="C120" s="37" t="s">
        <v>2172</v>
      </c>
      <c r="D120" s="37" t="s">
        <v>2173</v>
      </c>
      <c r="E120" s="37" t="s">
        <v>1899</v>
      </c>
      <c r="F120" s="37" t="s">
        <v>345</v>
      </c>
      <c r="G120" s="37" t="s">
        <v>1901</v>
      </c>
      <c r="H120" s="37" t="s">
        <v>2126</v>
      </c>
      <c r="I120" s="37" t="s">
        <v>2156</v>
      </c>
      <c r="J120" s="37" t="s">
        <v>2157</v>
      </c>
      <c r="K120" s="37" t="s">
        <v>2158</v>
      </c>
      <c r="L120" s="37" t="s">
        <v>2165</v>
      </c>
      <c r="M120" s="37" t="s">
        <v>2160</v>
      </c>
      <c r="N120" s="37" t="s">
        <v>2029</v>
      </c>
      <c r="O120" s="37" t="s">
        <v>2161</v>
      </c>
      <c r="P120" s="37" t="s">
        <v>1909</v>
      </c>
      <c r="Q120" s="37" t="s">
        <v>393</v>
      </c>
    </row>
    <row r="121" spans="1:17" ht="110.4" hidden="1">
      <c r="A121" s="37" t="s">
        <v>2174</v>
      </c>
      <c r="B121" s="37" t="s">
        <v>326</v>
      </c>
      <c r="C121" s="37" t="s">
        <v>2175</v>
      </c>
      <c r="D121" s="37" t="s">
        <v>2176</v>
      </c>
      <c r="E121" s="37" t="s">
        <v>1899</v>
      </c>
      <c r="F121" s="37" t="s">
        <v>532</v>
      </c>
      <c r="G121" s="37" t="s">
        <v>1901</v>
      </c>
      <c r="H121" s="37" t="s">
        <v>2126</v>
      </c>
      <c r="I121" s="37" t="s">
        <v>2156</v>
      </c>
      <c r="J121" s="37" t="s">
        <v>2157</v>
      </c>
      <c r="K121" s="37" t="s">
        <v>2169</v>
      </c>
      <c r="L121" s="37" t="s">
        <v>2165</v>
      </c>
      <c r="M121" s="37" t="s">
        <v>2160</v>
      </c>
      <c r="N121" s="37" t="s">
        <v>2029</v>
      </c>
      <c r="O121" s="37" t="s">
        <v>2177</v>
      </c>
      <c r="P121" s="37" t="s">
        <v>1909</v>
      </c>
      <c r="Q121" s="37" t="s">
        <v>393</v>
      </c>
    </row>
    <row r="122" spans="1:17" ht="110.4" hidden="1">
      <c r="A122" s="37" t="s">
        <v>2178</v>
      </c>
      <c r="B122" s="37" t="s">
        <v>326</v>
      </c>
      <c r="C122" s="37" t="s">
        <v>2179</v>
      </c>
      <c r="D122" s="37" t="s">
        <v>2180</v>
      </c>
      <c r="E122" s="37" t="s">
        <v>1899</v>
      </c>
      <c r="F122" s="37" t="s">
        <v>580</v>
      </c>
      <c r="G122" s="37" t="s">
        <v>1901</v>
      </c>
      <c r="H122" s="37" t="s">
        <v>2126</v>
      </c>
      <c r="I122" s="37" t="s">
        <v>2156</v>
      </c>
      <c r="J122" s="37" t="s">
        <v>2157</v>
      </c>
      <c r="K122" s="37" t="s">
        <v>2181</v>
      </c>
      <c r="L122" s="37" t="s">
        <v>2165</v>
      </c>
      <c r="M122" s="37" t="s">
        <v>2160</v>
      </c>
      <c r="N122" s="37" t="s">
        <v>2000</v>
      </c>
      <c r="O122" s="60" t="s">
        <v>2170</v>
      </c>
      <c r="P122" s="37" t="s">
        <v>1909</v>
      </c>
      <c r="Q122" s="37" t="s">
        <v>393</v>
      </c>
    </row>
    <row r="123" spans="1:17" ht="110.4" hidden="1">
      <c r="A123" s="37" t="s">
        <v>2182</v>
      </c>
      <c r="B123" s="37" t="s">
        <v>386</v>
      </c>
      <c r="C123" s="37" t="s">
        <v>2183</v>
      </c>
      <c r="D123" s="37" t="s">
        <v>2184</v>
      </c>
      <c r="E123" s="37" t="s">
        <v>1899</v>
      </c>
      <c r="F123" s="37" t="s">
        <v>623</v>
      </c>
      <c r="G123" s="37" t="s">
        <v>1901</v>
      </c>
      <c r="H123" s="37" t="s">
        <v>2126</v>
      </c>
      <c r="I123" s="37" t="s">
        <v>2156</v>
      </c>
      <c r="J123" s="37" t="s">
        <v>2157</v>
      </c>
      <c r="K123" s="37" t="s">
        <v>2185</v>
      </c>
      <c r="L123" s="37" t="s">
        <v>2165</v>
      </c>
      <c r="M123" s="37" t="s">
        <v>2160</v>
      </c>
      <c r="N123" s="37" t="s">
        <v>2000</v>
      </c>
      <c r="O123" s="60" t="s">
        <v>2170</v>
      </c>
      <c r="P123" s="37" t="s">
        <v>1909</v>
      </c>
      <c r="Q123" s="37" t="s">
        <v>393</v>
      </c>
    </row>
    <row r="124" spans="1:17" ht="110.4" hidden="1">
      <c r="A124" s="37" t="s">
        <v>2186</v>
      </c>
      <c r="B124" s="37" t="s">
        <v>326</v>
      </c>
      <c r="C124" s="37" t="s">
        <v>2187</v>
      </c>
      <c r="D124" s="37" t="s">
        <v>2188</v>
      </c>
      <c r="E124" s="37" t="s">
        <v>1899</v>
      </c>
      <c r="F124" s="37" t="s">
        <v>345</v>
      </c>
      <c r="G124" s="37" t="s">
        <v>1901</v>
      </c>
      <c r="H124" s="37" t="s">
        <v>2126</v>
      </c>
      <c r="I124" s="37" t="s">
        <v>2156</v>
      </c>
      <c r="J124" s="37" t="s">
        <v>2157</v>
      </c>
      <c r="K124" s="37" t="s">
        <v>2158</v>
      </c>
      <c r="L124" s="37" t="s">
        <v>2159</v>
      </c>
      <c r="M124" s="37" t="s">
        <v>2160</v>
      </c>
      <c r="N124" s="37" t="s">
        <v>2006</v>
      </c>
      <c r="O124" s="37" t="s">
        <v>2161</v>
      </c>
      <c r="P124" s="37" t="s">
        <v>1909</v>
      </c>
      <c r="Q124" s="37" t="s">
        <v>393</v>
      </c>
    </row>
    <row r="125" spans="1:17" ht="110.4" hidden="1">
      <c r="A125" s="37" t="s">
        <v>2189</v>
      </c>
      <c r="B125" s="37" t="s">
        <v>326</v>
      </c>
      <c r="C125" s="37" t="s">
        <v>2190</v>
      </c>
      <c r="D125" s="37" t="s">
        <v>2191</v>
      </c>
      <c r="E125" s="37" t="s">
        <v>1899</v>
      </c>
      <c r="F125" s="37" t="s">
        <v>345</v>
      </c>
      <c r="G125" s="37" t="s">
        <v>1901</v>
      </c>
      <c r="H125" s="37" t="s">
        <v>2126</v>
      </c>
      <c r="I125" s="37" t="s">
        <v>2156</v>
      </c>
      <c r="J125" s="37" t="s">
        <v>2157</v>
      </c>
      <c r="K125" s="37" t="s">
        <v>2158</v>
      </c>
      <c r="L125" s="37" t="s">
        <v>2159</v>
      </c>
      <c r="M125" s="37" t="s">
        <v>2160</v>
      </c>
      <c r="N125" s="37" t="s">
        <v>2009</v>
      </c>
      <c r="O125" s="37" t="s">
        <v>2161</v>
      </c>
      <c r="P125" s="37" t="s">
        <v>1909</v>
      </c>
      <c r="Q125" s="37" t="s">
        <v>393</v>
      </c>
    </row>
    <row r="126" spans="1:17" ht="110.4" hidden="1">
      <c r="A126" s="37" t="s">
        <v>2192</v>
      </c>
      <c r="B126" s="37" t="s">
        <v>326</v>
      </c>
      <c r="C126" s="37" t="s">
        <v>2193</v>
      </c>
      <c r="D126" s="37" t="s">
        <v>2194</v>
      </c>
      <c r="E126" s="37" t="s">
        <v>1899</v>
      </c>
      <c r="F126" s="37" t="s">
        <v>505</v>
      </c>
      <c r="G126" s="37" t="s">
        <v>1901</v>
      </c>
      <c r="H126" s="37" t="s">
        <v>2126</v>
      </c>
      <c r="I126" s="37" t="s">
        <v>2156</v>
      </c>
      <c r="J126" s="37" t="s">
        <v>2157</v>
      </c>
      <c r="K126" s="37" t="s">
        <v>2195</v>
      </c>
      <c r="L126" s="37" t="s">
        <v>2165</v>
      </c>
      <c r="M126" s="37" t="s">
        <v>2160</v>
      </c>
      <c r="N126" s="37" t="s">
        <v>2012</v>
      </c>
      <c r="O126" s="37" t="s">
        <v>2177</v>
      </c>
      <c r="P126" s="37" t="s">
        <v>1909</v>
      </c>
      <c r="Q126" s="37" t="s">
        <v>393</v>
      </c>
    </row>
    <row r="127" spans="1:17" ht="110.4" hidden="1">
      <c r="A127" s="37" t="s">
        <v>2196</v>
      </c>
      <c r="B127" s="37" t="s">
        <v>326</v>
      </c>
      <c r="C127" s="37" t="s">
        <v>2197</v>
      </c>
      <c r="D127" s="37" t="s">
        <v>2198</v>
      </c>
      <c r="E127" s="37" t="s">
        <v>1899</v>
      </c>
      <c r="F127" s="37" t="s">
        <v>345</v>
      </c>
      <c r="G127" s="37" t="s">
        <v>1901</v>
      </c>
      <c r="H127" s="37" t="s">
        <v>2126</v>
      </c>
      <c r="I127" s="37" t="s">
        <v>2156</v>
      </c>
      <c r="J127" s="37" t="s">
        <v>2157</v>
      </c>
      <c r="K127" s="37" t="s">
        <v>2158</v>
      </c>
      <c r="L127" s="37" t="s">
        <v>2159</v>
      </c>
      <c r="M127" s="37" t="s">
        <v>2160</v>
      </c>
      <c r="N127" s="37" t="s">
        <v>2026</v>
      </c>
      <c r="O127" s="37" t="s">
        <v>2161</v>
      </c>
      <c r="P127" s="37" t="s">
        <v>1909</v>
      </c>
      <c r="Q127" s="37" t="s">
        <v>393</v>
      </c>
    </row>
    <row r="128" spans="1:17" ht="151.80000000000001" hidden="1">
      <c r="A128" s="37" t="s">
        <v>305</v>
      </c>
      <c r="B128" s="37" t="s">
        <v>326</v>
      </c>
      <c r="C128" s="37" t="s">
        <v>346</v>
      </c>
      <c r="D128" s="37" t="s">
        <v>2199</v>
      </c>
      <c r="E128" s="37" t="s">
        <v>1899</v>
      </c>
      <c r="F128" s="37" t="s">
        <v>316</v>
      </c>
      <c r="G128" s="37" t="s">
        <v>1901</v>
      </c>
      <c r="H128" s="37" t="s">
        <v>349</v>
      </c>
      <c r="I128" s="37" t="s">
        <v>2200</v>
      </c>
      <c r="J128" s="37" t="s">
        <v>1984</v>
      </c>
      <c r="K128" s="37" t="s">
        <v>2201</v>
      </c>
      <c r="L128" s="37" t="s">
        <v>1986</v>
      </c>
      <c r="M128" s="37" t="s">
        <v>2202</v>
      </c>
      <c r="N128" s="37" t="s">
        <v>2203</v>
      </c>
      <c r="O128" s="37" t="s">
        <v>2204</v>
      </c>
      <c r="P128" s="37" t="s">
        <v>1909</v>
      </c>
      <c r="Q128" s="37" t="s">
        <v>393</v>
      </c>
    </row>
    <row r="129" spans="1:17" ht="110.4" hidden="1">
      <c r="A129" s="37" t="s">
        <v>318</v>
      </c>
      <c r="B129" s="37" t="s">
        <v>1637</v>
      </c>
      <c r="C129" s="37" t="s">
        <v>2205</v>
      </c>
      <c r="D129" s="37" t="s">
        <v>2206</v>
      </c>
      <c r="E129" s="37" t="s">
        <v>1918</v>
      </c>
      <c r="F129" s="37" t="s">
        <v>1899</v>
      </c>
      <c r="G129" s="37" t="s">
        <v>1919</v>
      </c>
      <c r="H129" s="37" t="s">
        <v>1938</v>
      </c>
      <c r="I129" s="37" t="s">
        <v>1921</v>
      </c>
      <c r="J129" s="37" t="s">
        <v>1922</v>
      </c>
      <c r="K129" s="37" t="s">
        <v>1939</v>
      </c>
      <c r="L129" s="37" t="s">
        <v>1924</v>
      </c>
      <c r="M129" s="37" t="s">
        <v>2207</v>
      </c>
      <c r="N129" s="37" t="s">
        <v>2203</v>
      </c>
      <c r="O129" s="37" t="s">
        <v>1926</v>
      </c>
      <c r="P129" s="37" t="s">
        <v>1927</v>
      </c>
      <c r="Q129" s="37" t="s">
        <v>393</v>
      </c>
    </row>
    <row r="130" spans="1:17" ht="179.4" hidden="1">
      <c r="A130" s="37" t="s">
        <v>322</v>
      </c>
      <c r="B130" s="37" t="s">
        <v>326</v>
      </c>
      <c r="C130" s="37" t="s">
        <v>998</v>
      </c>
      <c r="D130" s="37" t="s">
        <v>2208</v>
      </c>
      <c r="E130" s="37" t="s">
        <v>2209</v>
      </c>
      <c r="F130" s="37" t="s">
        <v>1899</v>
      </c>
      <c r="G130" s="37" t="s">
        <v>15</v>
      </c>
      <c r="H130" s="37" t="s">
        <v>1938</v>
      </c>
      <c r="I130" s="37" t="s">
        <v>2210</v>
      </c>
      <c r="J130" s="37" t="s">
        <v>1944</v>
      </c>
      <c r="K130" s="37" t="s">
        <v>2211</v>
      </c>
      <c r="L130" s="37" t="s">
        <v>2212</v>
      </c>
      <c r="M130" s="37" t="s">
        <v>2213</v>
      </c>
      <c r="N130" s="37" t="s">
        <v>2203</v>
      </c>
      <c r="O130" s="37" t="s">
        <v>2214</v>
      </c>
      <c r="P130" s="37" t="s">
        <v>1909</v>
      </c>
      <c r="Q130" s="37" t="s">
        <v>393</v>
      </c>
    </row>
    <row r="131" spans="1:17" ht="138" hidden="1">
      <c r="A131" s="37" t="s">
        <v>327</v>
      </c>
      <c r="B131" s="37" t="s">
        <v>1637</v>
      </c>
      <c r="C131" s="37" t="s">
        <v>2215</v>
      </c>
      <c r="D131" s="37" t="s">
        <v>2216</v>
      </c>
      <c r="E131" s="37" t="s">
        <v>1899</v>
      </c>
      <c r="F131" s="37" t="s">
        <v>505</v>
      </c>
      <c r="G131" s="37" t="s">
        <v>1901</v>
      </c>
      <c r="H131" s="37" t="s">
        <v>1938</v>
      </c>
      <c r="I131" s="37" t="s">
        <v>1983</v>
      </c>
      <c r="J131" s="37" t="s">
        <v>1984</v>
      </c>
      <c r="K131" s="37" t="s">
        <v>2023</v>
      </c>
      <c r="L131" s="37" t="s">
        <v>1986</v>
      </c>
      <c r="M131" s="37" t="s">
        <v>2217</v>
      </c>
      <c r="N131" s="37" t="s">
        <v>2203</v>
      </c>
      <c r="O131" s="37" t="s">
        <v>1989</v>
      </c>
      <c r="P131" s="37" t="s">
        <v>1990</v>
      </c>
      <c r="Q131" s="37" t="s">
        <v>393</v>
      </c>
    </row>
    <row r="132" spans="1:17" ht="138" hidden="1">
      <c r="A132" s="37" t="s">
        <v>330</v>
      </c>
      <c r="B132" s="37" t="s">
        <v>1637</v>
      </c>
      <c r="C132" s="37" t="s">
        <v>1540</v>
      </c>
      <c r="D132" s="37" t="s">
        <v>2218</v>
      </c>
      <c r="E132" s="37" t="s">
        <v>590</v>
      </c>
      <c r="F132" s="37" t="s">
        <v>1899</v>
      </c>
      <c r="G132" s="37" t="s">
        <v>15</v>
      </c>
      <c r="H132" s="37" t="s">
        <v>1938</v>
      </c>
      <c r="I132" s="37" t="s">
        <v>1993</v>
      </c>
      <c r="J132" s="37" t="s">
        <v>1994</v>
      </c>
      <c r="K132" s="37" t="s">
        <v>1995</v>
      </c>
      <c r="L132" s="37" t="s">
        <v>2041</v>
      </c>
      <c r="M132" s="37" t="s">
        <v>2219</v>
      </c>
      <c r="N132" s="37" t="s">
        <v>2203</v>
      </c>
      <c r="O132" s="37" t="s">
        <v>1998</v>
      </c>
      <c r="P132" s="37" t="s">
        <v>1909</v>
      </c>
      <c r="Q132" s="37" t="s">
        <v>393</v>
      </c>
    </row>
    <row r="133" spans="1:17" ht="138" hidden="1">
      <c r="A133" s="37" t="s">
        <v>334</v>
      </c>
      <c r="B133" s="37" t="s">
        <v>1637</v>
      </c>
      <c r="C133" s="37" t="s">
        <v>2220</v>
      </c>
      <c r="D133" s="37" t="s">
        <v>2221</v>
      </c>
      <c r="E133" s="37" t="s">
        <v>1899</v>
      </c>
      <c r="F133" s="37" t="s">
        <v>330</v>
      </c>
      <c r="G133" s="37" t="s">
        <v>1901</v>
      </c>
      <c r="H133" s="37" t="s">
        <v>2126</v>
      </c>
      <c r="I133" s="37" t="s">
        <v>2156</v>
      </c>
      <c r="J133" s="37" t="s">
        <v>2157</v>
      </c>
      <c r="K133" s="37" t="s">
        <v>2222</v>
      </c>
      <c r="L133" s="37" t="s">
        <v>393</v>
      </c>
      <c r="M133" s="37" t="s">
        <v>2223</v>
      </c>
      <c r="N133" s="37" t="s">
        <v>2203</v>
      </c>
      <c r="O133" s="37" t="s">
        <v>2224</v>
      </c>
      <c r="P133" s="37" t="s">
        <v>1909</v>
      </c>
      <c r="Q133" s="37" t="s">
        <v>393</v>
      </c>
    </row>
    <row r="134" spans="1:17" ht="138" hidden="1">
      <c r="A134" s="37" t="s">
        <v>336</v>
      </c>
      <c r="B134" s="37" t="s">
        <v>1637</v>
      </c>
      <c r="C134" s="37" t="s">
        <v>2225</v>
      </c>
      <c r="D134" s="37" t="s">
        <v>2226</v>
      </c>
      <c r="E134" s="37" t="s">
        <v>1899</v>
      </c>
      <c r="F134" s="37" t="s">
        <v>330</v>
      </c>
      <c r="G134" s="37" t="s">
        <v>1901</v>
      </c>
      <c r="H134" s="37" t="s">
        <v>2126</v>
      </c>
      <c r="I134" s="37" t="s">
        <v>2156</v>
      </c>
      <c r="J134" s="37" t="s">
        <v>2157</v>
      </c>
      <c r="K134" s="37" t="s">
        <v>2222</v>
      </c>
      <c r="L134" s="37" t="s">
        <v>2159</v>
      </c>
      <c r="M134" s="37" t="s">
        <v>2223</v>
      </c>
      <c r="N134" s="37" t="s">
        <v>2203</v>
      </c>
      <c r="O134" s="37" t="s">
        <v>2224</v>
      </c>
      <c r="P134" s="37" t="s">
        <v>1909</v>
      </c>
      <c r="Q134" s="37" t="s">
        <v>393</v>
      </c>
    </row>
    <row r="135" spans="1:17" ht="110.4" hidden="1">
      <c r="A135" s="37" t="s">
        <v>339</v>
      </c>
      <c r="B135" s="37" t="s">
        <v>326</v>
      </c>
      <c r="C135" s="37" t="s">
        <v>2124</v>
      </c>
      <c r="D135" s="37" t="s">
        <v>2227</v>
      </c>
      <c r="E135" s="37" t="s">
        <v>1899</v>
      </c>
      <c r="F135" s="37" t="s">
        <v>1899</v>
      </c>
      <c r="G135" s="37" t="s">
        <v>1899</v>
      </c>
      <c r="H135" s="37" t="s">
        <v>2126</v>
      </c>
      <c r="I135" s="37" t="s">
        <v>1899</v>
      </c>
      <c r="J135" s="37" t="s">
        <v>2127</v>
      </c>
      <c r="K135" s="37" t="s">
        <v>1899</v>
      </c>
      <c r="L135" s="37" t="s">
        <v>1899</v>
      </c>
      <c r="M135" s="37" t="s">
        <v>1987</v>
      </c>
      <c r="N135" s="37" t="s">
        <v>2203</v>
      </c>
      <c r="O135" s="37" t="s">
        <v>2228</v>
      </c>
      <c r="P135" s="37" t="s">
        <v>1909</v>
      </c>
      <c r="Q135" s="37" t="s">
        <v>2124</v>
      </c>
    </row>
  </sheetData>
  <autoFilter ref="A1:Q135" xr:uid="{66AA1F8B-06FF-4C3E-807B-3B7F335C642F}">
    <filterColumn colId="13">
      <filters>
        <filter val="ITR East - Utilities"/>
      </filters>
    </filterColumn>
    <filterColumn colId="14">
      <filters>
        <filter val="1600 x 600 x Note - 2"/>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73"/>
  <sheetViews>
    <sheetView workbookViewId="0">
      <pane xSplit="3" ySplit="1" topLeftCell="D133" activePane="bottomRight" state="frozen"/>
      <selection pane="topRight" activeCell="D1" sqref="D1"/>
      <selection pane="bottomLeft" activeCell="A2" sqref="A2"/>
      <selection pane="bottomRight" activeCell="D140" sqref="D140:F150"/>
    </sheetView>
  </sheetViews>
  <sheetFormatPr defaultColWidth="12.6640625" defaultRowHeight="15.75" customHeight="1"/>
  <cols>
    <col min="1" max="1" width="66.88671875" customWidth="1"/>
    <col min="3" max="3" width="12.6640625" style="6"/>
    <col min="5" max="7" width="12.6640625" style="6"/>
    <col min="10" max="10" width="71.88671875" customWidth="1"/>
    <col min="11" max="11" width="25.33203125" customWidth="1"/>
    <col min="36" max="36" width="42.5546875" customWidth="1"/>
  </cols>
  <sheetData>
    <row r="1" spans="1:11" ht="39.6">
      <c r="A1" s="1" t="s">
        <v>2229</v>
      </c>
      <c r="B1" s="1" t="s">
        <v>2230</v>
      </c>
      <c r="C1" s="5" t="s">
        <v>2231</v>
      </c>
      <c r="D1" s="9" t="s">
        <v>2232</v>
      </c>
      <c r="E1" s="14" t="s">
        <v>2233</v>
      </c>
      <c r="F1" s="15" t="s">
        <v>2234</v>
      </c>
      <c r="G1" s="17" t="s">
        <v>2235</v>
      </c>
      <c r="H1" t="s">
        <v>2236</v>
      </c>
      <c r="I1" s="10" t="s">
        <v>2237</v>
      </c>
      <c r="K1" s="10" t="s">
        <v>2238</v>
      </c>
    </row>
    <row r="2" spans="1:11" ht="13.2">
      <c r="A2" s="1" t="s">
        <v>2239</v>
      </c>
    </row>
    <row r="3" spans="1:11" ht="13.2">
      <c r="A3" s="2" t="s">
        <v>2240</v>
      </c>
    </row>
    <row r="4" spans="1:11" ht="13.2">
      <c r="A4" s="2" t="s">
        <v>2241</v>
      </c>
      <c r="B4" s="1" t="s">
        <v>2242</v>
      </c>
      <c r="C4" s="6">
        <v>1</v>
      </c>
      <c r="F4" s="6">
        <f>SUM(C4:E4)</f>
        <v>1</v>
      </c>
      <c r="G4" s="6">
        <v>1000</v>
      </c>
      <c r="H4">
        <f>G4*F4</f>
        <v>1000</v>
      </c>
      <c r="I4">
        <f>H4/G4</f>
        <v>1</v>
      </c>
    </row>
    <row r="5" spans="1:11" ht="13.2">
      <c r="A5" s="2" t="s">
        <v>2243</v>
      </c>
      <c r="B5" s="1" t="s">
        <v>2242</v>
      </c>
      <c r="C5" s="6">
        <v>1</v>
      </c>
      <c r="F5" s="6">
        <f t="shared" ref="F5:F10" si="0">SUM(C5:E5)</f>
        <v>1</v>
      </c>
      <c r="G5" s="6">
        <v>1000</v>
      </c>
      <c r="H5">
        <f t="shared" ref="H5:H11" si="1">G5*F5</f>
        <v>1000</v>
      </c>
      <c r="I5">
        <f t="shared" ref="I5:I11" si="2">H5/G5</f>
        <v>1</v>
      </c>
    </row>
    <row r="6" spans="1:11" ht="13.2">
      <c r="A6" s="2" t="s">
        <v>2244</v>
      </c>
      <c r="B6" s="1" t="s">
        <v>2242</v>
      </c>
      <c r="C6" s="6">
        <v>1</v>
      </c>
      <c r="F6" s="6">
        <f t="shared" si="0"/>
        <v>1</v>
      </c>
      <c r="G6" s="6">
        <v>1000</v>
      </c>
      <c r="H6">
        <f t="shared" si="1"/>
        <v>1000</v>
      </c>
      <c r="I6">
        <f t="shared" si="2"/>
        <v>1</v>
      </c>
    </row>
    <row r="7" spans="1:11" ht="13.2">
      <c r="A7" s="1" t="s">
        <v>2245</v>
      </c>
      <c r="B7" s="1" t="s">
        <v>2242</v>
      </c>
      <c r="F7" s="6">
        <v>2</v>
      </c>
      <c r="G7" s="6">
        <v>650</v>
      </c>
      <c r="H7">
        <f t="shared" si="1"/>
        <v>1300</v>
      </c>
      <c r="I7">
        <f t="shared" si="2"/>
        <v>2</v>
      </c>
    </row>
    <row r="8" spans="1:11" ht="13.2">
      <c r="A8" s="2" t="s">
        <v>2246</v>
      </c>
      <c r="B8" s="1" t="s">
        <v>2242</v>
      </c>
      <c r="C8" s="7">
        <v>1</v>
      </c>
      <c r="F8" s="6">
        <f t="shared" si="0"/>
        <v>1</v>
      </c>
      <c r="G8" s="6">
        <v>1000</v>
      </c>
      <c r="H8">
        <f t="shared" si="1"/>
        <v>1000</v>
      </c>
      <c r="I8">
        <f t="shared" si="2"/>
        <v>1</v>
      </c>
    </row>
    <row r="9" spans="1:11" ht="13.2">
      <c r="A9" s="1" t="s">
        <v>2247</v>
      </c>
      <c r="B9" s="1" t="s">
        <v>2242</v>
      </c>
      <c r="C9" s="7">
        <v>8</v>
      </c>
      <c r="F9" s="6">
        <f t="shared" si="0"/>
        <v>8</v>
      </c>
      <c r="G9" s="6">
        <v>800</v>
      </c>
      <c r="H9">
        <f t="shared" si="1"/>
        <v>6400</v>
      </c>
      <c r="I9">
        <f t="shared" si="2"/>
        <v>8</v>
      </c>
    </row>
    <row r="10" spans="1:11" ht="13.2">
      <c r="A10" s="1" t="s">
        <v>2248</v>
      </c>
      <c r="B10" s="1" t="s">
        <v>2242</v>
      </c>
      <c r="C10" s="7">
        <v>0</v>
      </c>
      <c r="D10">
        <v>2</v>
      </c>
      <c r="F10" s="6">
        <f t="shared" si="0"/>
        <v>2</v>
      </c>
      <c r="G10" s="6">
        <v>800</v>
      </c>
      <c r="H10">
        <f t="shared" si="1"/>
        <v>1600</v>
      </c>
      <c r="I10">
        <f t="shared" si="2"/>
        <v>2</v>
      </c>
    </row>
    <row r="11" spans="1:11" ht="13.2">
      <c r="A11" s="1" t="s">
        <v>2249</v>
      </c>
      <c r="B11" s="1"/>
      <c r="C11" s="8"/>
      <c r="D11" s="8"/>
      <c r="F11" s="6">
        <v>4</v>
      </c>
      <c r="G11" s="6">
        <v>400</v>
      </c>
      <c r="H11">
        <f t="shared" si="1"/>
        <v>1600</v>
      </c>
      <c r="I11">
        <f t="shared" si="2"/>
        <v>4</v>
      </c>
    </row>
    <row r="12" spans="1:11" s="20" customFormat="1" ht="13.2">
      <c r="A12" s="18"/>
      <c r="B12" s="18"/>
      <c r="C12" s="19"/>
      <c r="E12" s="21"/>
      <c r="F12" s="21"/>
      <c r="G12" s="21"/>
      <c r="H12" s="20">
        <f>SUM(H4:H11)</f>
        <v>14900</v>
      </c>
      <c r="I12" s="20">
        <f>SUM(I4:I11)</f>
        <v>20</v>
      </c>
    </row>
    <row r="13" spans="1:11" ht="13.2">
      <c r="A13" s="2" t="s">
        <v>2250</v>
      </c>
      <c r="B13" s="1"/>
      <c r="C13" s="7"/>
    </row>
    <row r="14" spans="1:11" ht="13.2">
      <c r="A14" s="2" t="s">
        <v>2241</v>
      </c>
      <c r="B14" s="1" t="s">
        <v>2242</v>
      </c>
      <c r="C14" s="6">
        <v>1</v>
      </c>
      <c r="F14" s="6">
        <f t="shared" ref="F14:F24" si="3">SUM(C14:E14)</f>
        <v>1</v>
      </c>
      <c r="G14" s="6">
        <v>1000</v>
      </c>
      <c r="H14">
        <f t="shared" ref="H14:H20" si="4">G14*F14</f>
        <v>1000</v>
      </c>
      <c r="I14">
        <f t="shared" ref="I14:I20" si="5">H14/G14</f>
        <v>1</v>
      </c>
    </row>
    <row r="15" spans="1:11" ht="13.2">
      <c r="A15" s="2" t="s">
        <v>2243</v>
      </c>
      <c r="B15" s="1" t="s">
        <v>2242</v>
      </c>
      <c r="C15" s="6">
        <v>1</v>
      </c>
      <c r="F15" s="6">
        <f t="shared" si="3"/>
        <v>1</v>
      </c>
      <c r="G15" s="6">
        <v>1000</v>
      </c>
      <c r="H15">
        <f t="shared" si="4"/>
        <v>1000</v>
      </c>
      <c r="I15">
        <f t="shared" si="5"/>
        <v>1</v>
      </c>
    </row>
    <row r="16" spans="1:11" ht="13.2">
      <c r="A16" s="2" t="s">
        <v>2244</v>
      </c>
      <c r="B16" s="1" t="s">
        <v>2242</v>
      </c>
      <c r="C16" s="6">
        <v>1</v>
      </c>
      <c r="F16" s="6">
        <f t="shared" si="3"/>
        <v>1</v>
      </c>
      <c r="G16" s="6">
        <v>1000</v>
      </c>
      <c r="H16">
        <f t="shared" si="4"/>
        <v>1000</v>
      </c>
      <c r="I16">
        <f t="shared" si="5"/>
        <v>1</v>
      </c>
    </row>
    <row r="17" spans="1:11" ht="13.2">
      <c r="A17" s="2" t="s">
        <v>2245</v>
      </c>
      <c r="B17" s="1" t="s">
        <v>2242</v>
      </c>
      <c r="F17" s="6">
        <v>2</v>
      </c>
      <c r="G17" s="6">
        <v>650</v>
      </c>
      <c r="H17">
        <f t="shared" si="4"/>
        <v>1300</v>
      </c>
      <c r="I17">
        <f t="shared" si="5"/>
        <v>2</v>
      </c>
    </row>
    <row r="18" spans="1:11" ht="13.2">
      <c r="A18" s="1" t="s">
        <v>2251</v>
      </c>
      <c r="B18" s="1" t="s">
        <v>2242</v>
      </c>
      <c r="C18" s="8">
        <v>10</v>
      </c>
      <c r="F18" s="6">
        <f t="shared" si="3"/>
        <v>10</v>
      </c>
      <c r="G18" s="6">
        <v>800</v>
      </c>
      <c r="H18">
        <f t="shared" si="4"/>
        <v>8000</v>
      </c>
      <c r="I18">
        <f t="shared" si="5"/>
        <v>10</v>
      </c>
    </row>
    <row r="19" spans="1:11" ht="13.2">
      <c r="A19" s="1" t="s">
        <v>2252</v>
      </c>
      <c r="B19" s="1" t="s">
        <v>2242</v>
      </c>
      <c r="C19" s="8">
        <v>1</v>
      </c>
      <c r="F19" s="6">
        <f t="shared" si="3"/>
        <v>1</v>
      </c>
      <c r="G19" s="6">
        <v>800</v>
      </c>
      <c r="H19">
        <f t="shared" si="4"/>
        <v>800</v>
      </c>
      <c r="I19">
        <f t="shared" si="5"/>
        <v>1</v>
      </c>
    </row>
    <row r="20" spans="1:11" ht="13.2">
      <c r="A20" s="1" t="s">
        <v>2253</v>
      </c>
      <c r="B20" s="1" t="s">
        <v>2242</v>
      </c>
      <c r="C20" s="8">
        <v>2</v>
      </c>
      <c r="F20" s="6">
        <f t="shared" si="3"/>
        <v>2</v>
      </c>
      <c r="G20" s="6">
        <v>800</v>
      </c>
      <c r="H20">
        <f t="shared" si="4"/>
        <v>1600</v>
      </c>
      <c r="I20">
        <f t="shared" si="5"/>
        <v>2</v>
      </c>
    </row>
    <row r="21" spans="1:11" ht="13.2">
      <c r="A21" s="4" t="s">
        <v>2254</v>
      </c>
      <c r="B21" s="1"/>
      <c r="C21" s="7"/>
    </row>
    <row r="22" spans="1:11" ht="13.2">
      <c r="A22" s="1" t="s">
        <v>2255</v>
      </c>
      <c r="B22" s="1" t="s">
        <v>2242</v>
      </c>
      <c r="C22" s="8"/>
      <c r="D22" s="8">
        <v>2</v>
      </c>
      <c r="F22" s="6">
        <f t="shared" si="3"/>
        <v>2</v>
      </c>
      <c r="G22" s="6">
        <v>800</v>
      </c>
      <c r="H22">
        <f>G22*F22</f>
        <v>1600</v>
      </c>
      <c r="I22">
        <f>H22/G22</f>
        <v>2</v>
      </c>
    </row>
    <row r="23" spans="1:11" ht="13.2">
      <c r="A23" s="1" t="s">
        <v>2256</v>
      </c>
      <c r="B23" s="1" t="s">
        <v>2242</v>
      </c>
      <c r="C23" s="8"/>
      <c r="D23" s="8">
        <v>1</v>
      </c>
      <c r="F23" s="6">
        <f t="shared" si="3"/>
        <v>1</v>
      </c>
      <c r="G23" s="6">
        <v>800</v>
      </c>
      <c r="H23">
        <f>G23*F23</f>
        <v>800</v>
      </c>
      <c r="I23">
        <f>H23/G23</f>
        <v>1</v>
      </c>
    </row>
    <row r="24" spans="1:11" ht="13.2">
      <c r="A24" s="1" t="s">
        <v>2257</v>
      </c>
      <c r="B24" s="1" t="s">
        <v>2242</v>
      </c>
      <c r="C24" s="8"/>
      <c r="D24" s="8">
        <v>1</v>
      </c>
      <c r="F24" s="6">
        <f t="shared" si="3"/>
        <v>1</v>
      </c>
      <c r="G24" s="6">
        <v>800</v>
      </c>
      <c r="H24">
        <f>G24*F24</f>
        <v>800</v>
      </c>
      <c r="I24">
        <f>H24/G24</f>
        <v>1</v>
      </c>
    </row>
    <row r="25" spans="1:11" ht="13.2">
      <c r="A25" s="1" t="s">
        <v>2249</v>
      </c>
      <c r="B25" s="1"/>
      <c r="C25" s="8"/>
      <c r="D25" s="8"/>
      <c r="F25" s="6">
        <v>4</v>
      </c>
      <c r="G25" s="6">
        <v>400</v>
      </c>
      <c r="H25">
        <f>G25*F25</f>
        <v>1600</v>
      </c>
      <c r="I25">
        <f>H25/G25</f>
        <v>4</v>
      </c>
    </row>
    <row r="26" spans="1:11" ht="13.2">
      <c r="A26" s="1"/>
      <c r="B26" s="1"/>
      <c r="C26" s="7"/>
      <c r="H26">
        <f>SUM(H14:H25)</f>
        <v>19500</v>
      </c>
      <c r="I26" s="20">
        <f>SUM(I14:I25)</f>
        <v>26</v>
      </c>
    </row>
    <row r="27" spans="1:11" ht="13.2">
      <c r="A27" s="1"/>
      <c r="B27" s="1"/>
      <c r="C27" s="7"/>
    </row>
    <row r="28" spans="1:11" ht="13.2">
      <c r="A28" s="2" t="s">
        <v>2258</v>
      </c>
    </row>
    <row r="29" spans="1:11" ht="13.2">
      <c r="A29" s="3" t="s">
        <v>2259</v>
      </c>
      <c r="B29" s="1"/>
      <c r="C29" s="7"/>
    </row>
    <row r="30" spans="1:11" ht="13.2">
      <c r="A30" s="1" t="s">
        <v>2241</v>
      </c>
      <c r="B30" s="1" t="s">
        <v>2242</v>
      </c>
      <c r="C30" s="7">
        <v>1</v>
      </c>
      <c r="D30" s="6">
        <v>0</v>
      </c>
      <c r="F30" s="6">
        <f t="shared" ref="F30:F40" si="6">SUM(C30:E30)</f>
        <v>1</v>
      </c>
      <c r="G30" s="6">
        <v>600</v>
      </c>
      <c r="H30">
        <f t="shared" ref="H30:H35" si="7">F30*G30</f>
        <v>600</v>
      </c>
      <c r="I30">
        <f t="shared" ref="I30:I35" si="8">H30/G30</f>
        <v>1</v>
      </c>
      <c r="J30" t="str">
        <f>_xlfn.CONCAT(A30,"",": ",F30," ",B30)</f>
        <v>Incoming Bus A: 1 PNL</v>
      </c>
      <c r="K30" s="10" t="s">
        <v>2260</v>
      </c>
    </row>
    <row r="31" spans="1:11" ht="13.2">
      <c r="A31" s="1" t="s">
        <v>2244</v>
      </c>
      <c r="B31" s="1" t="s">
        <v>2242</v>
      </c>
      <c r="C31" s="7">
        <v>1</v>
      </c>
      <c r="D31" s="6">
        <v>0</v>
      </c>
      <c r="F31" s="6">
        <f t="shared" si="6"/>
        <v>1</v>
      </c>
      <c r="G31" s="6">
        <v>600</v>
      </c>
      <c r="H31">
        <f t="shared" si="7"/>
        <v>600</v>
      </c>
      <c r="I31">
        <f t="shared" si="8"/>
        <v>1</v>
      </c>
      <c r="J31" t="str">
        <f t="shared" ref="J31:J51" si="9">_xlfn.CONCAT(A31,"",": ",F31," ",B31)</f>
        <v>Bus Tie: 1 PNL</v>
      </c>
      <c r="K31" s="10" t="s">
        <v>2261</v>
      </c>
    </row>
    <row r="32" spans="1:11" ht="13.2">
      <c r="A32" s="1" t="s">
        <v>2262</v>
      </c>
      <c r="B32" s="1" t="s">
        <v>2242</v>
      </c>
      <c r="C32" s="7">
        <f>'70-IK-61-0001'!O3</f>
        <v>9</v>
      </c>
      <c r="D32" s="7">
        <f>'70-IK-61-0001'!P3</f>
        <v>3</v>
      </c>
      <c r="E32" s="15">
        <f t="shared" ref="E32:E40" si="10">IF(AND(C32=0,D32=0),1,0)</f>
        <v>0</v>
      </c>
      <c r="F32" s="6">
        <f t="shared" si="6"/>
        <v>12</v>
      </c>
      <c r="G32" s="6">
        <v>600</v>
      </c>
      <c r="H32">
        <f t="shared" si="7"/>
        <v>7200</v>
      </c>
      <c r="I32">
        <f t="shared" si="8"/>
        <v>12</v>
      </c>
      <c r="J32" t="str">
        <f t="shared" si="9"/>
        <v>400V Air Circuit Breaker (ACB) Feeder Cubicle (per Dwg LV1): 12 PNL</v>
      </c>
      <c r="K32" s="10" t="s">
        <v>2263</v>
      </c>
    </row>
    <row r="33" spans="1:11" ht="13.2">
      <c r="A33" s="1" t="s">
        <v>2264</v>
      </c>
      <c r="B33" s="1" t="s">
        <v>2265</v>
      </c>
      <c r="C33" s="7">
        <v>0</v>
      </c>
      <c r="D33" s="7">
        <v>0</v>
      </c>
      <c r="E33" s="15">
        <f t="shared" si="10"/>
        <v>1</v>
      </c>
      <c r="F33" s="6">
        <f t="shared" si="6"/>
        <v>1</v>
      </c>
      <c r="G33" s="6">
        <v>600</v>
      </c>
      <c r="H33">
        <f t="shared" si="7"/>
        <v>600</v>
      </c>
      <c r="I33">
        <f t="shared" si="8"/>
        <v>1</v>
      </c>
      <c r="J33" t="str">
        <f t="shared" si="9"/>
        <v>400V MCCB Feeder Cubicle (I &gt; 160A WITHOUT EARTH FAULT, per Dwg LV2): 1 EACH</v>
      </c>
      <c r="K33" s="10" t="s">
        <v>2266</v>
      </c>
    </row>
    <row r="34" spans="1:11" ht="13.2">
      <c r="A34" s="1" t="s">
        <v>31</v>
      </c>
      <c r="B34" s="1" t="s">
        <v>2265</v>
      </c>
      <c r="C34" s="7">
        <f>'70-IK-61-0001'!O4</f>
        <v>16</v>
      </c>
      <c r="D34" s="7">
        <f>'70-IK-61-0001'!P4</f>
        <v>5</v>
      </c>
      <c r="E34" s="15">
        <f t="shared" si="10"/>
        <v>0</v>
      </c>
      <c r="F34" s="6">
        <f t="shared" si="6"/>
        <v>21</v>
      </c>
      <c r="G34" s="6">
        <v>600</v>
      </c>
      <c r="H34">
        <f t="shared" si="7"/>
        <v>12600</v>
      </c>
      <c r="I34">
        <f t="shared" si="8"/>
        <v>21</v>
      </c>
      <c r="J34" t="str">
        <f t="shared" si="9"/>
        <v>400V MCCB Feeder Cubicle (I &gt; 160A, per Dwg LV3): 21 EACH</v>
      </c>
      <c r="K34" s="10" t="s">
        <v>2267</v>
      </c>
    </row>
    <row r="35" spans="1:11" ht="13.2">
      <c r="A35" s="1" t="s">
        <v>2268</v>
      </c>
      <c r="B35" s="1" t="s">
        <v>2265</v>
      </c>
      <c r="C35" s="7">
        <f>'70-IK-61-0001'!O9</f>
        <v>11</v>
      </c>
      <c r="D35" s="7">
        <f>'70-IK-61-0001'!P9</f>
        <v>4</v>
      </c>
      <c r="E35" s="15">
        <f>IF(AND(C35=0,D35=0),1,0)</f>
        <v>0</v>
      </c>
      <c r="F35" s="6">
        <f>SUM(C35:E35)</f>
        <v>15</v>
      </c>
      <c r="G35" s="6">
        <v>600</v>
      </c>
      <c r="H35">
        <f t="shared" si="7"/>
        <v>9000</v>
      </c>
      <c r="I35">
        <f t="shared" si="8"/>
        <v>15</v>
      </c>
      <c r="J35" t="str">
        <f>_xlfn.CONCAT(A35,"",": ",F35," ",B35)</f>
        <v>400V FVNR Motor Starter Cubicle (55kW &lt; P &lt; 200kW, per Dwg LV10): 15 EACH</v>
      </c>
      <c r="K35" s="10" t="s">
        <v>2269</v>
      </c>
    </row>
    <row r="36" spans="1:11" ht="13.2">
      <c r="A36" s="1" t="s">
        <v>21</v>
      </c>
      <c r="B36" s="1" t="s">
        <v>2265</v>
      </c>
      <c r="C36" s="7">
        <f>'70-IK-61-0001'!O5</f>
        <v>29</v>
      </c>
      <c r="D36" s="7">
        <f>'70-IK-61-0001'!P5</f>
        <v>9</v>
      </c>
      <c r="E36" s="15">
        <f t="shared" si="10"/>
        <v>0</v>
      </c>
      <c r="F36" s="6">
        <f t="shared" si="6"/>
        <v>38</v>
      </c>
      <c r="G36" s="6">
        <v>600</v>
      </c>
      <c r="H36" s="16"/>
      <c r="I36" s="16"/>
      <c r="J36" t="str">
        <f t="shared" si="9"/>
        <v>400V MCCB Feeder Cubicle (I &lt; 160A, per Dwg LV4): 38 EACH</v>
      </c>
      <c r="K36" s="10" t="s">
        <v>2270</v>
      </c>
    </row>
    <row r="37" spans="1:11" ht="13.2">
      <c r="A37" s="1" t="s">
        <v>44</v>
      </c>
      <c r="B37" s="1" t="s">
        <v>2265</v>
      </c>
      <c r="C37" s="7">
        <f>'70-IK-61-0001'!O6</f>
        <v>0</v>
      </c>
      <c r="D37" s="7">
        <f>'70-IK-61-0001'!P6</f>
        <v>0</v>
      </c>
      <c r="E37" s="15">
        <f t="shared" si="10"/>
        <v>1</v>
      </c>
      <c r="F37" s="6">
        <f t="shared" si="6"/>
        <v>1</v>
      </c>
      <c r="G37" s="6">
        <v>600</v>
      </c>
      <c r="H37" s="16"/>
      <c r="I37" s="16"/>
      <c r="J37" t="str">
        <f t="shared" si="9"/>
        <v>400V 3Ph+N+PE Feeder Cubicle (per Dwg LV5): 1 EACH</v>
      </c>
      <c r="K37" s="10" t="s">
        <v>2270</v>
      </c>
    </row>
    <row r="38" spans="1:11" ht="13.2">
      <c r="A38" s="1" t="s">
        <v>37</v>
      </c>
      <c r="B38" s="1" t="s">
        <v>2265</v>
      </c>
      <c r="C38" s="7">
        <f>'70-IK-61-0001'!O7</f>
        <v>5</v>
      </c>
      <c r="D38" s="7">
        <f>'70-IK-61-0001'!P7</f>
        <v>2</v>
      </c>
      <c r="E38" s="15">
        <f t="shared" si="10"/>
        <v>0</v>
      </c>
      <c r="F38" s="6">
        <f t="shared" si="6"/>
        <v>7</v>
      </c>
      <c r="G38" s="6">
        <v>600</v>
      </c>
      <c r="H38" s="16"/>
      <c r="I38" s="16"/>
      <c r="J38" t="str">
        <f t="shared" si="9"/>
        <v>400V SCR-Controlled Heater Feeder Cubicle (per Dwg LV8): 7 EACH</v>
      </c>
      <c r="K38" s="10" t="s">
        <v>2270</v>
      </c>
    </row>
    <row r="39" spans="1:11" ht="13.2">
      <c r="A39" s="1" t="s">
        <v>2271</v>
      </c>
      <c r="B39" s="1" t="s">
        <v>2265</v>
      </c>
      <c r="C39" s="7">
        <f>'70-IK-61-0001'!O8</f>
        <v>9</v>
      </c>
      <c r="D39" s="7">
        <f>'70-IK-61-0001'!P8</f>
        <v>3</v>
      </c>
      <c r="E39" s="15">
        <f t="shared" si="10"/>
        <v>0</v>
      </c>
      <c r="F39" s="6">
        <f t="shared" si="6"/>
        <v>12</v>
      </c>
      <c r="G39" s="6">
        <v>600</v>
      </c>
      <c r="H39" s="16"/>
      <c r="I39" s="16"/>
      <c r="J39" t="str">
        <f t="shared" si="9"/>
        <v>400V MCCB Feeder for VSD Cubicle (per Dwg LV9): 12 EACH</v>
      </c>
      <c r="K39" s="10" t="s">
        <v>2270</v>
      </c>
    </row>
    <row r="40" spans="1:11" ht="13.2">
      <c r="A40" s="1" t="s">
        <v>2272</v>
      </c>
      <c r="B40" s="1" t="s">
        <v>2265</v>
      </c>
      <c r="C40" s="7">
        <f>'70-IK-61-0001'!O10</f>
        <v>0</v>
      </c>
      <c r="D40" s="7">
        <f>'70-IK-61-0001'!P10</f>
        <v>0</v>
      </c>
      <c r="E40" s="15">
        <f t="shared" si="10"/>
        <v>1</v>
      </c>
      <c r="F40" s="6">
        <f t="shared" si="6"/>
        <v>1</v>
      </c>
      <c r="G40" s="6">
        <v>600</v>
      </c>
      <c r="H40" s="16">
        <f>ROUNDUP(SUM(F36:F40)/8/2,0)*G40</f>
        <v>2400</v>
      </c>
      <c r="I40" s="16">
        <f>H40/G40</f>
        <v>4</v>
      </c>
      <c r="J40" t="str">
        <f t="shared" si="9"/>
        <v>400V FVNR Motor Starter Cubicle (P ≤ 55kW, per Dwg LV11): 1 EACH</v>
      </c>
      <c r="K40" s="10" t="s">
        <v>2270</v>
      </c>
    </row>
    <row r="41" spans="1:11" ht="13.2">
      <c r="A41" s="1"/>
      <c r="B41" s="1"/>
      <c r="C41" s="7"/>
    </row>
    <row r="42" spans="1:11" ht="15.75" customHeight="1">
      <c r="A42" s="3" t="s">
        <v>2273</v>
      </c>
    </row>
    <row r="43" spans="1:11" ht="13.2">
      <c r="A43" s="1" t="s">
        <v>2243</v>
      </c>
      <c r="B43" s="1" t="s">
        <v>2242</v>
      </c>
      <c r="C43" s="7">
        <v>1</v>
      </c>
      <c r="D43" s="6">
        <v>0</v>
      </c>
      <c r="F43" s="6">
        <f t="shared" ref="F43:F51" si="11">SUM(C43:E43)</f>
        <v>1</v>
      </c>
      <c r="G43" s="6">
        <v>600</v>
      </c>
      <c r="H43">
        <f>F43*G43</f>
        <v>600</v>
      </c>
      <c r="I43">
        <f>H43/G43</f>
        <v>1</v>
      </c>
      <c r="J43" t="str">
        <f t="shared" si="9"/>
        <v>Incoming Bus B: 1 PNL</v>
      </c>
      <c r="K43" s="10" t="s">
        <v>2274</v>
      </c>
    </row>
    <row r="44" spans="1:11" ht="13.2">
      <c r="A44" s="1" t="s">
        <v>2262</v>
      </c>
      <c r="B44" s="1" t="s">
        <v>2242</v>
      </c>
      <c r="C44" s="7">
        <f>'70-IK-61-0001'!O12</f>
        <v>9</v>
      </c>
      <c r="D44" s="7">
        <f>'70-IK-61-0001'!P12</f>
        <v>2</v>
      </c>
      <c r="E44" s="15">
        <f t="shared" ref="E44:E51" si="12">IF(AND(C44=0,D44=0),1,0)</f>
        <v>0</v>
      </c>
      <c r="F44" s="6">
        <f t="shared" si="11"/>
        <v>11</v>
      </c>
      <c r="G44" s="6">
        <v>600</v>
      </c>
      <c r="H44">
        <f>F44*G44</f>
        <v>6600</v>
      </c>
      <c r="I44">
        <f>H44/G44</f>
        <v>11</v>
      </c>
      <c r="J44" t="str">
        <f t="shared" si="9"/>
        <v>400V Air Circuit Breaker (ACB) Feeder Cubicle (per Dwg LV1): 11 PNL</v>
      </c>
      <c r="K44" s="10" t="s">
        <v>2263</v>
      </c>
    </row>
    <row r="45" spans="1:11" ht="13.2">
      <c r="A45" s="1" t="s">
        <v>2264</v>
      </c>
      <c r="B45" s="1" t="s">
        <v>2265</v>
      </c>
      <c r="C45" s="7">
        <v>0</v>
      </c>
      <c r="D45" s="7">
        <v>0</v>
      </c>
      <c r="E45" s="15">
        <f t="shared" si="12"/>
        <v>1</v>
      </c>
      <c r="F45" s="6">
        <f t="shared" si="11"/>
        <v>1</v>
      </c>
      <c r="G45" s="6">
        <v>600</v>
      </c>
      <c r="H45">
        <f>F45*G45</f>
        <v>600</v>
      </c>
      <c r="I45">
        <f>H45/G45</f>
        <v>1</v>
      </c>
      <c r="J45" t="str">
        <f t="shared" si="9"/>
        <v>400V MCCB Feeder Cubicle (I &gt; 160A WITHOUT EARTH FAULT, per Dwg LV2): 1 EACH</v>
      </c>
      <c r="K45" s="10" t="s">
        <v>2266</v>
      </c>
    </row>
    <row r="46" spans="1:11" ht="13.2">
      <c r="A46" s="1" t="s">
        <v>31</v>
      </c>
      <c r="B46" s="1" t="s">
        <v>2265</v>
      </c>
      <c r="C46" s="7">
        <f>'70-IK-61-0001'!O13</f>
        <v>16</v>
      </c>
      <c r="D46" s="7">
        <f>'70-IK-61-0001'!P13</f>
        <v>4</v>
      </c>
      <c r="E46" s="15">
        <f t="shared" si="12"/>
        <v>0</v>
      </c>
      <c r="F46" s="6">
        <f t="shared" si="11"/>
        <v>20</v>
      </c>
      <c r="G46" s="6">
        <v>600</v>
      </c>
      <c r="H46">
        <f>F46*G46</f>
        <v>12000</v>
      </c>
      <c r="I46">
        <f>H46/G46</f>
        <v>20</v>
      </c>
      <c r="J46" t="str">
        <f t="shared" si="9"/>
        <v>400V MCCB Feeder Cubicle (I &gt; 160A, per Dwg LV3): 20 EACH</v>
      </c>
      <c r="K46" s="10" t="s">
        <v>2267</v>
      </c>
    </row>
    <row r="47" spans="1:11" ht="13.2">
      <c r="A47" s="1" t="s">
        <v>2268</v>
      </c>
      <c r="B47" s="1" t="s">
        <v>2265</v>
      </c>
      <c r="C47" s="7">
        <f>'70-IK-61-0001'!O18</f>
        <v>11</v>
      </c>
      <c r="D47" s="7">
        <f>'70-IK-61-0001'!P18</f>
        <v>3</v>
      </c>
      <c r="E47" s="15">
        <f>IF(AND(C47=0,D47=0),1,0)</f>
        <v>0</v>
      </c>
      <c r="F47" s="6">
        <f>SUM(C47:E47)</f>
        <v>14</v>
      </c>
      <c r="G47" s="6">
        <v>600</v>
      </c>
      <c r="H47">
        <f>F47*G47</f>
        <v>8400</v>
      </c>
      <c r="I47">
        <f>H47/G47</f>
        <v>14</v>
      </c>
      <c r="J47" t="str">
        <f>_xlfn.CONCAT(A47,"",": ",F47," ",B47)</f>
        <v>400V FVNR Motor Starter Cubicle (55kW &lt; P &lt; 200kW, per Dwg LV10): 14 EACH</v>
      </c>
      <c r="K47" s="10" t="s">
        <v>2269</v>
      </c>
    </row>
    <row r="48" spans="1:11" ht="13.2">
      <c r="A48" s="1" t="s">
        <v>21</v>
      </c>
      <c r="B48" s="1" t="s">
        <v>2265</v>
      </c>
      <c r="C48" s="7">
        <f>'70-IK-61-0001'!O14</f>
        <v>29</v>
      </c>
      <c r="D48" s="7">
        <f>'70-IK-61-0001'!P14</f>
        <v>6</v>
      </c>
      <c r="E48" s="15">
        <f t="shared" si="12"/>
        <v>0</v>
      </c>
      <c r="F48" s="6">
        <f t="shared" si="11"/>
        <v>35</v>
      </c>
      <c r="G48" s="6">
        <v>600</v>
      </c>
      <c r="H48" s="16"/>
      <c r="I48" s="16"/>
      <c r="J48" t="str">
        <f t="shared" si="9"/>
        <v>400V MCCB Feeder Cubicle (I &lt; 160A, per Dwg LV4): 35 EACH</v>
      </c>
      <c r="K48" s="10" t="s">
        <v>2270</v>
      </c>
    </row>
    <row r="49" spans="1:11" ht="13.2">
      <c r="A49" s="1" t="s">
        <v>44</v>
      </c>
      <c r="B49" s="1" t="s">
        <v>2265</v>
      </c>
      <c r="C49" s="7">
        <f>'70-IK-61-0001'!O15</f>
        <v>0</v>
      </c>
      <c r="D49" s="7">
        <f>'70-IK-61-0001'!P15</f>
        <v>0</v>
      </c>
      <c r="E49" s="15">
        <f t="shared" si="12"/>
        <v>1</v>
      </c>
      <c r="F49" s="6">
        <f t="shared" si="11"/>
        <v>1</v>
      </c>
      <c r="G49" s="6">
        <v>600</v>
      </c>
      <c r="H49" s="16"/>
      <c r="I49" s="16"/>
      <c r="J49" t="str">
        <f t="shared" si="9"/>
        <v>400V 3Ph+N+PE Feeder Cubicle (per Dwg LV5): 1 EACH</v>
      </c>
      <c r="K49" s="10" t="s">
        <v>2270</v>
      </c>
    </row>
    <row r="50" spans="1:11" ht="13.2">
      <c r="A50" s="1" t="s">
        <v>37</v>
      </c>
      <c r="B50" s="1" t="s">
        <v>2265</v>
      </c>
      <c r="C50" s="7">
        <f>'70-IK-61-0001'!O16</f>
        <v>5</v>
      </c>
      <c r="D50" s="7">
        <f>'70-IK-61-0001'!P16</f>
        <v>1</v>
      </c>
      <c r="E50" s="15">
        <f t="shared" si="12"/>
        <v>0</v>
      </c>
      <c r="F50" s="6">
        <f t="shared" si="11"/>
        <v>6</v>
      </c>
      <c r="G50" s="6">
        <v>600</v>
      </c>
      <c r="H50" s="16"/>
      <c r="I50" s="16"/>
      <c r="J50" t="str">
        <f t="shared" si="9"/>
        <v>400V SCR-Controlled Heater Feeder Cubicle (per Dwg LV8): 6 EACH</v>
      </c>
      <c r="K50" s="10" t="s">
        <v>2270</v>
      </c>
    </row>
    <row r="51" spans="1:11" ht="13.2">
      <c r="A51" s="1" t="s">
        <v>2271</v>
      </c>
      <c r="B51" s="1" t="s">
        <v>2265</v>
      </c>
      <c r="C51" s="7">
        <f>'70-IK-61-0001'!O17</f>
        <v>9</v>
      </c>
      <c r="D51" s="7">
        <f>'70-IK-61-0001'!P17</f>
        <v>2</v>
      </c>
      <c r="E51" s="15">
        <f t="shared" si="12"/>
        <v>0</v>
      </c>
      <c r="F51" s="6">
        <f t="shared" si="11"/>
        <v>11</v>
      </c>
      <c r="G51" s="6">
        <v>600</v>
      </c>
      <c r="H51" s="16"/>
      <c r="I51" s="16"/>
      <c r="J51" t="str">
        <f t="shared" si="9"/>
        <v>400V MCCB Feeder for VSD Cubicle (per Dwg LV9): 11 EACH</v>
      </c>
      <c r="K51" s="10" t="s">
        <v>2270</v>
      </c>
    </row>
    <row r="52" spans="1:11" ht="13.2">
      <c r="A52" s="1" t="s">
        <v>2272</v>
      </c>
      <c r="B52" s="1" t="s">
        <v>2265</v>
      </c>
      <c r="C52" s="7">
        <f>'70-IK-61-0001'!O19</f>
        <v>0</v>
      </c>
      <c r="D52" s="7">
        <f>'70-IK-61-0001'!P19</f>
        <v>0</v>
      </c>
      <c r="E52" s="15">
        <f>IF(AND(C52=0,D52=0),1,0)</f>
        <v>1</v>
      </c>
      <c r="F52" s="6">
        <f>SUM(C52:E52)</f>
        <v>1</v>
      </c>
      <c r="G52" s="6">
        <v>600</v>
      </c>
      <c r="H52" s="16">
        <f>ROUNDUP(SUM(F48:F52)/8/2,0)*G52</f>
        <v>2400</v>
      </c>
      <c r="I52" s="16">
        <f>H52/G52</f>
        <v>4</v>
      </c>
      <c r="J52" t="str">
        <f>_xlfn.CONCAT(A52,"",": ",F52," ",B52)</f>
        <v>400V FVNR Motor Starter Cubicle (P ≤ 55kW, per Dwg LV11): 1 EACH</v>
      </c>
      <c r="K52" s="10" t="s">
        <v>2270</v>
      </c>
    </row>
    <row r="53" spans="1:11" s="20" customFormat="1" ht="15.75" customHeight="1">
      <c r="C53" s="21"/>
      <c r="E53" s="21"/>
      <c r="F53" s="21"/>
      <c r="G53" s="21"/>
      <c r="H53" s="20">
        <f>SUM(H30:H52)</f>
        <v>63600</v>
      </c>
      <c r="I53" s="20">
        <f>SUM(I30:I52)</f>
        <v>106</v>
      </c>
    </row>
    <row r="55" spans="1:11" ht="15.75" customHeight="1">
      <c r="A55" s="10" t="s">
        <v>2275</v>
      </c>
    </row>
    <row r="56" spans="1:11" ht="13.2">
      <c r="A56" s="1" t="s">
        <v>2241</v>
      </c>
      <c r="B56" s="1" t="s">
        <v>2242</v>
      </c>
      <c r="C56" s="7">
        <v>1</v>
      </c>
      <c r="D56" s="7">
        <f>'70-IK-61-0001'!P23</f>
        <v>0</v>
      </c>
      <c r="F56" s="6">
        <f t="shared" ref="F56:F66" si="13">SUM(C56:E56)</f>
        <v>1</v>
      </c>
      <c r="G56" s="6">
        <v>600</v>
      </c>
      <c r="H56">
        <f t="shared" ref="H56:H61" si="14">F56*G56</f>
        <v>600</v>
      </c>
      <c r="I56">
        <f t="shared" ref="I56:I61" si="15">H56/G56</f>
        <v>1</v>
      </c>
      <c r="J56" t="str">
        <f t="shared" ref="J56:J88" si="16">_xlfn.CONCAT(A56,"",": ",F56," ",B56)</f>
        <v>Incoming Bus A: 1 PNL</v>
      </c>
      <c r="K56" s="10" t="s">
        <v>2260</v>
      </c>
    </row>
    <row r="57" spans="1:11" ht="13.2">
      <c r="A57" s="1" t="s">
        <v>2244</v>
      </c>
      <c r="B57" s="1" t="s">
        <v>2242</v>
      </c>
      <c r="C57" s="7">
        <v>1</v>
      </c>
      <c r="D57" s="7">
        <v>0</v>
      </c>
      <c r="F57" s="6">
        <f t="shared" si="13"/>
        <v>1</v>
      </c>
      <c r="G57" s="6">
        <v>600</v>
      </c>
      <c r="H57">
        <f t="shared" si="14"/>
        <v>600</v>
      </c>
      <c r="I57">
        <f t="shared" si="15"/>
        <v>1</v>
      </c>
      <c r="J57" t="str">
        <f t="shared" si="16"/>
        <v>Bus Tie: 1 PNL</v>
      </c>
      <c r="K57" s="10" t="s">
        <v>2261</v>
      </c>
    </row>
    <row r="58" spans="1:11" ht="13.2">
      <c r="A58" s="1" t="s">
        <v>2262</v>
      </c>
      <c r="B58" s="1" t="s">
        <v>2242</v>
      </c>
      <c r="C58" s="7" t="e">
        <f>'70-IK-61-0003 '!#REF!</f>
        <v>#REF!</v>
      </c>
      <c r="D58" s="7" t="e">
        <f>'70-IK-61-0003 '!#REF!</f>
        <v>#REF!</v>
      </c>
      <c r="E58" s="15" t="e">
        <f t="shared" ref="E58:E66" si="17">IF(AND(C58=0,D58=0),1,0)</f>
        <v>#REF!</v>
      </c>
      <c r="F58" s="6" t="e">
        <f t="shared" si="13"/>
        <v>#REF!</v>
      </c>
      <c r="G58" s="6">
        <v>600</v>
      </c>
      <c r="H58" t="e">
        <f t="shared" si="14"/>
        <v>#REF!</v>
      </c>
      <c r="I58" t="e">
        <f t="shared" si="15"/>
        <v>#REF!</v>
      </c>
      <c r="J58" t="e">
        <f t="shared" si="16"/>
        <v>#REF!</v>
      </c>
      <c r="K58" s="10" t="s">
        <v>2263</v>
      </c>
    </row>
    <row r="59" spans="1:11" ht="13.2">
      <c r="A59" s="1" t="s">
        <v>2264</v>
      </c>
      <c r="B59" s="1" t="s">
        <v>2265</v>
      </c>
      <c r="C59" s="7">
        <v>0</v>
      </c>
      <c r="D59" s="7">
        <v>0</v>
      </c>
      <c r="E59" s="15">
        <f t="shared" si="17"/>
        <v>1</v>
      </c>
      <c r="F59" s="6">
        <f t="shared" si="13"/>
        <v>1</v>
      </c>
      <c r="G59" s="6">
        <v>600</v>
      </c>
      <c r="H59">
        <f t="shared" si="14"/>
        <v>600</v>
      </c>
      <c r="I59">
        <f t="shared" si="15"/>
        <v>1</v>
      </c>
      <c r="J59" t="str">
        <f t="shared" si="16"/>
        <v>400V MCCB Feeder Cubicle (I &gt; 160A WITHOUT EARTH FAULT, per Dwg LV2): 1 EACH</v>
      </c>
      <c r="K59" s="10" t="s">
        <v>2266</v>
      </c>
    </row>
    <row r="60" spans="1:11" ht="13.2">
      <c r="A60" s="1" t="s">
        <v>31</v>
      </c>
      <c r="B60" s="1" t="s">
        <v>2265</v>
      </c>
      <c r="C60" s="7" t="e">
        <f>'70-IK-61-0003 '!#REF!</f>
        <v>#REF!</v>
      </c>
      <c r="D60" s="7" t="e">
        <f>'70-IK-61-0003 '!#REF!</f>
        <v>#REF!</v>
      </c>
      <c r="E60" s="15" t="e">
        <f t="shared" si="17"/>
        <v>#REF!</v>
      </c>
      <c r="F60" s="6" t="e">
        <f t="shared" si="13"/>
        <v>#REF!</v>
      </c>
      <c r="G60" s="6">
        <v>600</v>
      </c>
      <c r="H60" t="e">
        <f t="shared" si="14"/>
        <v>#REF!</v>
      </c>
      <c r="I60" t="e">
        <f t="shared" si="15"/>
        <v>#REF!</v>
      </c>
      <c r="J60" t="e">
        <f t="shared" si="16"/>
        <v>#REF!</v>
      </c>
      <c r="K60" s="10" t="s">
        <v>2267</v>
      </c>
    </row>
    <row r="61" spans="1:11" ht="13.2">
      <c r="A61" s="1" t="s">
        <v>2268</v>
      </c>
      <c r="B61" s="1" t="s">
        <v>2265</v>
      </c>
      <c r="C61" s="7" t="e">
        <f>'70-IK-61-0003 '!#REF!</f>
        <v>#REF!</v>
      </c>
      <c r="D61" s="7" t="e">
        <f>'70-IK-61-0003 '!#REF!</f>
        <v>#REF!</v>
      </c>
      <c r="E61" s="15" t="e">
        <f>IF(AND(C61=0,D61=0),1,0)</f>
        <v>#REF!</v>
      </c>
      <c r="F61" s="6" t="e">
        <f>SUM(C61:E61)</f>
        <v>#REF!</v>
      </c>
      <c r="G61" s="6">
        <v>600</v>
      </c>
      <c r="H61" t="e">
        <f t="shared" si="14"/>
        <v>#REF!</v>
      </c>
      <c r="I61" t="e">
        <f t="shared" si="15"/>
        <v>#REF!</v>
      </c>
      <c r="J61" t="e">
        <f>_xlfn.CONCAT(A61,"",": ",F61," ",B61)</f>
        <v>#REF!</v>
      </c>
      <c r="K61" s="10" t="s">
        <v>2269</v>
      </c>
    </row>
    <row r="62" spans="1:11" ht="13.2">
      <c r="A62" s="1" t="s">
        <v>21</v>
      </c>
      <c r="B62" s="1" t="s">
        <v>2265</v>
      </c>
      <c r="C62" s="7" t="e">
        <f>'70-IK-61-0003 '!#REF!</f>
        <v>#REF!</v>
      </c>
      <c r="D62" s="7" t="e">
        <f>'70-IK-61-0003 '!#REF!</f>
        <v>#REF!</v>
      </c>
      <c r="E62" s="15" t="e">
        <f t="shared" si="17"/>
        <v>#REF!</v>
      </c>
      <c r="F62" s="6" t="e">
        <f t="shared" si="13"/>
        <v>#REF!</v>
      </c>
      <c r="G62" s="6">
        <v>600</v>
      </c>
      <c r="J62" t="e">
        <f t="shared" si="16"/>
        <v>#REF!</v>
      </c>
      <c r="K62" s="10" t="s">
        <v>2270</v>
      </c>
    </row>
    <row r="63" spans="1:11" ht="13.2">
      <c r="A63" s="1" t="s">
        <v>44</v>
      </c>
      <c r="B63" s="1" t="s">
        <v>2265</v>
      </c>
      <c r="C63" s="7" t="e">
        <f>'70-IK-61-0003 '!#REF!</f>
        <v>#REF!</v>
      </c>
      <c r="D63" s="7" t="e">
        <f>'70-IK-61-0003 '!#REF!</f>
        <v>#REF!</v>
      </c>
      <c r="E63" s="15" t="e">
        <f t="shared" si="17"/>
        <v>#REF!</v>
      </c>
      <c r="F63" s="6" t="e">
        <f t="shared" si="13"/>
        <v>#REF!</v>
      </c>
      <c r="G63" s="6">
        <v>600</v>
      </c>
      <c r="J63" t="e">
        <f t="shared" si="16"/>
        <v>#REF!</v>
      </c>
      <c r="K63" s="10" t="s">
        <v>2270</v>
      </c>
    </row>
    <row r="64" spans="1:11" ht="13.2">
      <c r="A64" s="1" t="s">
        <v>37</v>
      </c>
      <c r="B64" s="1" t="s">
        <v>2265</v>
      </c>
      <c r="C64" s="7" t="e">
        <f>'70-IK-61-0003 '!#REF!</f>
        <v>#REF!</v>
      </c>
      <c r="D64" s="7" t="e">
        <f>'70-IK-61-0003 '!#REF!</f>
        <v>#REF!</v>
      </c>
      <c r="E64" s="15" t="e">
        <f t="shared" si="17"/>
        <v>#REF!</v>
      </c>
      <c r="F64" s="6" t="e">
        <f t="shared" si="13"/>
        <v>#REF!</v>
      </c>
      <c r="G64" s="6">
        <v>600</v>
      </c>
      <c r="J64" t="e">
        <f t="shared" si="16"/>
        <v>#REF!</v>
      </c>
      <c r="K64" s="10" t="s">
        <v>2270</v>
      </c>
    </row>
    <row r="65" spans="1:11" ht="13.2">
      <c r="A65" s="1" t="s">
        <v>2271</v>
      </c>
      <c r="B65" s="1" t="s">
        <v>2265</v>
      </c>
      <c r="C65" s="7" t="e">
        <f>'70-IK-61-0003 '!#REF!</f>
        <v>#REF!</v>
      </c>
      <c r="D65" s="7" t="e">
        <f>'70-IK-61-0003 '!#REF!</f>
        <v>#REF!</v>
      </c>
      <c r="E65" s="15" t="e">
        <f t="shared" si="17"/>
        <v>#REF!</v>
      </c>
      <c r="F65" s="6" t="e">
        <f t="shared" si="13"/>
        <v>#REF!</v>
      </c>
      <c r="G65" s="6">
        <v>600</v>
      </c>
      <c r="J65" t="e">
        <f t="shared" si="16"/>
        <v>#REF!</v>
      </c>
      <c r="K65" s="10" t="s">
        <v>2270</v>
      </c>
    </row>
    <row r="66" spans="1:11" ht="13.2">
      <c r="A66" s="1" t="s">
        <v>2276</v>
      </c>
      <c r="B66" s="1" t="s">
        <v>2265</v>
      </c>
      <c r="C66" s="7" t="e">
        <f>'70-IK-61-0003 '!#REF!</f>
        <v>#REF!</v>
      </c>
      <c r="D66" s="7" t="e">
        <f>'70-IK-61-0003 '!#REF!</f>
        <v>#REF!</v>
      </c>
      <c r="E66" s="15" t="e">
        <f t="shared" si="17"/>
        <v>#REF!</v>
      </c>
      <c r="F66" s="6" t="e">
        <f t="shared" si="13"/>
        <v>#REF!</v>
      </c>
      <c r="G66" s="6">
        <v>600</v>
      </c>
      <c r="H66" s="16" t="e">
        <f>ROUNDUP(SUM(F62:F66)/8/2,0)*G66</f>
        <v>#REF!</v>
      </c>
      <c r="I66" t="e">
        <f>H66/G66</f>
        <v>#REF!</v>
      </c>
      <c r="J66" t="e">
        <f t="shared" si="16"/>
        <v>#REF!</v>
      </c>
      <c r="K66" s="10" t="s">
        <v>2270</v>
      </c>
    </row>
    <row r="67" spans="1:11" ht="15.75" customHeight="1">
      <c r="A67" t="s">
        <v>2277</v>
      </c>
      <c r="J67" t="str">
        <f t="shared" si="16"/>
        <v xml:space="preserve">EPMCC-3002 Bus B:  </v>
      </c>
    </row>
    <row r="68" spans="1:11" ht="13.2">
      <c r="A68" s="1" t="s">
        <v>2243</v>
      </c>
      <c r="B68" s="1" t="s">
        <v>2242</v>
      </c>
      <c r="C68" s="7">
        <v>1</v>
      </c>
      <c r="D68" s="7">
        <v>0</v>
      </c>
      <c r="E68" s="15">
        <f t="shared" ref="E68:E77" si="18">IF(AND(C68=0,D68=0),1,0)</f>
        <v>0</v>
      </c>
      <c r="F68" s="6">
        <f t="shared" ref="F68:F77" si="19">SUM(C68:E68)</f>
        <v>1</v>
      </c>
      <c r="G68" s="6">
        <v>600</v>
      </c>
      <c r="H68">
        <f>F68*G68</f>
        <v>600</v>
      </c>
      <c r="I68">
        <f>H68/G68</f>
        <v>1</v>
      </c>
      <c r="J68" t="str">
        <f t="shared" si="16"/>
        <v>Incoming Bus B: 1 PNL</v>
      </c>
      <c r="K68" s="10" t="s">
        <v>2274</v>
      </c>
    </row>
    <row r="69" spans="1:11" ht="13.2">
      <c r="A69" s="1" t="s">
        <v>2262</v>
      </c>
      <c r="B69" s="1" t="s">
        <v>2242</v>
      </c>
      <c r="C69" s="7" t="e">
        <f>'70-IK-61-0003 '!#REF!</f>
        <v>#REF!</v>
      </c>
      <c r="D69" s="7" t="e">
        <f>'70-IK-61-0003 '!#REF!</f>
        <v>#REF!</v>
      </c>
      <c r="E69" s="15" t="e">
        <f t="shared" si="18"/>
        <v>#REF!</v>
      </c>
      <c r="F69" s="6" t="e">
        <f t="shared" si="19"/>
        <v>#REF!</v>
      </c>
      <c r="G69" s="6">
        <v>600</v>
      </c>
      <c r="H69" t="e">
        <f>F69*G69</f>
        <v>#REF!</v>
      </c>
      <c r="I69" t="e">
        <f>H69/G69</f>
        <v>#REF!</v>
      </c>
      <c r="J69" t="e">
        <f t="shared" si="16"/>
        <v>#REF!</v>
      </c>
      <c r="K69" s="10" t="s">
        <v>2263</v>
      </c>
    </row>
    <row r="70" spans="1:11" ht="13.2">
      <c r="A70" s="1" t="s">
        <v>2264</v>
      </c>
      <c r="B70" s="1" t="s">
        <v>2265</v>
      </c>
      <c r="C70" s="7">
        <v>0</v>
      </c>
      <c r="D70" s="7">
        <v>0</v>
      </c>
      <c r="E70" s="15">
        <f t="shared" si="18"/>
        <v>1</v>
      </c>
      <c r="F70" s="6">
        <f t="shared" si="19"/>
        <v>1</v>
      </c>
      <c r="G70" s="6">
        <v>600</v>
      </c>
      <c r="H70">
        <f>F70*G70</f>
        <v>600</v>
      </c>
      <c r="I70">
        <f>H70/G70</f>
        <v>1</v>
      </c>
      <c r="J70" t="str">
        <f t="shared" si="16"/>
        <v>400V MCCB Feeder Cubicle (I &gt; 160A WITHOUT EARTH FAULT, per Dwg LV2): 1 EACH</v>
      </c>
      <c r="K70" s="10" t="s">
        <v>2266</v>
      </c>
    </row>
    <row r="71" spans="1:11" ht="13.2">
      <c r="A71" s="1" t="s">
        <v>31</v>
      </c>
      <c r="B71" s="1" t="s">
        <v>2265</v>
      </c>
      <c r="C71" s="7" t="e">
        <f>'70-IK-61-0003 '!#REF!</f>
        <v>#REF!</v>
      </c>
      <c r="D71" s="7" t="e">
        <f>'70-IK-61-0003 '!#REF!</f>
        <v>#REF!</v>
      </c>
      <c r="E71" s="15" t="e">
        <f t="shared" si="18"/>
        <v>#REF!</v>
      </c>
      <c r="F71" s="6" t="e">
        <f t="shared" si="19"/>
        <v>#REF!</v>
      </c>
      <c r="G71" s="6">
        <v>600</v>
      </c>
      <c r="H71" t="e">
        <f>F71*G71</f>
        <v>#REF!</v>
      </c>
      <c r="I71" t="e">
        <f>H71/G71</f>
        <v>#REF!</v>
      </c>
      <c r="J71" t="e">
        <f t="shared" si="16"/>
        <v>#REF!</v>
      </c>
      <c r="K71" s="10" t="s">
        <v>2267</v>
      </c>
    </row>
    <row r="72" spans="1:11" ht="13.2">
      <c r="A72" s="1" t="s">
        <v>2268</v>
      </c>
      <c r="B72" s="1" t="s">
        <v>2265</v>
      </c>
      <c r="C72" s="7" t="e">
        <f>'70-IK-61-0003 '!#REF!</f>
        <v>#REF!</v>
      </c>
      <c r="D72" s="7" t="e">
        <f>'70-IK-61-0003 '!#REF!</f>
        <v>#REF!</v>
      </c>
      <c r="E72" s="15" t="e">
        <f>IF(AND(C72=0,D72=0),1,0)</f>
        <v>#REF!</v>
      </c>
      <c r="F72" s="6" t="e">
        <f>SUM(C72:E72)</f>
        <v>#REF!</v>
      </c>
      <c r="G72" s="6">
        <v>600</v>
      </c>
      <c r="H72" t="e">
        <f>F72*G72</f>
        <v>#REF!</v>
      </c>
      <c r="I72" t="e">
        <f>H72/G72</f>
        <v>#REF!</v>
      </c>
      <c r="J72" t="e">
        <f>_xlfn.CONCAT(A72,"",": ",F72," ",B72)</f>
        <v>#REF!</v>
      </c>
      <c r="K72" s="10" t="s">
        <v>2269</v>
      </c>
    </row>
    <row r="73" spans="1:11" ht="13.2">
      <c r="A73" s="1" t="s">
        <v>21</v>
      </c>
      <c r="B73" s="1" t="s">
        <v>2265</v>
      </c>
      <c r="C73" s="7" t="e">
        <f>'70-IK-61-0003 '!#REF!</f>
        <v>#REF!</v>
      </c>
      <c r="D73" s="7" t="e">
        <f>'70-IK-61-0003 '!#REF!</f>
        <v>#REF!</v>
      </c>
      <c r="E73" s="15" t="e">
        <f t="shared" si="18"/>
        <v>#REF!</v>
      </c>
      <c r="F73" s="6" t="e">
        <f t="shared" si="19"/>
        <v>#REF!</v>
      </c>
      <c r="G73" s="6">
        <v>600</v>
      </c>
      <c r="J73" t="e">
        <f t="shared" si="16"/>
        <v>#REF!</v>
      </c>
      <c r="K73" s="10" t="s">
        <v>2270</v>
      </c>
    </row>
    <row r="74" spans="1:11" ht="13.2">
      <c r="A74" s="1" t="s">
        <v>44</v>
      </c>
      <c r="B74" s="1" t="s">
        <v>2265</v>
      </c>
      <c r="C74" s="7" t="e">
        <f>'70-IK-61-0003 '!#REF!</f>
        <v>#REF!</v>
      </c>
      <c r="D74" s="7" t="e">
        <f>'70-IK-61-0003 '!#REF!</f>
        <v>#REF!</v>
      </c>
      <c r="E74" s="15" t="e">
        <f t="shared" si="18"/>
        <v>#REF!</v>
      </c>
      <c r="F74" s="6" t="e">
        <f t="shared" si="19"/>
        <v>#REF!</v>
      </c>
      <c r="G74" s="6">
        <v>600</v>
      </c>
      <c r="J74" t="e">
        <f t="shared" si="16"/>
        <v>#REF!</v>
      </c>
      <c r="K74" s="10" t="s">
        <v>2270</v>
      </c>
    </row>
    <row r="75" spans="1:11" ht="13.2">
      <c r="A75" s="1" t="s">
        <v>37</v>
      </c>
      <c r="B75" s="1" t="s">
        <v>2265</v>
      </c>
      <c r="C75" s="7" t="e">
        <f>'70-IK-61-0003 '!#REF!</f>
        <v>#REF!</v>
      </c>
      <c r="D75" s="7" t="e">
        <f>'70-IK-61-0003 '!#REF!</f>
        <v>#REF!</v>
      </c>
      <c r="E75" s="15" t="e">
        <f t="shared" si="18"/>
        <v>#REF!</v>
      </c>
      <c r="F75" s="6" t="e">
        <f t="shared" si="19"/>
        <v>#REF!</v>
      </c>
      <c r="G75" s="6">
        <v>600</v>
      </c>
      <c r="J75" t="e">
        <f t="shared" si="16"/>
        <v>#REF!</v>
      </c>
      <c r="K75" s="10" t="s">
        <v>2270</v>
      </c>
    </row>
    <row r="76" spans="1:11" ht="13.2">
      <c r="A76" s="1" t="s">
        <v>2271</v>
      </c>
      <c r="B76" s="1" t="s">
        <v>2265</v>
      </c>
      <c r="C76" s="7" t="e">
        <f>'70-IK-61-0003 '!#REF!</f>
        <v>#REF!</v>
      </c>
      <c r="D76" s="7" t="e">
        <f>'70-IK-61-0003 '!#REF!</f>
        <v>#REF!</v>
      </c>
      <c r="E76" s="15" t="e">
        <f t="shared" si="18"/>
        <v>#REF!</v>
      </c>
      <c r="F76" s="6" t="e">
        <f t="shared" si="19"/>
        <v>#REF!</v>
      </c>
      <c r="G76" s="6">
        <v>600</v>
      </c>
      <c r="J76" t="e">
        <f t="shared" si="16"/>
        <v>#REF!</v>
      </c>
      <c r="K76" s="10" t="s">
        <v>2270</v>
      </c>
    </row>
    <row r="77" spans="1:11" ht="13.2">
      <c r="A77" s="1" t="s">
        <v>2276</v>
      </c>
      <c r="B77" s="1" t="s">
        <v>2265</v>
      </c>
      <c r="C77" s="7" t="e">
        <f>'70-IK-61-0003 '!#REF!</f>
        <v>#REF!</v>
      </c>
      <c r="D77" s="7">
        <f>'70-IK-61-0003 '!Q15</f>
        <v>0</v>
      </c>
      <c r="E77" s="15" t="e">
        <f t="shared" si="18"/>
        <v>#REF!</v>
      </c>
      <c r="F77" s="6" t="e">
        <f t="shared" si="19"/>
        <v>#REF!</v>
      </c>
      <c r="G77" s="6">
        <v>600</v>
      </c>
      <c r="H77" s="16" t="e">
        <f>ROUNDUP(SUM(F73:F77)/8/2,0)*G77</f>
        <v>#REF!</v>
      </c>
      <c r="I77" t="e">
        <f>H77/G77</f>
        <v>#REF!</v>
      </c>
      <c r="J77" t="e">
        <f t="shared" si="16"/>
        <v>#REF!</v>
      </c>
      <c r="K77" s="10" t="s">
        <v>2270</v>
      </c>
    </row>
    <row r="78" spans="1:11" ht="15.75" customHeight="1">
      <c r="A78" t="s">
        <v>2278</v>
      </c>
      <c r="J78" t="str">
        <f t="shared" si="16"/>
        <v xml:space="preserve">EPMCC-3002 Bus C:  </v>
      </c>
    </row>
    <row r="79" spans="1:11" ht="15.75" customHeight="1">
      <c r="A79" s="1" t="s">
        <v>2279</v>
      </c>
      <c r="B79" s="1" t="s">
        <v>2242</v>
      </c>
      <c r="C79" s="6">
        <v>1</v>
      </c>
      <c r="D79" s="6">
        <v>0</v>
      </c>
      <c r="E79" s="15">
        <f>IF(AND(C79=0,D79=0),1,0)</f>
        <v>0</v>
      </c>
      <c r="F79" s="6">
        <f t="shared" ref="F79:F88" si="20">SUM(C79:E79)</f>
        <v>1</v>
      </c>
      <c r="G79" s="6">
        <v>600</v>
      </c>
      <c r="H79">
        <f>F79*G79</f>
        <v>600</v>
      </c>
      <c r="I79">
        <f>H79/G79</f>
        <v>1</v>
      </c>
      <c r="J79" t="str">
        <f t="shared" si="16"/>
        <v>EDG Incomer: 1 PNL</v>
      </c>
      <c r="K79" s="10" t="s">
        <v>2280</v>
      </c>
    </row>
    <row r="80" spans="1:11" ht="13.2">
      <c r="A80" s="1" t="s">
        <v>2262</v>
      </c>
      <c r="B80" s="1" t="s">
        <v>2242</v>
      </c>
      <c r="C80" s="7" t="e">
        <f>'70-IK-61-0003 '!#REF!</f>
        <v>#REF!</v>
      </c>
      <c r="D80" s="6" t="e">
        <f>'70-IK-61-0003 '!#REF!</f>
        <v>#REF!</v>
      </c>
      <c r="E80" s="15" t="e">
        <f>IF(AND(C80=0,D80=0),1,0)</f>
        <v>#REF!</v>
      </c>
      <c r="F80" s="6" t="e">
        <f t="shared" si="20"/>
        <v>#REF!</v>
      </c>
      <c r="G80" s="6">
        <v>600</v>
      </c>
      <c r="H80" t="e">
        <f>F80*G80</f>
        <v>#REF!</v>
      </c>
      <c r="I80" t="e">
        <f>H80/G80</f>
        <v>#REF!</v>
      </c>
      <c r="J80" t="e">
        <f t="shared" si="16"/>
        <v>#REF!</v>
      </c>
      <c r="K80" s="10" t="s">
        <v>2281</v>
      </c>
    </row>
    <row r="81" spans="1:11" ht="13.2">
      <c r="A81" s="1" t="s">
        <v>2264</v>
      </c>
      <c r="B81" s="1" t="s">
        <v>2265</v>
      </c>
      <c r="C81" s="7">
        <v>0</v>
      </c>
      <c r="D81" s="7">
        <v>0</v>
      </c>
      <c r="E81" s="15">
        <f t="shared" ref="E81:E88" si="21">IF(AND(C81=0,D81=0),1,0)</f>
        <v>1</v>
      </c>
      <c r="F81" s="6">
        <f t="shared" si="20"/>
        <v>1</v>
      </c>
      <c r="G81" s="6">
        <v>600</v>
      </c>
      <c r="H81">
        <f>F81*G81</f>
        <v>600</v>
      </c>
      <c r="I81">
        <f>H81/G81</f>
        <v>1</v>
      </c>
      <c r="J81" t="str">
        <f t="shared" si="16"/>
        <v>400V MCCB Feeder Cubicle (I &gt; 160A WITHOUT EARTH FAULT, per Dwg LV2): 1 EACH</v>
      </c>
      <c r="K81" s="10" t="s">
        <v>2266</v>
      </c>
    </row>
    <row r="82" spans="1:11" ht="13.2">
      <c r="A82" s="1" t="s">
        <v>31</v>
      </c>
      <c r="B82" s="1" t="s">
        <v>2265</v>
      </c>
      <c r="C82" s="7" t="e">
        <f>'70-IK-61-0003 '!#REF!</f>
        <v>#REF!</v>
      </c>
      <c r="D82" s="6" t="e">
        <f>'70-IK-61-0003 '!#REF!</f>
        <v>#REF!</v>
      </c>
      <c r="E82" s="15" t="e">
        <f t="shared" si="21"/>
        <v>#REF!</v>
      </c>
      <c r="F82" s="6" t="e">
        <f t="shared" si="20"/>
        <v>#REF!</v>
      </c>
      <c r="G82" s="6">
        <v>600</v>
      </c>
      <c r="H82" t="e">
        <f>F82*G82</f>
        <v>#REF!</v>
      </c>
      <c r="I82" t="e">
        <f>H82/G82</f>
        <v>#REF!</v>
      </c>
      <c r="J82" t="e">
        <f t="shared" si="16"/>
        <v>#REF!</v>
      </c>
      <c r="K82" s="10" t="s">
        <v>2267</v>
      </c>
    </row>
    <row r="83" spans="1:11" ht="13.2">
      <c r="A83" s="1" t="s">
        <v>2268</v>
      </c>
      <c r="B83" s="1" t="s">
        <v>2265</v>
      </c>
      <c r="C83" s="7" t="e">
        <f>'70-IK-61-0003 '!#REF!</f>
        <v>#REF!</v>
      </c>
      <c r="D83" s="6" t="e">
        <f>'70-IK-61-0003 '!#REF!</f>
        <v>#REF!</v>
      </c>
      <c r="E83" s="15" t="e">
        <f>IF(AND(C83=0,D83=0),1,0)</f>
        <v>#REF!</v>
      </c>
      <c r="F83" s="6" t="e">
        <f>SUM(C83:E83)</f>
        <v>#REF!</v>
      </c>
      <c r="G83" s="6">
        <v>600</v>
      </c>
      <c r="H83" t="e">
        <f>F83*G83</f>
        <v>#REF!</v>
      </c>
      <c r="I83" t="e">
        <f>H83/G83</f>
        <v>#REF!</v>
      </c>
      <c r="J83" t="e">
        <f>_xlfn.CONCAT(A83,"",": ",F83," ",B83)</f>
        <v>#REF!</v>
      </c>
      <c r="K83" s="10" t="s">
        <v>2269</v>
      </c>
    </row>
    <row r="84" spans="1:11" ht="13.2">
      <c r="A84" s="1" t="s">
        <v>21</v>
      </c>
      <c r="B84" s="1" t="s">
        <v>2265</v>
      </c>
      <c r="C84" s="7" t="e">
        <f>'70-IK-61-0003 '!#REF!</f>
        <v>#REF!</v>
      </c>
      <c r="D84" s="6" t="e">
        <f>'70-IK-61-0003 '!#REF!</f>
        <v>#REF!</v>
      </c>
      <c r="E84" s="15" t="e">
        <f t="shared" si="21"/>
        <v>#REF!</v>
      </c>
      <c r="F84" s="6" t="e">
        <f t="shared" si="20"/>
        <v>#REF!</v>
      </c>
      <c r="G84" s="6">
        <v>600</v>
      </c>
      <c r="J84" t="e">
        <f t="shared" si="16"/>
        <v>#REF!</v>
      </c>
      <c r="K84" s="10" t="s">
        <v>2270</v>
      </c>
    </row>
    <row r="85" spans="1:11" ht="13.2">
      <c r="A85" s="1" t="s">
        <v>44</v>
      </c>
      <c r="B85" s="1" t="s">
        <v>2265</v>
      </c>
      <c r="C85" s="7" t="e">
        <f>'70-IK-61-0003 '!#REF!</f>
        <v>#REF!</v>
      </c>
      <c r="D85" s="6" t="e">
        <f>'70-IK-61-0003 '!#REF!</f>
        <v>#REF!</v>
      </c>
      <c r="E85" s="15" t="e">
        <f t="shared" si="21"/>
        <v>#REF!</v>
      </c>
      <c r="F85" s="6" t="e">
        <f t="shared" si="20"/>
        <v>#REF!</v>
      </c>
      <c r="G85" s="6">
        <v>600</v>
      </c>
      <c r="J85" t="e">
        <f t="shared" si="16"/>
        <v>#REF!</v>
      </c>
      <c r="K85" s="10" t="s">
        <v>2270</v>
      </c>
    </row>
    <row r="86" spans="1:11" ht="13.2">
      <c r="A86" s="1" t="s">
        <v>37</v>
      </c>
      <c r="B86" s="1" t="s">
        <v>2265</v>
      </c>
      <c r="C86" s="7" t="e">
        <f>'70-IK-61-0003 '!#REF!</f>
        <v>#REF!</v>
      </c>
      <c r="D86" s="6" t="e">
        <f>'70-IK-61-0003 '!#REF!</f>
        <v>#REF!</v>
      </c>
      <c r="E86" s="15" t="e">
        <f t="shared" si="21"/>
        <v>#REF!</v>
      </c>
      <c r="F86" s="6" t="e">
        <f t="shared" si="20"/>
        <v>#REF!</v>
      </c>
      <c r="G86" s="6">
        <v>600</v>
      </c>
      <c r="J86" t="e">
        <f t="shared" si="16"/>
        <v>#REF!</v>
      </c>
      <c r="K86" s="10" t="s">
        <v>2270</v>
      </c>
    </row>
    <row r="87" spans="1:11" ht="13.2">
      <c r="A87" s="1" t="s">
        <v>2271</v>
      </c>
      <c r="B87" s="1" t="s">
        <v>2265</v>
      </c>
      <c r="C87" s="7" t="e">
        <f>'70-IK-61-0003 '!#REF!</f>
        <v>#REF!</v>
      </c>
      <c r="D87" s="6" t="e">
        <f>'70-IK-61-0003 '!#REF!</f>
        <v>#REF!</v>
      </c>
      <c r="E87" s="15" t="e">
        <f t="shared" si="21"/>
        <v>#REF!</v>
      </c>
      <c r="F87" s="6" t="e">
        <f t="shared" si="20"/>
        <v>#REF!</v>
      </c>
      <c r="G87" s="6">
        <v>600</v>
      </c>
      <c r="J87" t="e">
        <f t="shared" si="16"/>
        <v>#REF!</v>
      </c>
      <c r="K87" s="10" t="s">
        <v>2270</v>
      </c>
    </row>
    <row r="88" spans="1:11" ht="13.2">
      <c r="A88" s="1" t="s">
        <v>2276</v>
      </c>
      <c r="B88" s="1" t="s">
        <v>2265</v>
      </c>
      <c r="C88" s="7" t="e">
        <f>'70-IK-61-0003 '!#REF!</f>
        <v>#REF!</v>
      </c>
      <c r="D88" s="6" t="e">
        <f>'70-IK-61-0003 '!#REF!</f>
        <v>#REF!</v>
      </c>
      <c r="E88" s="15" t="e">
        <f t="shared" si="21"/>
        <v>#REF!</v>
      </c>
      <c r="F88" s="6" t="e">
        <f t="shared" si="20"/>
        <v>#REF!</v>
      </c>
      <c r="G88" s="6">
        <v>600</v>
      </c>
      <c r="H88" s="16" t="e">
        <f>ROUNDUP(SUM(F84:F88)/8/2,0)*G88</f>
        <v>#REF!</v>
      </c>
      <c r="I88" t="e">
        <f>H88/G88</f>
        <v>#REF!</v>
      </c>
      <c r="J88" t="e">
        <f t="shared" si="16"/>
        <v>#REF!</v>
      </c>
      <c r="K88" s="10" t="s">
        <v>2270</v>
      </c>
    </row>
    <row r="89" spans="1:11" ht="15.75" customHeight="1">
      <c r="H89" t="e">
        <f>SUM(H56:H88)</f>
        <v>#REF!</v>
      </c>
      <c r="I89" t="e">
        <f>SUM(I56:I88)</f>
        <v>#REF!</v>
      </c>
    </row>
    <row r="91" spans="1:11" ht="15.75" customHeight="1">
      <c r="A91" s="2" t="s">
        <v>2282</v>
      </c>
    </row>
    <row r="92" spans="1:11" ht="15.75" customHeight="1">
      <c r="A92" s="3" t="s">
        <v>2283</v>
      </c>
      <c r="B92" s="1"/>
      <c r="C92" s="7"/>
    </row>
    <row r="93" spans="1:11" ht="15.75" customHeight="1">
      <c r="A93" s="1" t="s">
        <v>2241</v>
      </c>
      <c r="B93" s="1" t="s">
        <v>2242</v>
      </c>
      <c r="C93" s="7">
        <v>1</v>
      </c>
      <c r="D93" s="6">
        <v>0</v>
      </c>
      <c r="E93" s="6">
        <v>0</v>
      </c>
      <c r="F93" s="6">
        <f t="shared" ref="F93:F103" si="22">SUM(C93:E93)</f>
        <v>1</v>
      </c>
      <c r="G93" s="6">
        <v>600</v>
      </c>
      <c r="H93">
        <f t="shared" ref="H93:H98" si="23">F93*G93</f>
        <v>600</v>
      </c>
      <c r="I93">
        <f t="shared" ref="I93:I98" si="24">H93/G93</f>
        <v>1</v>
      </c>
      <c r="J93" t="str">
        <f t="shared" ref="J93:J103" si="25">_xlfn.CONCAT(A93,"",": ",F93," ",B93)</f>
        <v>Incoming Bus A: 1 PNL</v>
      </c>
      <c r="K93" s="10" t="s">
        <v>2260</v>
      </c>
    </row>
    <row r="94" spans="1:11" ht="15.75" customHeight="1">
      <c r="A94" s="1" t="s">
        <v>2244</v>
      </c>
      <c r="B94" s="1" t="s">
        <v>2242</v>
      </c>
      <c r="C94" s="7">
        <v>1</v>
      </c>
      <c r="D94" s="6">
        <v>0</v>
      </c>
      <c r="E94" s="6">
        <v>0</v>
      </c>
      <c r="F94" s="6">
        <f t="shared" si="22"/>
        <v>1</v>
      </c>
      <c r="G94" s="6">
        <v>600</v>
      </c>
      <c r="H94">
        <f t="shared" si="23"/>
        <v>600</v>
      </c>
      <c r="I94">
        <f t="shared" si="24"/>
        <v>1</v>
      </c>
      <c r="J94" t="str">
        <f t="shared" si="25"/>
        <v>Bus Tie: 1 PNL</v>
      </c>
      <c r="K94" s="10" t="s">
        <v>2261</v>
      </c>
    </row>
    <row r="95" spans="1:11" ht="15.75" customHeight="1">
      <c r="A95" s="1" t="s">
        <v>2262</v>
      </c>
      <c r="B95" s="1" t="s">
        <v>2242</v>
      </c>
      <c r="C95" s="7">
        <f>'70-IK-61-0002'!O3</f>
        <v>0</v>
      </c>
      <c r="D95" s="7">
        <f>'70-IK-61-0002'!P3</f>
        <v>0</v>
      </c>
      <c r="E95" s="15">
        <f t="shared" ref="E95:E103" si="26">IF(AND(C95=0,D95=0),1,0)</f>
        <v>1</v>
      </c>
      <c r="F95" s="6">
        <f t="shared" si="22"/>
        <v>1</v>
      </c>
      <c r="G95" s="6">
        <v>600</v>
      </c>
      <c r="H95">
        <f t="shared" si="23"/>
        <v>600</v>
      </c>
      <c r="I95">
        <f t="shared" si="24"/>
        <v>1</v>
      </c>
      <c r="J95" t="str">
        <f t="shared" si="25"/>
        <v>400V Air Circuit Breaker (ACB) Feeder Cubicle (per Dwg LV1): 1 PNL</v>
      </c>
      <c r="K95" s="10" t="s">
        <v>2263</v>
      </c>
    </row>
    <row r="96" spans="1:11" ht="15.75" customHeight="1">
      <c r="A96" s="1" t="s">
        <v>2264</v>
      </c>
      <c r="B96" s="1" t="s">
        <v>2265</v>
      </c>
      <c r="C96" s="7">
        <v>0</v>
      </c>
      <c r="D96" s="7">
        <v>0</v>
      </c>
      <c r="E96" s="15">
        <f t="shared" si="26"/>
        <v>1</v>
      </c>
      <c r="F96" s="6">
        <f t="shared" si="22"/>
        <v>1</v>
      </c>
      <c r="G96" s="6">
        <v>600</v>
      </c>
      <c r="H96">
        <f t="shared" si="23"/>
        <v>600</v>
      </c>
      <c r="I96">
        <f t="shared" si="24"/>
        <v>1</v>
      </c>
      <c r="J96" t="str">
        <f t="shared" si="25"/>
        <v>400V MCCB Feeder Cubicle (I &gt; 160A WITHOUT EARTH FAULT, per Dwg LV2): 1 EACH</v>
      </c>
      <c r="K96" s="10" t="s">
        <v>2266</v>
      </c>
    </row>
    <row r="97" spans="1:11" ht="15.75" customHeight="1">
      <c r="A97" s="1" t="s">
        <v>31</v>
      </c>
      <c r="B97" s="1" t="s">
        <v>2265</v>
      </c>
      <c r="C97" s="7">
        <f>'70-IK-61-0002'!O4</f>
        <v>0</v>
      </c>
      <c r="D97" s="7">
        <f>'70-IK-61-0002'!P4</f>
        <v>0</v>
      </c>
      <c r="E97" s="15">
        <f t="shared" si="26"/>
        <v>1</v>
      </c>
      <c r="F97" s="6">
        <f t="shared" si="22"/>
        <v>1</v>
      </c>
      <c r="G97" s="6">
        <v>600</v>
      </c>
      <c r="H97">
        <f t="shared" si="23"/>
        <v>600</v>
      </c>
      <c r="I97">
        <f t="shared" si="24"/>
        <v>1</v>
      </c>
      <c r="J97" t="str">
        <f t="shared" si="25"/>
        <v>400V MCCB Feeder Cubicle (I &gt; 160A, per Dwg LV3): 1 EACH</v>
      </c>
      <c r="K97" s="10" t="s">
        <v>2267</v>
      </c>
    </row>
    <row r="98" spans="1:11" ht="15.75" customHeight="1">
      <c r="A98" s="1" t="s">
        <v>2268</v>
      </c>
      <c r="B98" s="1" t="s">
        <v>2265</v>
      </c>
      <c r="C98" s="7">
        <f>'70-IK-61-0002'!O9</f>
        <v>0</v>
      </c>
      <c r="D98" s="7">
        <f>'70-IK-61-0002'!P9</f>
        <v>0</v>
      </c>
      <c r="E98" s="15">
        <f>IF(AND(C98=0,D98=0),1,0)</f>
        <v>1</v>
      </c>
      <c r="F98" s="6">
        <f>SUM(C98:E98)</f>
        <v>1</v>
      </c>
      <c r="G98" s="6">
        <v>600</v>
      </c>
      <c r="H98">
        <f t="shared" si="23"/>
        <v>600</v>
      </c>
      <c r="I98">
        <f t="shared" si="24"/>
        <v>1</v>
      </c>
      <c r="J98" t="str">
        <f>_xlfn.CONCAT(A98,"",": ",F98," ",B98)</f>
        <v>400V FVNR Motor Starter Cubicle (55kW &lt; P &lt; 200kW, per Dwg LV10): 1 EACH</v>
      </c>
      <c r="K98" s="10" t="s">
        <v>2269</v>
      </c>
    </row>
    <row r="99" spans="1:11" ht="15.75" customHeight="1">
      <c r="A99" s="1" t="s">
        <v>21</v>
      </c>
      <c r="B99" s="1" t="s">
        <v>2265</v>
      </c>
      <c r="C99" s="7">
        <f>'70-IK-61-0002'!O5</f>
        <v>0</v>
      </c>
      <c r="D99" s="7">
        <f>'70-IK-61-0002'!P5</f>
        <v>0</v>
      </c>
      <c r="E99" s="15">
        <f t="shared" si="26"/>
        <v>1</v>
      </c>
      <c r="F99" s="6">
        <f t="shared" si="22"/>
        <v>1</v>
      </c>
      <c r="G99" s="6">
        <v>600</v>
      </c>
      <c r="J99" t="str">
        <f t="shared" si="25"/>
        <v>400V MCCB Feeder Cubicle (I &lt; 160A, per Dwg LV4): 1 EACH</v>
      </c>
      <c r="K99" s="10" t="s">
        <v>2270</v>
      </c>
    </row>
    <row r="100" spans="1:11" ht="15.75" customHeight="1">
      <c r="A100" s="1" t="s">
        <v>44</v>
      </c>
      <c r="B100" s="1" t="s">
        <v>2265</v>
      </c>
      <c r="C100" s="7">
        <f>'70-IK-61-0002'!O6</f>
        <v>0</v>
      </c>
      <c r="D100" s="7">
        <f>'70-IK-61-0002'!P6</f>
        <v>0</v>
      </c>
      <c r="E100" s="15">
        <f t="shared" si="26"/>
        <v>1</v>
      </c>
      <c r="F100" s="6">
        <f t="shared" si="22"/>
        <v>1</v>
      </c>
      <c r="G100" s="6">
        <v>600</v>
      </c>
      <c r="J100" t="str">
        <f t="shared" si="25"/>
        <v>400V 3Ph+N+PE Feeder Cubicle (per Dwg LV5): 1 EACH</v>
      </c>
      <c r="K100" s="10" t="s">
        <v>2270</v>
      </c>
    </row>
    <row r="101" spans="1:11" ht="15.75" customHeight="1">
      <c r="A101" s="1" t="s">
        <v>37</v>
      </c>
      <c r="B101" s="1" t="s">
        <v>2265</v>
      </c>
      <c r="C101" s="7">
        <f>'70-IK-61-0002'!O7</f>
        <v>0</v>
      </c>
      <c r="D101" s="7">
        <f>'70-IK-61-0002'!P7</f>
        <v>0</v>
      </c>
      <c r="E101" s="15">
        <f t="shared" si="26"/>
        <v>1</v>
      </c>
      <c r="F101" s="6">
        <f t="shared" si="22"/>
        <v>1</v>
      </c>
      <c r="G101" s="6">
        <v>600</v>
      </c>
      <c r="J101" t="str">
        <f t="shared" si="25"/>
        <v>400V SCR-Controlled Heater Feeder Cubicle (per Dwg LV8): 1 EACH</v>
      </c>
      <c r="K101" s="10" t="s">
        <v>2270</v>
      </c>
    </row>
    <row r="102" spans="1:11" ht="15.75" customHeight="1">
      <c r="A102" s="1" t="s">
        <v>2271</v>
      </c>
      <c r="B102" s="1" t="s">
        <v>2265</v>
      </c>
      <c r="C102" s="7">
        <f>'70-IK-61-0002'!O8</f>
        <v>0</v>
      </c>
      <c r="D102" s="7">
        <f>'70-IK-61-0002'!P8</f>
        <v>0</v>
      </c>
      <c r="E102" s="15">
        <f t="shared" si="26"/>
        <v>1</v>
      </c>
      <c r="F102" s="6">
        <f t="shared" si="22"/>
        <v>1</v>
      </c>
      <c r="G102" s="6">
        <v>600</v>
      </c>
      <c r="J102" t="str">
        <f t="shared" si="25"/>
        <v>400V MCCB Feeder for VSD Cubicle (per Dwg LV9): 1 EACH</v>
      </c>
      <c r="K102" s="10" t="s">
        <v>2270</v>
      </c>
    </row>
    <row r="103" spans="1:11" ht="15.75" customHeight="1">
      <c r="A103" s="1" t="s">
        <v>2272</v>
      </c>
      <c r="B103" s="1" t="s">
        <v>2265</v>
      </c>
      <c r="C103" s="7">
        <f>'70-IK-61-0002'!O10</f>
        <v>0</v>
      </c>
      <c r="D103" s="7">
        <f>'70-IK-61-0002'!P10</f>
        <v>0</v>
      </c>
      <c r="E103" s="15">
        <f t="shared" si="26"/>
        <v>1</v>
      </c>
      <c r="F103" s="6">
        <f t="shared" si="22"/>
        <v>1</v>
      </c>
      <c r="G103" s="6">
        <v>600</v>
      </c>
      <c r="H103" s="16">
        <f>ROUNDUP(SUM(F99:F103)/8/2,0)*G103</f>
        <v>600</v>
      </c>
      <c r="I103">
        <f>H103/G103</f>
        <v>1</v>
      </c>
      <c r="J103" t="str">
        <f t="shared" si="25"/>
        <v>400V FVNR Motor Starter Cubicle (P ≤ 55kW, per Dwg LV11): 1 EACH</v>
      </c>
      <c r="K103" s="10" t="s">
        <v>2270</v>
      </c>
    </row>
    <row r="104" spans="1:11" ht="15.75" customHeight="1">
      <c r="A104" s="1"/>
      <c r="B104" s="1"/>
      <c r="C104" s="7"/>
    </row>
    <row r="105" spans="1:11" ht="15.75" customHeight="1">
      <c r="A105" s="3" t="s">
        <v>2284</v>
      </c>
    </row>
    <row r="106" spans="1:11" ht="15.75" customHeight="1">
      <c r="A106" s="1" t="s">
        <v>2243</v>
      </c>
      <c r="B106" s="1" t="s">
        <v>2242</v>
      </c>
      <c r="C106" s="7">
        <v>1</v>
      </c>
      <c r="D106" s="6">
        <v>0</v>
      </c>
      <c r="F106" s="6">
        <f t="shared" ref="F106:F115" si="27">SUM(C106:E106)</f>
        <v>1</v>
      </c>
      <c r="G106" s="6">
        <v>600</v>
      </c>
      <c r="H106">
        <f>F106*G106</f>
        <v>600</v>
      </c>
      <c r="I106">
        <f>H106/G106</f>
        <v>1</v>
      </c>
      <c r="J106" t="str">
        <f t="shared" ref="J106:J115" si="28">_xlfn.CONCAT(A106,"",": ",F106," ",B106)</f>
        <v>Incoming Bus B: 1 PNL</v>
      </c>
      <c r="K106" s="10" t="s">
        <v>2274</v>
      </c>
    </row>
    <row r="107" spans="1:11" ht="15.75" customHeight="1">
      <c r="A107" s="1" t="s">
        <v>2262</v>
      </c>
      <c r="B107" s="1" t="s">
        <v>2242</v>
      </c>
      <c r="C107" s="7">
        <f>'70-IK-61-0002'!O12</f>
        <v>0</v>
      </c>
      <c r="D107" s="7">
        <f>'70-IK-61-0002'!P12</f>
        <v>0</v>
      </c>
      <c r="E107" s="15">
        <f t="shared" ref="E107:E115" si="29">IF(AND(C107=0,D107=0),1,0)</f>
        <v>1</v>
      </c>
      <c r="F107" s="6">
        <f t="shared" si="27"/>
        <v>1</v>
      </c>
      <c r="G107" s="6">
        <v>600</v>
      </c>
      <c r="H107">
        <f>F107*G107</f>
        <v>600</v>
      </c>
      <c r="I107">
        <f>H107/G107</f>
        <v>1</v>
      </c>
      <c r="J107" t="str">
        <f t="shared" si="28"/>
        <v>400V Air Circuit Breaker (ACB) Feeder Cubicle (per Dwg LV1): 1 PNL</v>
      </c>
      <c r="K107" s="10" t="s">
        <v>2263</v>
      </c>
    </row>
    <row r="108" spans="1:11" ht="15.75" customHeight="1">
      <c r="A108" s="1" t="s">
        <v>2264</v>
      </c>
      <c r="B108" s="1" t="s">
        <v>2265</v>
      </c>
      <c r="C108" s="7">
        <v>0</v>
      </c>
      <c r="D108" s="7">
        <v>0</v>
      </c>
      <c r="E108" s="15">
        <f t="shared" si="29"/>
        <v>1</v>
      </c>
      <c r="F108" s="6">
        <f t="shared" si="27"/>
        <v>1</v>
      </c>
      <c r="G108" s="6">
        <v>600</v>
      </c>
      <c r="H108">
        <f>F108*G108</f>
        <v>600</v>
      </c>
      <c r="I108">
        <f>H108/G108</f>
        <v>1</v>
      </c>
      <c r="J108" t="str">
        <f t="shared" si="28"/>
        <v>400V MCCB Feeder Cubicle (I &gt; 160A WITHOUT EARTH FAULT, per Dwg LV2): 1 EACH</v>
      </c>
      <c r="K108" s="10" t="s">
        <v>2266</v>
      </c>
    </row>
    <row r="109" spans="1:11" ht="15.75" customHeight="1">
      <c r="A109" s="1" t="s">
        <v>31</v>
      </c>
      <c r="B109" s="1" t="s">
        <v>2265</v>
      </c>
      <c r="C109" s="7">
        <f>'70-IK-61-0002'!O13</f>
        <v>0</v>
      </c>
      <c r="D109" s="7">
        <f>'70-IK-61-0002'!P13</f>
        <v>0</v>
      </c>
      <c r="E109" s="15">
        <f t="shared" si="29"/>
        <v>1</v>
      </c>
      <c r="F109" s="6">
        <f t="shared" si="27"/>
        <v>1</v>
      </c>
      <c r="G109" s="6">
        <v>600</v>
      </c>
      <c r="H109">
        <f>F109*G109</f>
        <v>600</v>
      </c>
      <c r="I109">
        <f>H109/G109</f>
        <v>1</v>
      </c>
      <c r="J109" t="str">
        <f t="shared" si="28"/>
        <v>400V MCCB Feeder Cubicle (I &gt; 160A, per Dwg LV3): 1 EACH</v>
      </c>
      <c r="K109" s="10" t="s">
        <v>2267</v>
      </c>
    </row>
    <row r="110" spans="1:11" ht="15.75" customHeight="1">
      <c r="A110" s="1" t="s">
        <v>2268</v>
      </c>
      <c r="B110" s="1" t="s">
        <v>2265</v>
      </c>
      <c r="C110" s="7">
        <f>'70-IK-61-0002'!O18</f>
        <v>0</v>
      </c>
      <c r="D110" s="7">
        <f>'70-IK-61-0002'!P18</f>
        <v>0</v>
      </c>
      <c r="E110" s="15">
        <f>IF(AND(C110=0,D110=0),1,0)</f>
        <v>1</v>
      </c>
      <c r="F110" s="6">
        <f>SUM(C110:E110)</f>
        <v>1</v>
      </c>
      <c r="G110" s="6">
        <v>600</v>
      </c>
      <c r="H110">
        <f>F110*G110</f>
        <v>600</v>
      </c>
      <c r="I110">
        <f>H110/G110</f>
        <v>1</v>
      </c>
      <c r="J110" t="str">
        <f>_xlfn.CONCAT(A110,"",": ",F110," ",B110)</f>
        <v>400V FVNR Motor Starter Cubicle (55kW &lt; P &lt; 200kW, per Dwg LV10): 1 EACH</v>
      </c>
      <c r="K110" s="10" t="s">
        <v>2269</v>
      </c>
    </row>
    <row r="111" spans="1:11" ht="15.75" customHeight="1">
      <c r="A111" s="1" t="s">
        <v>21</v>
      </c>
      <c r="B111" s="1" t="s">
        <v>2265</v>
      </c>
      <c r="C111" s="7">
        <f>'70-IK-61-0002'!O14</f>
        <v>0</v>
      </c>
      <c r="D111" s="7">
        <f>'70-IK-61-0002'!P14</f>
        <v>0</v>
      </c>
      <c r="E111" s="15">
        <f t="shared" si="29"/>
        <v>1</v>
      </c>
      <c r="F111" s="6">
        <f t="shared" si="27"/>
        <v>1</v>
      </c>
      <c r="G111" s="6">
        <v>600</v>
      </c>
      <c r="J111" t="str">
        <f t="shared" si="28"/>
        <v>400V MCCB Feeder Cubicle (I &lt; 160A, per Dwg LV4): 1 EACH</v>
      </c>
      <c r="K111" s="10" t="s">
        <v>2270</v>
      </c>
    </row>
    <row r="112" spans="1:11" ht="15.75" customHeight="1">
      <c r="A112" s="1" t="s">
        <v>44</v>
      </c>
      <c r="B112" s="1" t="s">
        <v>2265</v>
      </c>
      <c r="C112" s="7">
        <f>'70-IK-61-0002'!O15</f>
        <v>0</v>
      </c>
      <c r="D112" s="7">
        <f>'70-IK-61-0002'!P15</f>
        <v>0</v>
      </c>
      <c r="E112" s="15">
        <f t="shared" si="29"/>
        <v>1</v>
      </c>
      <c r="F112" s="6">
        <f t="shared" si="27"/>
        <v>1</v>
      </c>
      <c r="G112" s="6">
        <v>600</v>
      </c>
      <c r="J112" t="str">
        <f t="shared" si="28"/>
        <v>400V 3Ph+N+PE Feeder Cubicle (per Dwg LV5): 1 EACH</v>
      </c>
      <c r="K112" s="10" t="s">
        <v>2270</v>
      </c>
    </row>
    <row r="113" spans="1:11" ht="15.75" customHeight="1">
      <c r="A113" s="1" t="s">
        <v>37</v>
      </c>
      <c r="B113" s="1" t="s">
        <v>2265</v>
      </c>
      <c r="C113" s="7">
        <f>'70-IK-61-0002'!O16</f>
        <v>0</v>
      </c>
      <c r="D113" s="7">
        <f>'70-IK-61-0002'!P16</f>
        <v>0</v>
      </c>
      <c r="E113" s="15">
        <f t="shared" si="29"/>
        <v>1</v>
      </c>
      <c r="F113" s="6">
        <f t="shared" si="27"/>
        <v>1</v>
      </c>
      <c r="G113" s="6">
        <v>600</v>
      </c>
      <c r="J113" t="str">
        <f t="shared" si="28"/>
        <v>400V SCR-Controlled Heater Feeder Cubicle (per Dwg LV8): 1 EACH</v>
      </c>
      <c r="K113" s="10" t="s">
        <v>2270</v>
      </c>
    </row>
    <row r="114" spans="1:11" ht="15.75" customHeight="1">
      <c r="A114" s="1" t="s">
        <v>2271</v>
      </c>
      <c r="B114" s="1" t="s">
        <v>2265</v>
      </c>
      <c r="C114" s="7">
        <f>'70-IK-61-0002'!O17</f>
        <v>0</v>
      </c>
      <c r="D114" s="7">
        <f>'70-IK-61-0002'!P17</f>
        <v>0</v>
      </c>
      <c r="E114" s="15">
        <f t="shared" si="29"/>
        <v>1</v>
      </c>
      <c r="F114" s="6">
        <f t="shared" si="27"/>
        <v>1</v>
      </c>
      <c r="G114" s="6">
        <v>600</v>
      </c>
      <c r="J114" t="str">
        <f t="shared" si="28"/>
        <v>400V MCCB Feeder for VSD Cubicle (per Dwg LV9): 1 EACH</v>
      </c>
      <c r="K114" s="10" t="s">
        <v>2270</v>
      </c>
    </row>
    <row r="115" spans="1:11" ht="15.75" customHeight="1">
      <c r="A115" s="1" t="s">
        <v>2272</v>
      </c>
      <c r="B115" s="1" t="s">
        <v>2265</v>
      </c>
      <c r="C115" s="7">
        <f>'70-IK-61-0002'!O19</f>
        <v>0</v>
      </c>
      <c r="D115" s="7">
        <f>'70-IK-61-0002'!P19</f>
        <v>0</v>
      </c>
      <c r="E115" s="15">
        <f t="shared" si="29"/>
        <v>1</v>
      </c>
      <c r="F115" s="6">
        <f t="shared" si="27"/>
        <v>1</v>
      </c>
      <c r="G115" s="6">
        <v>600</v>
      </c>
      <c r="H115" s="16">
        <f>ROUNDUP(SUM(F111:F115)/8/2,0)*G115</f>
        <v>600</v>
      </c>
      <c r="I115">
        <f>H115/G115</f>
        <v>1</v>
      </c>
      <c r="J115" t="str">
        <f t="shared" si="28"/>
        <v>400V FVNR Motor Starter Cubicle (P ≤ 55kW, per Dwg LV11): 1 EACH</v>
      </c>
      <c r="K115" s="10" t="s">
        <v>2270</v>
      </c>
    </row>
    <row r="116" spans="1:11" ht="15.75" customHeight="1">
      <c r="H116">
        <f>SUM(H93:H115)</f>
        <v>7800</v>
      </c>
      <c r="I116">
        <f>SUM(I93:I115)</f>
        <v>13</v>
      </c>
    </row>
    <row r="117" spans="1:11" ht="15.75" customHeight="1">
      <c r="A117" s="10" t="s">
        <v>2285</v>
      </c>
    </row>
    <row r="118" spans="1:11" ht="15.75" customHeight="1">
      <c r="A118" s="1" t="s">
        <v>2241</v>
      </c>
      <c r="B118" s="1" t="s">
        <v>2242</v>
      </c>
      <c r="C118" s="7">
        <v>1</v>
      </c>
      <c r="D118" s="6">
        <v>0</v>
      </c>
      <c r="E118" s="6">
        <v>0</v>
      </c>
      <c r="F118" s="6">
        <f t="shared" ref="F118:F124" si="30">SUM(C118:E118)</f>
        <v>1</v>
      </c>
      <c r="G118" s="6">
        <v>600</v>
      </c>
      <c r="H118">
        <f>F118*G118</f>
        <v>600</v>
      </c>
      <c r="J118" t="str">
        <f t="shared" ref="J118:J124" si="31">_xlfn.CONCAT(A118,"",": ",F118," ",B118)</f>
        <v>Incoming Bus A: 1 PNL</v>
      </c>
    </row>
    <row r="119" spans="1:11" ht="15.75" customHeight="1">
      <c r="A119" s="1" t="s">
        <v>2244</v>
      </c>
      <c r="B119" s="1" t="s">
        <v>2242</v>
      </c>
      <c r="C119" s="7">
        <v>1</v>
      </c>
      <c r="D119" s="6">
        <v>0</v>
      </c>
      <c r="E119" s="6">
        <v>0</v>
      </c>
      <c r="F119" s="6">
        <f t="shared" si="30"/>
        <v>1</v>
      </c>
      <c r="G119" s="6">
        <v>600</v>
      </c>
      <c r="H119">
        <f>F119*G119</f>
        <v>600</v>
      </c>
      <c r="J119" t="str">
        <f t="shared" si="31"/>
        <v>Bus Tie: 1 PNL</v>
      </c>
    </row>
    <row r="120" spans="1:11" ht="15.75" customHeight="1">
      <c r="A120" s="1" t="s">
        <v>2262</v>
      </c>
      <c r="B120" s="1" t="s">
        <v>2242</v>
      </c>
      <c r="C120" s="7" t="e">
        <f>#REF!</f>
        <v>#REF!</v>
      </c>
      <c r="D120" s="7" t="e">
        <f>#REF!</f>
        <v>#REF!</v>
      </c>
      <c r="E120" s="15" t="e">
        <f>IF(AND(C120=0,D120=0),1,0)</f>
        <v>#REF!</v>
      </c>
      <c r="F120" s="6" t="e">
        <f t="shared" si="30"/>
        <v>#REF!</v>
      </c>
      <c r="G120" s="6">
        <v>600</v>
      </c>
      <c r="H120" t="e">
        <f>F120*G120</f>
        <v>#REF!</v>
      </c>
      <c r="J120" t="e">
        <f t="shared" si="31"/>
        <v>#REF!</v>
      </c>
    </row>
    <row r="121" spans="1:11" ht="15.75" customHeight="1">
      <c r="A121" s="1" t="s">
        <v>2264</v>
      </c>
      <c r="B121" s="1" t="s">
        <v>2265</v>
      </c>
      <c r="C121" s="7" t="e">
        <f>#REF!</f>
        <v>#REF!</v>
      </c>
      <c r="D121" s="7" t="e">
        <f>#REF!</f>
        <v>#REF!</v>
      </c>
      <c r="E121" s="15" t="e">
        <f>IF(AND(C121=0,D121=0),1,0)</f>
        <v>#REF!</v>
      </c>
      <c r="F121" s="6" t="e">
        <f t="shared" si="30"/>
        <v>#REF!</v>
      </c>
      <c r="G121" s="6">
        <v>600</v>
      </c>
      <c r="H121" t="e">
        <f>F121*G121</f>
        <v>#REF!</v>
      </c>
      <c r="J121" t="e">
        <f t="shared" si="31"/>
        <v>#REF!</v>
      </c>
    </row>
    <row r="122" spans="1:11" ht="15.75" customHeight="1">
      <c r="A122" s="1" t="s">
        <v>31</v>
      </c>
      <c r="B122" s="1" t="s">
        <v>2265</v>
      </c>
      <c r="C122" s="7" t="e">
        <f>#REF!</f>
        <v>#REF!</v>
      </c>
      <c r="D122" s="7" t="e">
        <f>#REF!</f>
        <v>#REF!</v>
      </c>
      <c r="E122" s="15" t="e">
        <f>IF(AND(C122=0,D122=0),1,0)</f>
        <v>#REF!</v>
      </c>
      <c r="F122" s="6" t="e">
        <f t="shared" si="30"/>
        <v>#REF!</v>
      </c>
      <c r="G122" s="6">
        <v>600</v>
      </c>
      <c r="H122" t="e">
        <f>F122*G122</f>
        <v>#REF!</v>
      </c>
      <c r="J122" t="e">
        <f t="shared" si="31"/>
        <v>#REF!</v>
      </c>
    </row>
    <row r="123" spans="1:11" ht="15.75" customHeight="1">
      <c r="A123" s="1" t="s">
        <v>21</v>
      </c>
      <c r="B123" s="1" t="s">
        <v>2265</v>
      </c>
      <c r="C123" s="7" t="e">
        <f>#REF!</f>
        <v>#REF!</v>
      </c>
      <c r="D123" s="7" t="e">
        <f>#REF!</f>
        <v>#REF!</v>
      </c>
      <c r="E123" s="15" t="e">
        <f>IF(AND(C123=0,D123=0),1,0)</f>
        <v>#REF!</v>
      </c>
      <c r="F123" s="6" t="e">
        <f t="shared" si="30"/>
        <v>#REF!</v>
      </c>
      <c r="G123" s="6">
        <v>600</v>
      </c>
      <c r="J123" t="e">
        <f t="shared" si="31"/>
        <v>#REF!</v>
      </c>
    </row>
    <row r="124" spans="1:11" ht="15.75" customHeight="1">
      <c r="A124" s="1" t="s">
        <v>44</v>
      </c>
      <c r="B124" s="1" t="s">
        <v>2265</v>
      </c>
      <c r="C124" s="7" t="e">
        <f>#REF!</f>
        <v>#REF!</v>
      </c>
      <c r="D124" s="7" t="e">
        <f>#REF!</f>
        <v>#REF!</v>
      </c>
      <c r="E124" s="15" t="e">
        <f>IF(AND(C124=0,D124=0),1,0)</f>
        <v>#REF!</v>
      </c>
      <c r="F124" s="6" t="e">
        <f t="shared" si="30"/>
        <v>#REF!</v>
      </c>
      <c r="G124" s="6">
        <v>600</v>
      </c>
      <c r="H124" s="16" t="e">
        <f>ROUNDUP(SUM(F123:F124)/8,0)*G124</f>
        <v>#REF!</v>
      </c>
      <c r="J124" t="e">
        <f t="shared" si="31"/>
        <v>#REF!</v>
      </c>
    </row>
    <row r="125" spans="1:11" ht="15.75" customHeight="1">
      <c r="A125" s="10" t="s">
        <v>2286</v>
      </c>
    </row>
    <row r="126" spans="1:11" ht="15.75" customHeight="1">
      <c r="A126" s="1" t="s">
        <v>2243</v>
      </c>
      <c r="B126" s="1" t="s">
        <v>2242</v>
      </c>
      <c r="C126" s="7">
        <v>1</v>
      </c>
      <c r="D126" s="6">
        <v>0</v>
      </c>
      <c r="E126" s="6">
        <v>0</v>
      </c>
      <c r="F126" s="6">
        <f t="shared" ref="F126:F131" si="32">SUM(C126:E126)</f>
        <v>1</v>
      </c>
      <c r="G126" s="6">
        <v>600</v>
      </c>
      <c r="H126">
        <f>F126*G126</f>
        <v>600</v>
      </c>
      <c r="J126" t="str">
        <f t="shared" ref="J126:J131" si="33">_xlfn.CONCAT(A126,"",": ",F126," ",B126)</f>
        <v>Incoming Bus B: 1 PNL</v>
      </c>
    </row>
    <row r="127" spans="1:11" ht="15.75" customHeight="1">
      <c r="A127" s="1" t="s">
        <v>2262</v>
      </c>
      <c r="B127" s="1" t="s">
        <v>2242</v>
      </c>
      <c r="C127" s="7" t="e">
        <f>#REF!</f>
        <v>#REF!</v>
      </c>
      <c r="D127" s="7" t="e">
        <f>#REF!</f>
        <v>#REF!</v>
      </c>
      <c r="E127" s="15" t="e">
        <f>IF(AND(C127=0,D127=0),1,0)</f>
        <v>#REF!</v>
      </c>
      <c r="F127" s="6" t="e">
        <f t="shared" si="32"/>
        <v>#REF!</v>
      </c>
      <c r="G127" s="6">
        <v>600</v>
      </c>
      <c r="H127" t="e">
        <f>F127*G127</f>
        <v>#REF!</v>
      </c>
      <c r="J127" t="e">
        <f t="shared" si="33"/>
        <v>#REF!</v>
      </c>
    </row>
    <row r="128" spans="1:11" ht="15.75" customHeight="1">
      <c r="A128" s="1" t="s">
        <v>2264</v>
      </c>
      <c r="B128" s="1" t="s">
        <v>2265</v>
      </c>
      <c r="C128" s="7" t="e">
        <f>#REF!</f>
        <v>#REF!</v>
      </c>
      <c r="D128" s="7" t="e">
        <f>#REF!</f>
        <v>#REF!</v>
      </c>
      <c r="E128" s="15" t="e">
        <f>IF(AND(C128=0,D128=0),1,0)</f>
        <v>#REF!</v>
      </c>
      <c r="F128" s="6" t="e">
        <f t="shared" si="32"/>
        <v>#REF!</v>
      </c>
      <c r="G128" s="6">
        <v>600</v>
      </c>
      <c r="H128" t="e">
        <f>F128*G128</f>
        <v>#REF!</v>
      </c>
      <c r="J128" t="e">
        <f t="shared" si="33"/>
        <v>#REF!</v>
      </c>
    </row>
    <row r="129" spans="1:10" ht="15.75" customHeight="1">
      <c r="A129" s="1" t="s">
        <v>31</v>
      </c>
      <c r="B129" s="1" t="s">
        <v>2265</v>
      </c>
      <c r="C129" s="7" t="e">
        <f>#REF!</f>
        <v>#REF!</v>
      </c>
      <c r="D129" s="7" t="e">
        <f>#REF!</f>
        <v>#REF!</v>
      </c>
      <c r="E129" s="15" t="e">
        <f>IF(AND(C129=0,D129=0),1,0)</f>
        <v>#REF!</v>
      </c>
      <c r="F129" s="6" t="e">
        <f t="shared" si="32"/>
        <v>#REF!</v>
      </c>
      <c r="G129" s="6">
        <v>600</v>
      </c>
      <c r="H129" t="e">
        <f>F129*G129</f>
        <v>#REF!</v>
      </c>
      <c r="J129" t="e">
        <f t="shared" si="33"/>
        <v>#REF!</v>
      </c>
    </row>
    <row r="130" spans="1:10" ht="15.75" customHeight="1">
      <c r="A130" s="1" t="s">
        <v>21</v>
      </c>
      <c r="B130" s="1" t="s">
        <v>2265</v>
      </c>
      <c r="C130" s="7" t="e">
        <f>#REF!</f>
        <v>#REF!</v>
      </c>
      <c r="D130" s="7" t="e">
        <f>#REF!</f>
        <v>#REF!</v>
      </c>
      <c r="E130" s="15" t="e">
        <f>IF(AND(C130=0,D130=0),1,0)</f>
        <v>#REF!</v>
      </c>
      <c r="F130" s="6" t="e">
        <f t="shared" si="32"/>
        <v>#REF!</v>
      </c>
      <c r="G130" s="6">
        <v>600</v>
      </c>
      <c r="J130" t="e">
        <f t="shared" si="33"/>
        <v>#REF!</v>
      </c>
    </row>
    <row r="131" spans="1:10" ht="15.75" customHeight="1">
      <c r="A131" s="1" t="s">
        <v>44</v>
      </c>
      <c r="B131" s="1" t="s">
        <v>2265</v>
      </c>
      <c r="C131" s="7" t="e">
        <f>#REF!</f>
        <v>#REF!</v>
      </c>
      <c r="D131" s="7" t="e">
        <f>#REF!</f>
        <v>#REF!</v>
      </c>
      <c r="E131" s="15" t="e">
        <f>IF(AND(C131=0,D131=0),1,0)</f>
        <v>#REF!</v>
      </c>
      <c r="F131" s="6" t="e">
        <f t="shared" si="32"/>
        <v>#REF!</v>
      </c>
      <c r="G131" s="6">
        <v>600</v>
      </c>
      <c r="H131" s="16" t="e">
        <f>ROUNDUP(SUM(F130:F131)/8,0)*G131</f>
        <v>#REF!</v>
      </c>
      <c r="J131" t="e">
        <f t="shared" si="33"/>
        <v>#REF!</v>
      </c>
    </row>
    <row r="132" spans="1:10" ht="15.75" customHeight="1">
      <c r="A132" s="1"/>
      <c r="B132" s="1"/>
      <c r="C132" s="7"/>
      <c r="D132" s="7"/>
      <c r="E132" s="15"/>
      <c r="H132" t="e">
        <f>SUM(H118:H131)</f>
        <v>#REF!</v>
      </c>
    </row>
    <row r="133" spans="1:10" ht="15.75" customHeight="1">
      <c r="A133" s="1"/>
      <c r="B133" s="1"/>
      <c r="C133" s="7"/>
      <c r="D133" s="7"/>
      <c r="E133" s="15"/>
    </row>
    <row r="134" spans="1:10" ht="15.75" customHeight="1">
      <c r="A134" s="1"/>
      <c r="B134" s="1"/>
      <c r="C134" s="7"/>
      <c r="D134" s="7"/>
      <c r="E134" s="15"/>
    </row>
    <row r="135" spans="1:10" ht="15.75" customHeight="1">
      <c r="A135" s="1"/>
      <c r="B135" s="1"/>
      <c r="C135" s="7"/>
      <c r="D135" s="7"/>
      <c r="E135" s="15"/>
    </row>
    <row r="140" spans="1:10" ht="15.75" customHeight="1">
      <c r="D140" t="s">
        <v>41</v>
      </c>
      <c r="E140" s="6" t="s">
        <v>17</v>
      </c>
      <c r="F140" s="6" t="s">
        <v>288</v>
      </c>
    </row>
    <row r="141" spans="1:10" ht="15.75" customHeight="1">
      <c r="D141" t="s">
        <v>36</v>
      </c>
      <c r="E141" s="6" t="s">
        <v>37</v>
      </c>
      <c r="F141" s="6" t="s">
        <v>22</v>
      </c>
    </row>
    <row r="142" spans="1:10" ht="15.75" customHeight="1">
      <c r="D142" t="s">
        <v>20</v>
      </c>
      <c r="E142" s="6" t="s">
        <v>21</v>
      </c>
      <c r="F142" s="6" t="s">
        <v>288</v>
      </c>
    </row>
    <row r="143" spans="1:10" ht="15.75" customHeight="1">
      <c r="D143" t="s">
        <v>36</v>
      </c>
      <c r="E143" s="6" t="s">
        <v>37</v>
      </c>
      <c r="F143" s="6" t="s">
        <v>288</v>
      </c>
    </row>
    <row r="144" spans="1:10" ht="15.75" customHeight="1">
      <c r="D144" t="s">
        <v>20</v>
      </c>
      <c r="E144" s="6" t="s">
        <v>21</v>
      </c>
      <c r="F144" s="6" t="s">
        <v>32</v>
      </c>
    </row>
    <row r="145" spans="4:6" ht="15.75" customHeight="1">
      <c r="D145" t="s">
        <v>43</v>
      </c>
      <c r="E145" s="6" t="s">
        <v>44</v>
      </c>
      <c r="F145" s="6" t="s">
        <v>288</v>
      </c>
    </row>
    <row r="146" spans="4:6" ht="15.75" customHeight="1">
      <c r="D146" t="s">
        <v>43</v>
      </c>
      <c r="E146" s="6" t="s">
        <v>44</v>
      </c>
      <c r="F146" s="6" t="s">
        <v>22</v>
      </c>
    </row>
    <row r="147" spans="4:6" ht="15.75" customHeight="1">
      <c r="D147" t="s">
        <v>43</v>
      </c>
      <c r="E147" s="6" t="s">
        <v>44</v>
      </c>
      <c r="F147" s="6" t="s">
        <v>27</v>
      </c>
    </row>
    <row r="148" spans="4:6" ht="15.75" customHeight="1">
      <c r="D148" t="s">
        <v>20</v>
      </c>
      <c r="E148" s="6" t="s">
        <v>21</v>
      </c>
      <c r="F148" s="6" t="s">
        <v>27</v>
      </c>
    </row>
    <row r="149" spans="4:6" ht="15.75" customHeight="1">
      <c r="D149" t="s">
        <v>16</v>
      </c>
      <c r="E149" s="6" t="s">
        <v>17</v>
      </c>
      <c r="F149" s="6" t="s">
        <v>27</v>
      </c>
    </row>
    <row r="150" spans="4:6" ht="15.75" customHeight="1">
      <c r="D150" t="s">
        <v>41</v>
      </c>
      <c r="E150" s="6" t="s">
        <v>17</v>
      </c>
      <c r="F150" s="6" t="s">
        <v>22</v>
      </c>
    </row>
    <row r="151" spans="4:6" ht="15.75" customHeight="1">
      <c r="E151"/>
      <c r="F151"/>
    </row>
    <row r="152" spans="4:6" ht="15.75" customHeight="1">
      <c r="E152"/>
      <c r="F152"/>
    </row>
    <row r="153" spans="4:6" ht="15.75" customHeight="1">
      <c r="E153"/>
      <c r="F153"/>
    </row>
    <row r="154" spans="4:6" ht="15.75" customHeight="1">
      <c r="E154"/>
      <c r="F154"/>
    </row>
    <row r="155" spans="4:6" ht="15.75" customHeight="1">
      <c r="E155"/>
      <c r="F155"/>
    </row>
    <row r="156" spans="4:6" ht="15.75" customHeight="1">
      <c r="E156"/>
      <c r="F156"/>
    </row>
    <row r="157" spans="4:6" ht="15.75" customHeight="1">
      <c r="E157"/>
      <c r="F157"/>
    </row>
    <row r="158" spans="4:6" ht="15.75" customHeight="1">
      <c r="E158"/>
      <c r="F158"/>
    </row>
    <row r="159" spans="4:6" ht="15.75" customHeight="1">
      <c r="E159"/>
      <c r="F159"/>
    </row>
    <row r="160" spans="4:6" ht="15.75" customHeight="1">
      <c r="E160"/>
      <c r="F160"/>
    </row>
    <row r="161" spans="5:6" ht="15.75" customHeight="1">
      <c r="E161"/>
      <c r="F161"/>
    </row>
    <row r="162" spans="5:6" ht="15.75" customHeight="1">
      <c r="E162"/>
      <c r="F162"/>
    </row>
    <row r="163" spans="5:6" ht="15.75" customHeight="1">
      <c r="E163"/>
      <c r="F163"/>
    </row>
    <row r="164" spans="5:6" ht="15.75" customHeight="1">
      <c r="E164"/>
      <c r="F164"/>
    </row>
    <row r="165" spans="5:6" ht="15.75" customHeight="1">
      <c r="E165"/>
      <c r="F165"/>
    </row>
    <row r="166" spans="5:6" ht="15.75" customHeight="1">
      <c r="E166"/>
      <c r="F166"/>
    </row>
    <row r="167" spans="5:6" ht="15.75" customHeight="1">
      <c r="E167"/>
      <c r="F167"/>
    </row>
    <row r="168" spans="5:6" ht="15.75" customHeight="1">
      <c r="E168"/>
      <c r="F168"/>
    </row>
    <row r="169" spans="5:6" ht="15.75" customHeight="1">
      <c r="E169"/>
      <c r="F169"/>
    </row>
    <row r="170" spans="5:6" ht="15.75" customHeight="1">
      <c r="E170"/>
      <c r="F170"/>
    </row>
    <row r="171" spans="5:6" ht="15.75" customHeight="1">
      <c r="E171"/>
      <c r="F171"/>
    </row>
    <row r="172" spans="5:6" ht="15.75" customHeight="1">
      <c r="E172"/>
      <c r="F172"/>
    </row>
    <row r="173" spans="5:6" ht="15.75" customHeight="1">
      <c r="E173"/>
      <c r="F173"/>
    </row>
    <row r="174" spans="5:6" ht="15.75" customHeight="1">
      <c r="E174"/>
      <c r="F174"/>
    </row>
    <row r="175" spans="5:6" ht="15.75" customHeight="1">
      <c r="E175"/>
      <c r="F175"/>
    </row>
    <row r="176" spans="5:6" ht="15.75" customHeight="1">
      <c r="E176"/>
      <c r="F176"/>
    </row>
    <row r="177" spans="5:6" ht="15.75" customHeight="1">
      <c r="E177"/>
      <c r="F177"/>
    </row>
    <row r="178" spans="5:6" ht="15.75" customHeight="1">
      <c r="E178"/>
      <c r="F178"/>
    </row>
    <row r="179" spans="5:6" ht="15.75" customHeight="1">
      <c r="E179"/>
      <c r="F179"/>
    </row>
    <row r="180" spans="5:6" ht="15.75" customHeight="1">
      <c r="E180"/>
      <c r="F180"/>
    </row>
    <row r="181" spans="5:6" ht="15.75" customHeight="1">
      <c r="E181"/>
      <c r="F181"/>
    </row>
    <row r="182" spans="5:6" ht="15.75" customHeight="1">
      <c r="E182"/>
      <c r="F182"/>
    </row>
    <row r="183" spans="5:6" ht="15.75" customHeight="1">
      <c r="E183"/>
      <c r="F183"/>
    </row>
    <row r="184" spans="5:6" ht="15.75" customHeight="1">
      <c r="E184"/>
      <c r="F184"/>
    </row>
    <row r="185" spans="5:6" ht="15.75" customHeight="1">
      <c r="E185"/>
      <c r="F185"/>
    </row>
    <row r="186" spans="5:6" ht="15.75" customHeight="1">
      <c r="E186"/>
      <c r="F186"/>
    </row>
    <row r="187" spans="5:6" ht="15.75" customHeight="1">
      <c r="E187"/>
      <c r="F187"/>
    </row>
    <row r="188" spans="5:6" ht="15.75" customHeight="1">
      <c r="E188"/>
      <c r="F188"/>
    </row>
    <row r="189" spans="5:6" ht="15.75" customHeight="1">
      <c r="E189"/>
      <c r="F189"/>
    </row>
    <row r="190" spans="5:6" ht="15.75" customHeight="1">
      <c r="E190"/>
      <c r="F190"/>
    </row>
    <row r="191" spans="5:6" ht="15.75" customHeight="1">
      <c r="E191"/>
      <c r="F191"/>
    </row>
    <row r="192" spans="5:6" ht="15.75" customHeight="1">
      <c r="E192"/>
      <c r="F192"/>
    </row>
    <row r="193" spans="5:6" ht="15.75" customHeight="1">
      <c r="E193"/>
      <c r="F193"/>
    </row>
    <row r="194" spans="5:6" ht="15.75" customHeight="1">
      <c r="E194"/>
      <c r="F194"/>
    </row>
    <row r="195" spans="5:6" ht="15.75" customHeight="1">
      <c r="E195"/>
      <c r="F195"/>
    </row>
    <row r="196" spans="5:6" ht="15.75" customHeight="1">
      <c r="E196"/>
      <c r="F196"/>
    </row>
    <row r="197" spans="5:6" ht="15.75" customHeight="1">
      <c r="E197"/>
      <c r="F197"/>
    </row>
    <row r="198" spans="5:6" ht="15.75" customHeight="1">
      <c r="E198"/>
      <c r="F198"/>
    </row>
    <row r="199" spans="5:6" ht="15.75" customHeight="1">
      <c r="E199"/>
      <c r="F199"/>
    </row>
    <row r="200" spans="5:6" ht="15.75" customHeight="1">
      <c r="E200"/>
      <c r="F200"/>
    </row>
    <row r="201" spans="5:6" ht="15.75" customHeight="1">
      <c r="E201"/>
      <c r="F201"/>
    </row>
    <row r="202" spans="5:6" ht="15.75" customHeight="1">
      <c r="E202"/>
      <c r="F202"/>
    </row>
    <row r="203" spans="5:6" ht="15.75" customHeight="1">
      <c r="E203"/>
      <c r="F203"/>
    </row>
    <row r="204" spans="5:6" ht="15.75" customHeight="1">
      <c r="E204"/>
      <c r="F204"/>
    </row>
    <row r="205" spans="5:6" ht="15.75" customHeight="1">
      <c r="E205"/>
      <c r="F205"/>
    </row>
    <row r="206" spans="5:6" ht="15.75" customHeight="1">
      <c r="E206"/>
      <c r="F206"/>
    </row>
    <row r="207" spans="5:6" ht="15.75" customHeight="1">
      <c r="E207"/>
      <c r="F207"/>
    </row>
    <row r="208" spans="5:6" ht="15.75" customHeight="1">
      <c r="E208"/>
      <c r="F208"/>
    </row>
    <row r="209" spans="5:6" ht="15.75" customHeight="1">
      <c r="E209"/>
      <c r="F209"/>
    </row>
    <row r="210" spans="5:6" ht="15.75" customHeight="1">
      <c r="E210"/>
      <c r="F210"/>
    </row>
    <row r="211" spans="5:6" ht="15.75" customHeight="1">
      <c r="E211"/>
      <c r="F211"/>
    </row>
    <row r="212" spans="5:6" ht="15.75" customHeight="1">
      <c r="E212"/>
      <c r="F212"/>
    </row>
    <row r="213" spans="5:6" ht="15.75" customHeight="1">
      <c r="E213"/>
      <c r="F213"/>
    </row>
    <row r="214" spans="5:6" ht="15.75" customHeight="1">
      <c r="E214"/>
      <c r="F214"/>
    </row>
    <row r="215" spans="5:6" ht="15.75" customHeight="1">
      <c r="E215"/>
      <c r="F215"/>
    </row>
    <row r="216" spans="5:6" ht="15.75" customHeight="1">
      <c r="E216"/>
      <c r="F216"/>
    </row>
    <row r="217" spans="5:6" ht="15.75" customHeight="1">
      <c r="E217"/>
      <c r="F217"/>
    </row>
    <row r="218" spans="5:6" ht="15.75" customHeight="1">
      <c r="E218"/>
      <c r="F218"/>
    </row>
    <row r="219" spans="5:6" ht="15.75" customHeight="1">
      <c r="E219"/>
      <c r="F219"/>
    </row>
    <row r="220" spans="5:6" ht="15.75" customHeight="1">
      <c r="E220"/>
      <c r="F220"/>
    </row>
    <row r="221" spans="5:6" ht="15.75" customHeight="1">
      <c r="E221"/>
      <c r="F221"/>
    </row>
    <row r="222" spans="5:6" ht="15.75" customHeight="1">
      <c r="E222"/>
      <c r="F222"/>
    </row>
    <row r="223" spans="5:6" ht="15.75" customHeight="1">
      <c r="E223"/>
      <c r="F223"/>
    </row>
    <row r="224" spans="5:6" ht="15.75" customHeight="1">
      <c r="E224"/>
      <c r="F224"/>
    </row>
    <row r="225" spans="5:6" ht="15.75" customHeight="1">
      <c r="E225"/>
      <c r="F225"/>
    </row>
    <row r="226" spans="5:6" ht="15.75" customHeight="1">
      <c r="E226"/>
      <c r="F226"/>
    </row>
    <row r="227" spans="5:6" ht="15.75" customHeight="1">
      <c r="E227"/>
      <c r="F227"/>
    </row>
    <row r="228" spans="5:6" ht="15.75" customHeight="1">
      <c r="E228"/>
      <c r="F228"/>
    </row>
    <row r="229" spans="5:6" ht="15.75" customHeight="1">
      <c r="E229"/>
      <c r="F229"/>
    </row>
    <row r="230" spans="5:6" ht="15.75" customHeight="1">
      <c r="E230"/>
      <c r="F230"/>
    </row>
    <row r="231" spans="5:6" ht="15.75" customHeight="1">
      <c r="E231"/>
      <c r="F231"/>
    </row>
    <row r="232" spans="5:6" ht="15.75" customHeight="1">
      <c r="E232"/>
      <c r="F232"/>
    </row>
    <row r="233" spans="5:6" ht="15.75" customHeight="1">
      <c r="E233"/>
      <c r="F233"/>
    </row>
    <row r="234" spans="5:6" ht="15.75" customHeight="1">
      <c r="E234"/>
      <c r="F234"/>
    </row>
    <row r="235" spans="5:6" ht="15.75" customHeight="1">
      <c r="E235"/>
      <c r="F235"/>
    </row>
    <row r="236" spans="5:6" ht="15.75" customHeight="1">
      <c r="E236"/>
      <c r="F236"/>
    </row>
    <row r="237" spans="5:6" ht="15.75" customHeight="1">
      <c r="E237"/>
      <c r="F237"/>
    </row>
    <row r="238" spans="5:6" ht="15.75" customHeight="1">
      <c r="E238"/>
      <c r="F238"/>
    </row>
    <row r="239" spans="5:6" ht="15.75" customHeight="1">
      <c r="E239"/>
      <c r="F239"/>
    </row>
    <row r="240" spans="5:6" ht="15.75" customHeight="1">
      <c r="E240"/>
      <c r="F240"/>
    </row>
    <row r="241" spans="5:6" ht="15.75" customHeight="1">
      <c r="E241"/>
      <c r="F241"/>
    </row>
    <row r="242" spans="5:6" ht="15.75" customHeight="1">
      <c r="E242"/>
      <c r="F242"/>
    </row>
    <row r="243" spans="5:6" ht="15.75" customHeight="1">
      <c r="E243"/>
      <c r="F243"/>
    </row>
    <row r="244" spans="5:6" ht="15.75" customHeight="1">
      <c r="E244"/>
      <c r="F244"/>
    </row>
    <row r="245" spans="5:6" ht="15.75" customHeight="1">
      <c r="E245"/>
      <c r="F245"/>
    </row>
    <row r="246" spans="5:6" ht="15.75" customHeight="1">
      <c r="E246"/>
      <c r="F246"/>
    </row>
    <row r="247" spans="5:6" ht="15.75" customHeight="1">
      <c r="E247"/>
      <c r="F247"/>
    </row>
    <row r="248" spans="5:6" ht="15.75" customHeight="1">
      <c r="E248"/>
      <c r="F248"/>
    </row>
    <row r="249" spans="5:6" ht="15.75" customHeight="1">
      <c r="E249"/>
      <c r="F249"/>
    </row>
    <row r="250" spans="5:6" ht="15.75" customHeight="1">
      <c r="E250"/>
      <c r="F250"/>
    </row>
    <row r="251" spans="5:6" ht="15.75" customHeight="1">
      <c r="E251"/>
      <c r="F251"/>
    </row>
    <row r="252" spans="5:6" ht="15.75" customHeight="1">
      <c r="E252"/>
      <c r="F252"/>
    </row>
    <row r="253" spans="5:6" ht="15.75" customHeight="1">
      <c r="E253"/>
      <c r="F253"/>
    </row>
    <row r="254" spans="5:6" ht="15.75" customHeight="1">
      <c r="E254"/>
      <c r="F254"/>
    </row>
    <row r="255" spans="5:6" ht="15.75" customHeight="1">
      <c r="E255"/>
      <c r="F255"/>
    </row>
    <row r="256" spans="5:6" ht="15.75" customHeight="1">
      <c r="E256"/>
      <c r="F256"/>
    </row>
    <row r="257" spans="5:6" ht="15.75" customHeight="1">
      <c r="E257"/>
      <c r="F257"/>
    </row>
    <row r="258" spans="5:6" ht="15.75" customHeight="1">
      <c r="E258"/>
      <c r="F258"/>
    </row>
    <row r="259" spans="5:6" ht="15.75" customHeight="1">
      <c r="E259"/>
      <c r="F259"/>
    </row>
    <row r="260" spans="5:6" ht="15.75" customHeight="1">
      <c r="E260"/>
      <c r="F260"/>
    </row>
    <row r="261" spans="5:6" ht="15.75" customHeight="1">
      <c r="E261"/>
      <c r="F261"/>
    </row>
    <row r="262" spans="5:6" ht="15.75" customHeight="1">
      <c r="E262"/>
      <c r="F262"/>
    </row>
    <row r="263" spans="5:6" ht="15.75" customHeight="1">
      <c r="E263"/>
      <c r="F263"/>
    </row>
    <row r="264" spans="5:6" ht="15.75" customHeight="1">
      <c r="E264"/>
      <c r="F264"/>
    </row>
    <row r="265" spans="5:6" ht="15.75" customHeight="1">
      <c r="E265"/>
      <c r="F265"/>
    </row>
    <row r="266" spans="5:6" ht="15.75" customHeight="1">
      <c r="E266"/>
      <c r="F266"/>
    </row>
    <row r="267" spans="5:6" ht="15.75" customHeight="1">
      <c r="E267"/>
      <c r="F267"/>
    </row>
    <row r="268" spans="5:6" ht="15.75" customHeight="1">
      <c r="E268"/>
      <c r="F268"/>
    </row>
    <row r="269" spans="5:6" ht="15.75" customHeight="1">
      <c r="E269"/>
      <c r="F269"/>
    </row>
    <row r="270" spans="5:6" ht="15.75" customHeight="1">
      <c r="E270"/>
      <c r="F270"/>
    </row>
    <row r="271" spans="5:6" ht="15.75" customHeight="1">
      <c r="E271"/>
      <c r="F271"/>
    </row>
    <row r="272" spans="5:6" ht="15.75" customHeight="1">
      <c r="E272"/>
      <c r="F272"/>
    </row>
    <row r="273" spans="5:6" ht="15.75" customHeight="1">
      <c r="E273"/>
      <c r="F273"/>
    </row>
  </sheetData>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F8313-E669-4A49-82D2-195E662C6F83}">
  <dimension ref="C2:E13"/>
  <sheetViews>
    <sheetView workbookViewId="0">
      <selection activeCell="C2" sqref="C2:E13"/>
    </sheetView>
  </sheetViews>
  <sheetFormatPr defaultRowHeight="13.2"/>
  <sheetData>
    <row r="2" spans="3:5">
      <c r="C2" t="s">
        <v>20</v>
      </c>
      <c r="D2" t="s">
        <v>21</v>
      </c>
      <c r="E2" t="s">
        <v>22</v>
      </c>
    </row>
    <row r="3" spans="3:5">
      <c r="C3" t="s">
        <v>24</v>
      </c>
      <c r="D3" t="s">
        <v>25</v>
      </c>
      <c r="E3" t="s">
        <v>288</v>
      </c>
    </row>
    <row r="4" spans="3:5">
      <c r="C4" t="s">
        <v>24</v>
      </c>
      <c r="D4" t="s">
        <v>25</v>
      </c>
      <c r="E4" t="s">
        <v>27</v>
      </c>
    </row>
    <row r="5" spans="3:5">
      <c r="C5" t="s">
        <v>24</v>
      </c>
      <c r="D5" t="s">
        <v>25</v>
      </c>
      <c r="E5" t="s">
        <v>22</v>
      </c>
    </row>
    <row r="6" spans="3:5">
      <c r="C6" t="s">
        <v>20</v>
      </c>
      <c r="D6" t="s">
        <v>31</v>
      </c>
      <c r="E6" t="s">
        <v>32</v>
      </c>
    </row>
    <row r="7" spans="3:5">
      <c r="C7" t="s">
        <v>20</v>
      </c>
      <c r="D7" t="s">
        <v>21</v>
      </c>
      <c r="E7" t="s">
        <v>32</v>
      </c>
    </row>
    <row r="8" spans="3:5">
      <c r="C8" t="s">
        <v>20</v>
      </c>
      <c r="D8" t="s">
        <v>21</v>
      </c>
      <c r="E8" t="s">
        <v>27</v>
      </c>
    </row>
    <row r="9" spans="3:5">
      <c r="C9" t="s">
        <v>20</v>
      </c>
      <c r="D9" t="s">
        <v>21</v>
      </c>
      <c r="E9" t="s">
        <v>288</v>
      </c>
    </row>
    <row r="10" spans="3:5">
      <c r="C10" t="s">
        <v>43</v>
      </c>
      <c r="D10" t="s">
        <v>44</v>
      </c>
      <c r="E10" t="s">
        <v>288</v>
      </c>
    </row>
    <row r="11" spans="3:5">
      <c r="C11" t="s">
        <v>29</v>
      </c>
      <c r="D11" t="s">
        <v>17</v>
      </c>
      <c r="E11" t="s">
        <v>39</v>
      </c>
    </row>
    <row r="12" spans="3:5">
      <c r="C12" t="s">
        <v>16</v>
      </c>
      <c r="D12" t="s">
        <v>17</v>
      </c>
      <c r="E12" t="s">
        <v>2287</v>
      </c>
    </row>
    <row r="13" spans="3:5">
      <c r="C13" t="s">
        <v>41</v>
      </c>
      <c r="D13" t="s">
        <v>17</v>
      </c>
      <c r="E13" t="s">
        <v>288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F0E15-348B-48A3-B0A2-CF7E9B64541B}">
  <dimension ref="B2:I80"/>
  <sheetViews>
    <sheetView topLeftCell="A56" workbookViewId="0">
      <selection activeCell="C50" sqref="C50:D53"/>
    </sheetView>
  </sheetViews>
  <sheetFormatPr defaultRowHeight="13.2"/>
  <cols>
    <col min="2" max="2" width="106" customWidth="1"/>
    <col min="3" max="3" width="30.6640625" customWidth="1"/>
    <col min="4" max="4" width="25" customWidth="1"/>
    <col min="5" max="5" width="13.6640625" customWidth="1"/>
    <col min="6" max="6" width="23.6640625" customWidth="1"/>
    <col min="8" max="8" width="22.33203125" customWidth="1"/>
  </cols>
  <sheetData>
    <row r="2" spans="2:5">
      <c r="B2" s="22" t="s">
        <v>2288</v>
      </c>
    </row>
    <row r="3" spans="2:5" ht="26.4">
      <c r="B3" s="22" t="s">
        <v>2289</v>
      </c>
    </row>
    <row r="4" spans="2:5" ht="26.4">
      <c r="B4" s="22" t="s">
        <v>2290</v>
      </c>
    </row>
    <row r="10" spans="2:5">
      <c r="D10" t="s">
        <v>41</v>
      </c>
      <c r="E10">
        <v>4</v>
      </c>
    </row>
    <row r="11" spans="2:5">
      <c r="D11" t="s">
        <v>41</v>
      </c>
      <c r="E11">
        <v>30</v>
      </c>
    </row>
    <row r="12" spans="2:5">
      <c r="D12" t="s">
        <v>41</v>
      </c>
      <c r="E12">
        <v>18.600000000000001</v>
      </c>
    </row>
    <row r="13" spans="2:5">
      <c r="D13" t="s">
        <v>41</v>
      </c>
      <c r="E13">
        <v>5.5</v>
      </c>
    </row>
    <row r="14" spans="2:5">
      <c r="D14" t="s">
        <v>41</v>
      </c>
      <c r="E14">
        <v>7.5</v>
      </c>
    </row>
    <row r="15" spans="2:5">
      <c r="D15" t="s">
        <v>41</v>
      </c>
      <c r="E15">
        <v>1</v>
      </c>
    </row>
    <row r="16" spans="2:5">
      <c r="D16" t="s">
        <v>41</v>
      </c>
      <c r="E16">
        <v>3</v>
      </c>
    </row>
    <row r="17" spans="3:9">
      <c r="D17" t="s">
        <v>41</v>
      </c>
      <c r="E17">
        <v>11</v>
      </c>
    </row>
    <row r="18" spans="3:9">
      <c r="D18" t="s">
        <v>41</v>
      </c>
      <c r="E18">
        <v>15</v>
      </c>
    </row>
    <row r="19" spans="3:9">
      <c r="D19" t="s">
        <v>41</v>
      </c>
      <c r="E19">
        <v>2.2000000000000002</v>
      </c>
    </row>
    <row r="26" spans="3:9">
      <c r="D26" t="s">
        <v>2291</v>
      </c>
      <c r="E26" t="s">
        <v>2292</v>
      </c>
      <c r="F26" t="s">
        <v>2293</v>
      </c>
      <c r="G26" t="s">
        <v>2294</v>
      </c>
      <c r="H26" t="s">
        <v>2295</v>
      </c>
      <c r="I26" t="s">
        <v>2296</v>
      </c>
    </row>
    <row r="27" spans="3:9">
      <c r="D27" t="s">
        <v>2297</v>
      </c>
      <c r="E27" t="s">
        <v>2297</v>
      </c>
      <c r="F27" t="s">
        <v>2297</v>
      </c>
      <c r="G27" t="s">
        <v>2297</v>
      </c>
      <c r="H27" t="s">
        <v>2297</v>
      </c>
      <c r="I27" t="s">
        <v>2297</v>
      </c>
    </row>
    <row r="28" spans="3:9">
      <c r="C28" t="s">
        <v>2298</v>
      </c>
      <c r="D28" t="s">
        <v>2299</v>
      </c>
      <c r="E28" t="s">
        <v>2300</v>
      </c>
      <c r="F28" t="s">
        <v>2301</v>
      </c>
      <c r="G28" t="s">
        <v>2302</v>
      </c>
      <c r="H28" t="s">
        <v>2303</v>
      </c>
      <c r="I28" t="s">
        <v>2304</v>
      </c>
    </row>
    <row r="29" spans="3:9">
      <c r="C29" t="s">
        <v>2305</v>
      </c>
      <c r="D29" t="s">
        <v>2306</v>
      </c>
      <c r="E29" t="s">
        <v>2307</v>
      </c>
      <c r="F29" t="s">
        <v>2308</v>
      </c>
      <c r="G29" t="s">
        <v>2302</v>
      </c>
      <c r="H29" t="s">
        <v>2309</v>
      </c>
      <c r="I29" t="s">
        <v>2310</v>
      </c>
    </row>
    <row r="30" spans="3:9">
      <c r="C30" t="s">
        <v>2311</v>
      </c>
      <c r="D30" t="s">
        <v>2312</v>
      </c>
      <c r="E30" t="s">
        <v>2313</v>
      </c>
      <c r="F30" t="s">
        <v>2314</v>
      </c>
      <c r="G30" t="s">
        <v>2302</v>
      </c>
      <c r="H30" t="s">
        <v>2315</v>
      </c>
      <c r="I30" t="s">
        <v>2316</v>
      </c>
    </row>
    <row r="31" spans="3:9">
      <c r="C31" t="s">
        <v>2317</v>
      </c>
      <c r="D31" t="s">
        <v>2318</v>
      </c>
      <c r="E31" t="s">
        <v>2319</v>
      </c>
      <c r="F31" t="s">
        <v>2320</v>
      </c>
      <c r="G31" t="s">
        <v>2321</v>
      </c>
      <c r="H31" t="s">
        <v>2322</v>
      </c>
      <c r="I31" t="s">
        <v>2323</v>
      </c>
    </row>
    <row r="32" spans="3:9">
      <c r="C32" s="10" t="s">
        <v>2324</v>
      </c>
      <c r="D32" t="s">
        <v>2325</v>
      </c>
      <c r="E32" t="s">
        <v>2326</v>
      </c>
      <c r="F32" t="s">
        <v>2327</v>
      </c>
      <c r="G32" t="s">
        <v>2328</v>
      </c>
      <c r="H32" t="s">
        <v>2322</v>
      </c>
      <c r="I32" t="s">
        <v>2329</v>
      </c>
    </row>
    <row r="33" spans="3:9">
      <c r="C33" t="s">
        <v>2330</v>
      </c>
      <c r="D33" t="s">
        <v>2331</v>
      </c>
      <c r="E33" t="s">
        <v>2332</v>
      </c>
      <c r="F33" t="s">
        <v>2333</v>
      </c>
      <c r="G33" t="s">
        <v>2334</v>
      </c>
      <c r="H33" t="s">
        <v>2322</v>
      </c>
      <c r="I33" t="s">
        <v>2335</v>
      </c>
    </row>
    <row r="34" spans="3:9">
      <c r="D34" t="s">
        <v>2336</v>
      </c>
      <c r="E34" t="s">
        <v>2337</v>
      </c>
      <c r="F34" t="s">
        <v>2338</v>
      </c>
      <c r="G34" t="s">
        <v>2339</v>
      </c>
      <c r="H34" t="s">
        <v>2340</v>
      </c>
      <c r="I34" t="s">
        <v>2341</v>
      </c>
    </row>
    <row r="38" spans="3:9">
      <c r="C38" t="s">
        <v>2342</v>
      </c>
      <c r="D38" t="s">
        <v>22</v>
      </c>
    </row>
    <row r="39" spans="3:9">
      <c r="C39" t="s">
        <v>2305</v>
      </c>
      <c r="D39" t="s">
        <v>22</v>
      </c>
    </row>
    <row r="40" spans="3:9">
      <c r="C40" t="s">
        <v>2311</v>
      </c>
      <c r="D40" t="s">
        <v>22</v>
      </c>
    </row>
    <row r="41" spans="3:9">
      <c r="C41" t="s">
        <v>2317</v>
      </c>
      <c r="D41" t="s">
        <v>27</v>
      </c>
    </row>
    <row r="42" spans="3:9">
      <c r="C42" t="s">
        <v>2324</v>
      </c>
      <c r="D42" t="s">
        <v>32</v>
      </c>
    </row>
    <row r="43" spans="3:9">
      <c r="C43" t="s">
        <v>2330</v>
      </c>
      <c r="D43" t="s">
        <v>39</v>
      </c>
    </row>
    <row r="48" spans="3:9">
      <c r="C48" t="s">
        <v>2343</v>
      </c>
    </row>
    <row r="49" spans="3:3">
      <c r="C49" t="s">
        <v>2344</v>
      </c>
    </row>
    <row r="50" spans="3:3">
      <c r="C50" t="s">
        <v>2345</v>
      </c>
    </row>
    <row r="51" spans="3:3">
      <c r="C51" t="s">
        <v>2346</v>
      </c>
    </row>
    <row r="52" spans="3:3">
      <c r="C52" t="s">
        <v>2347</v>
      </c>
    </row>
    <row r="53" spans="3:3">
      <c r="C53" t="s">
        <v>2348</v>
      </c>
    </row>
    <row r="54" spans="3:3">
      <c r="C54" t="s">
        <v>2349</v>
      </c>
    </row>
    <row r="55" spans="3:3">
      <c r="C55" t="s">
        <v>2350</v>
      </c>
    </row>
    <row r="56" spans="3:3">
      <c r="C56" t="s">
        <v>2351</v>
      </c>
    </row>
    <row r="57" spans="3:3">
      <c r="C57" t="s">
        <v>2352</v>
      </c>
    </row>
    <row r="67" spans="3:7">
      <c r="C67" t="s">
        <v>2353</v>
      </c>
      <c r="D67" t="s">
        <v>2354</v>
      </c>
      <c r="E67" t="s">
        <v>2355</v>
      </c>
      <c r="F67" t="s">
        <v>2356</v>
      </c>
      <c r="G67" t="s">
        <v>2357</v>
      </c>
    </row>
    <row r="68" spans="3:7">
      <c r="C68" s="103">
        <v>80000</v>
      </c>
      <c r="D68">
        <v>3</v>
      </c>
      <c r="E68">
        <v>45</v>
      </c>
      <c r="F68" t="s">
        <v>2358</v>
      </c>
    </row>
    <row r="69" spans="3:7">
      <c r="C69" s="103">
        <v>80000</v>
      </c>
      <c r="D69">
        <v>4</v>
      </c>
      <c r="E69">
        <v>45</v>
      </c>
      <c r="F69" t="s">
        <v>2358</v>
      </c>
    </row>
    <row r="70" spans="3:7">
      <c r="C70" s="103">
        <v>800</v>
      </c>
      <c r="D70">
        <v>3</v>
      </c>
      <c r="E70">
        <v>63</v>
      </c>
      <c r="F70" t="s">
        <v>2359</v>
      </c>
    </row>
    <row r="71" spans="3:7">
      <c r="C71" s="103">
        <v>800</v>
      </c>
      <c r="D71">
        <v>4</v>
      </c>
      <c r="E71">
        <v>63</v>
      </c>
      <c r="F71" t="s">
        <v>2359</v>
      </c>
    </row>
    <row r="72" spans="3:7">
      <c r="C72" s="103">
        <v>800</v>
      </c>
      <c r="D72">
        <v>6</v>
      </c>
      <c r="E72">
        <v>63</v>
      </c>
      <c r="F72" t="s">
        <v>2358</v>
      </c>
    </row>
    <row r="73" spans="3:7">
      <c r="C73" t="s">
        <v>2360</v>
      </c>
      <c r="D73">
        <v>3</v>
      </c>
      <c r="E73">
        <v>63</v>
      </c>
      <c r="F73" t="s">
        <v>2361</v>
      </c>
    </row>
    <row r="74" spans="3:7">
      <c r="C74" t="s">
        <v>2362</v>
      </c>
      <c r="D74">
        <v>3</v>
      </c>
      <c r="E74">
        <v>250</v>
      </c>
      <c r="F74" t="s">
        <v>2363</v>
      </c>
      <c r="G74">
        <v>45</v>
      </c>
    </row>
    <row r="75" spans="3:7">
      <c r="C75" t="s">
        <v>2364</v>
      </c>
      <c r="D75">
        <v>3</v>
      </c>
      <c r="E75">
        <v>160</v>
      </c>
      <c r="F75" t="s">
        <v>2363</v>
      </c>
      <c r="G75">
        <v>45</v>
      </c>
    </row>
    <row r="76" spans="3:7">
      <c r="C76" t="s">
        <v>2364</v>
      </c>
      <c r="D76">
        <v>3</v>
      </c>
      <c r="E76">
        <v>400</v>
      </c>
      <c r="F76" t="s">
        <v>2365</v>
      </c>
      <c r="G76">
        <v>80</v>
      </c>
    </row>
    <row r="77" spans="3:7">
      <c r="C77" t="s">
        <v>2366</v>
      </c>
      <c r="D77">
        <v>3</v>
      </c>
      <c r="E77">
        <v>630</v>
      </c>
      <c r="F77" t="s">
        <v>2365</v>
      </c>
      <c r="G77">
        <v>80</v>
      </c>
    </row>
    <row r="78" spans="3:7">
      <c r="C78" t="s">
        <v>2364</v>
      </c>
      <c r="D78">
        <v>4</v>
      </c>
      <c r="E78">
        <v>250</v>
      </c>
      <c r="F78" t="s">
        <v>2363</v>
      </c>
      <c r="G78">
        <v>45</v>
      </c>
    </row>
    <row r="79" spans="3:7">
      <c r="C79" t="s">
        <v>2367</v>
      </c>
      <c r="D79">
        <v>4</v>
      </c>
      <c r="E79">
        <v>400</v>
      </c>
      <c r="F79" t="s">
        <v>2365</v>
      </c>
      <c r="G79">
        <v>80</v>
      </c>
    </row>
    <row r="80" spans="3:7">
      <c r="C80" t="s">
        <v>2368</v>
      </c>
      <c r="D80">
        <v>4</v>
      </c>
      <c r="E80">
        <v>630</v>
      </c>
      <c r="F80" t="s">
        <v>2365</v>
      </c>
      <c r="G80">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3389E-98BD-4E6D-8FFE-DF04D1E3ACCF}">
  <dimension ref="A1:U97"/>
  <sheetViews>
    <sheetView topLeftCell="A69" workbookViewId="0">
      <selection activeCell="N69" sqref="N69"/>
    </sheetView>
  </sheetViews>
  <sheetFormatPr defaultRowHeight="13.2"/>
  <cols>
    <col min="1" max="1" width="48.6640625" bestFit="1" customWidth="1"/>
    <col min="2" max="2" width="11.33203125" bestFit="1" customWidth="1"/>
    <col min="13" max="13" width="16.109375" customWidth="1"/>
  </cols>
  <sheetData>
    <row r="1" spans="1:21">
      <c r="A1" t="s">
        <v>2369</v>
      </c>
      <c r="B1" t="s">
        <v>2370</v>
      </c>
      <c r="C1" t="s">
        <v>1547</v>
      </c>
      <c r="D1" t="s">
        <v>2371</v>
      </c>
      <c r="E1" t="s">
        <v>2372</v>
      </c>
      <c r="F1" t="s">
        <v>2373</v>
      </c>
      <c r="G1" t="s">
        <v>2374</v>
      </c>
      <c r="H1" t="s">
        <v>2375</v>
      </c>
      <c r="I1" t="s">
        <v>2376</v>
      </c>
      <c r="J1" t="s">
        <v>2377</v>
      </c>
      <c r="K1" t="s">
        <v>2378</v>
      </c>
      <c r="L1" s="10" t="s">
        <v>2379</v>
      </c>
      <c r="N1" t="s">
        <v>2371</v>
      </c>
      <c r="O1" t="s">
        <v>2372</v>
      </c>
      <c r="P1" t="s">
        <v>2373</v>
      </c>
      <c r="Q1" t="s">
        <v>2374</v>
      </c>
      <c r="R1" t="s">
        <v>2375</v>
      </c>
      <c r="S1" t="s">
        <v>2376</v>
      </c>
      <c r="T1" t="s">
        <v>2377</v>
      </c>
      <c r="U1" t="s">
        <v>2378</v>
      </c>
    </row>
    <row r="2" spans="1:21">
      <c r="A2" t="s">
        <v>2380</v>
      </c>
      <c r="B2" t="s">
        <v>2381</v>
      </c>
      <c r="C2" t="s">
        <v>2382</v>
      </c>
      <c r="D2">
        <v>0</v>
      </c>
      <c r="E2">
        <v>15</v>
      </c>
      <c r="F2">
        <v>2</v>
      </c>
      <c r="G2">
        <v>7</v>
      </c>
      <c r="H2">
        <v>0</v>
      </c>
      <c r="I2">
        <v>7</v>
      </c>
      <c r="J2">
        <v>2</v>
      </c>
      <c r="K2">
        <v>0</v>
      </c>
      <c r="L2">
        <v>2</v>
      </c>
      <c r="N2">
        <f>$L2*D2</f>
        <v>0</v>
      </c>
      <c r="O2">
        <f t="shared" ref="O2:U2" si="0">$L2*E2</f>
        <v>30</v>
      </c>
      <c r="P2">
        <f t="shared" si="0"/>
        <v>4</v>
      </c>
      <c r="Q2">
        <f t="shared" si="0"/>
        <v>14</v>
      </c>
      <c r="R2">
        <f t="shared" si="0"/>
        <v>0</v>
      </c>
      <c r="S2">
        <f t="shared" si="0"/>
        <v>14</v>
      </c>
      <c r="T2">
        <f t="shared" si="0"/>
        <v>4</v>
      </c>
      <c r="U2">
        <f t="shared" si="0"/>
        <v>0</v>
      </c>
    </row>
    <row r="3" spans="1:21">
      <c r="A3" t="s">
        <v>2383</v>
      </c>
      <c r="B3" t="s">
        <v>2384</v>
      </c>
      <c r="C3" t="s">
        <v>2382</v>
      </c>
      <c r="D3">
        <v>0</v>
      </c>
      <c r="E3">
        <v>18</v>
      </c>
      <c r="F3">
        <v>2</v>
      </c>
      <c r="G3">
        <v>9</v>
      </c>
      <c r="H3">
        <v>0</v>
      </c>
      <c r="I3">
        <v>9</v>
      </c>
      <c r="J3">
        <v>0</v>
      </c>
      <c r="K3">
        <v>0</v>
      </c>
      <c r="L3">
        <v>1</v>
      </c>
      <c r="N3">
        <f t="shared" ref="N3:N25" si="1">$L3*D3</f>
        <v>0</v>
      </c>
      <c r="O3">
        <f t="shared" ref="O3:O25" si="2">$L3*E3</f>
        <v>18</v>
      </c>
      <c r="P3">
        <f t="shared" ref="P3:P25" si="3">$L3*F3</f>
        <v>2</v>
      </c>
      <c r="Q3">
        <f t="shared" ref="Q3:Q25" si="4">$L3*G3</f>
        <v>9</v>
      </c>
      <c r="R3">
        <f t="shared" ref="R3:R25" si="5">$L3*H3</f>
        <v>0</v>
      </c>
      <c r="S3">
        <f t="shared" ref="S3:S25" si="6">$L3*I3</f>
        <v>9</v>
      </c>
      <c r="T3">
        <f t="shared" ref="T3:T25" si="7">$L3*J3</f>
        <v>0</v>
      </c>
      <c r="U3">
        <f t="shared" ref="U3:U25" si="8">$L3*K3</f>
        <v>0</v>
      </c>
    </row>
    <row r="4" spans="1:21">
      <c r="A4" t="s">
        <v>2385</v>
      </c>
      <c r="B4" t="s">
        <v>2386</v>
      </c>
      <c r="C4" t="s">
        <v>2382</v>
      </c>
      <c r="D4">
        <v>0</v>
      </c>
      <c r="E4">
        <v>12</v>
      </c>
      <c r="F4">
        <v>2</v>
      </c>
      <c r="G4">
        <v>4</v>
      </c>
      <c r="H4">
        <v>7</v>
      </c>
      <c r="I4">
        <v>0</v>
      </c>
      <c r="J4">
        <v>0</v>
      </c>
      <c r="K4">
        <v>0</v>
      </c>
      <c r="L4">
        <v>1</v>
      </c>
      <c r="N4">
        <f t="shared" si="1"/>
        <v>0</v>
      </c>
      <c r="O4">
        <f t="shared" si="2"/>
        <v>12</v>
      </c>
      <c r="P4">
        <f t="shared" si="3"/>
        <v>2</v>
      </c>
      <c r="Q4">
        <f t="shared" si="4"/>
        <v>4</v>
      </c>
      <c r="R4">
        <f t="shared" si="5"/>
        <v>7</v>
      </c>
      <c r="S4">
        <f t="shared" si="6"/>
        <v>0</v>
      </c>
      <c r="T4">
        <f t="shared" si="7"/>
        <v>0</v>
      </c>
      <c r="U4">
        <f t="shared" si="8"/>
        <v>0</v>
      </c>
    </row>
    <row r="5" spans="1:21">
      <c r="A5" t="s">
        <v>2387</v>
      </c>
      <c r="B5" t="s">
        <v>2388</v>
      </c>
      <c r="C5" t="s">
        <v>2382</v>
      </c>
      <c r="D5">
        <v>0</v>
      </c>
      <c r="E5">
        <v>23</v>
      </c>
      <c r="F5">
        <v>9</v>
      </c>
      <c r="G5">
        <v>18</v>
      </c>
      <c r="H5">
        <v>0</v>
      </c>
      <c r="I5">
        <v>0</v>
      </c>
      <c r="J5">
        <v>0</v>
      </c>
      <c r="K5">
        <v>0</v>
      </c>
      <c r="L5">
        <v>1</v>
      </c>
      <c r="N5">
        <f t="shared" si="1"/>
        <v>0</v>
      </c>
      <c r="O5">
        <f t="shared" si="2"/>
        <v>23</v>
      </c>
      <c r="P5">
        <f t="shared" si="3"/>
        <v>9</v>
      </c>
      <c r="Q5">
        <f t="shared" si="4"/>
        <v>18</v>
      </c>
      <c r="R5">
        <f t="shared" si="5"/>
        <v>0</v>
      </c>
      <c r="S5">
        <f t="shared" si="6"/>
        <v>0</v>
      </c>
      <c r="T5">
        <f t="shared" si="7"/>
        <v>0</v>
      </c>
      <c r="U5">
        <f t="shared" si="8"/>
        <v>0</v>
      </c>
    </row>
    <row r="6" spans="1:21">
      <c r="A6" t="s">
        <v>2389</v>
      </c>
      <c r="B6" t="s">
        <v>2390</v>
      </c>
      <c r="C6" t="s">
        <v>2382</v>
      </c>
      <c r="D6">
        <v>0</v>
      </c>
      <c r="E6">
        <v>21</v>
      </c>
      <c r="F6">
        <v>3</v>
      </c>
      <c r="G6">
        <v>2</v>
      </c>
      <c r="H6">
        <v>0</v>
      </c>
      <c r="I6">
        <v>9</v>
      </c>
      <c r="J6">
        <v>6</v>
      </c>
      <c r="K6">
        <v>0</v>
      </c>
      <c r="L6" s="34">
        <v>9</v>
      </c>
      <c r="N6">
        <f t="shared" si="1"/>
        <v>0</v>
      </c>
      <c r="O6">
        <f t="shared" si="2"/>
        <v>189</v>
      </c>
      <c r="P6">
        <f t="shared" si="3"/>
        <v>27</v>
      </c>
      <c r="Q6">
        <f t="shared" si="4"/>
        <v>18</v>
      </c>
      <c r="R6">
        <f t="shared" si="5"/>
        <v>0</v>
      </c>
      <c r="S6">
        <f t="shared" si="6"/>
        <v>81</v>
      </c>
      <c r="T6">
        <f t="shared" si="7"/>
        <v>54</v>
      </c>
      <c r="U6">
        <f t="shared" si="8"/>
        <v>0</v>
      </c>
    </row>
    <row r="7" spans="1:21">
      <c r="A7" t="s">
        <v>2391</v>
      </c>
      <c r="B7" t="s">
        <v>2392</v>
      </c>
      <c r="C7" t="s">
        <v>2382</v>
      </c>
      <c r="D7">
        <v>0</v>
      </c>
      <c r="E7">
        <v>15</v>
      </c>
      <c r="F7">
        <v>2</v>
      </c>
      <c r="G7">
        <v>2</v>
      </c>
      <c r="H7">
        <v>0</v>
      </c>
      <c r="I7">
        <v>9</v>
      </c>
      <c r="J7">
        <v>0</v>
      </c>
      <c r="K7">
        <v>0</v>
      </c>
      <c r="L7" s="34">
        <v>0</v>
      </c>
      <c r="N7">
        <f t="shared" si="1"/>
        <v>0</v>
      </c>
      <c r="O7">
        <f t="shared" si="2"/>
        <v>0</v>
      </c>
      <c r="P7">
        <f t="shared" si="3"/>
        <v>0</v>
      </c>
      <c r="Q7">
        <f t="shared" si="4"/>
        <v>0</v>
      </c>
      <c r="R7">
        <f t="shared" si="5"/>
        <v>0</v>
      </c>
      <c r="S7">
        <f t="shared" si="6"/>
        <v>0</v>
      </c>
      <c r="T7">
        <f t="shared" si="7"/>
        <v>0</v>
      </c>
      <c r="U7">
        <f t="shared" si="8"/>
        <v>0</v>
      </c>
    </row>
    <row r="8" spans="1:21">
      <c r="A8" t="s">
        <v>2393</v>
      </c>
      <c r="B8" t="s">
        <v>2394</v>
      </c>
      <c r="C8" t="s">
        <v>2382</v>
      </c>
      <c r="D8">
        <v>0</v>
      </c>
      <c r="E8">
        <v>14</v>
      </c>
      <c r="F8">
        <v>3</v>
      </c>
      <c r="G8">
        <v>4</v>
      </c>
      <c r="H8">
        <v>0</v>
      </c>
      <c r="I8">
        <v>9</v>
      </c>
      <c r="J8">
        <v>0</v>
      </c>
      <c r="K8">
        <v>0</v>
      </c>
      <c r="L8" s="34">
        <v>2</v>
      </c>
      <c r="N8">
        <f t="shared" si="1"/>
        <v>0</v>
      </c>
      <c r="O8">
        <f t="shared" si="2"/>
        <v>28</v>
      </c>
      <c r="P8">
        <f t="shared" si="3"/>
        <v>6</v>
      </c>
      <c r="Q8">
        <f t="shared" si="4"/>
        <v>8</v>
      </c>
      <c r="R8">
        <f t="shared" si="5"/>
        <v>0</v>
      </c>
      <c r="S8">
        <f t="shared" si="6"/>
        <v>18</v>
      </c>
      <c r="T8">
        <f t="shared" si="7"/>
        <v>0</v>
      </c>
      <c r="U8">
        <f t="shared" si="8"/>
        <v>0</v>
      </c>
    </row>
    <row r="9" spans="1:21">
      <c r="A9" t="s">
        <v>2395</v>
      </c>
      <c r="B9" t="s">
        <v>2396</v>
      </c>
      <c r="C9" t="s">
        <v>2382</v>
      </c>
      <c r="D9">
        <v>0</v>
      </c>
      <c r="E9">
        <v>23</v>
      </c>
      <c r="F9">
        <v>3</v>
      </c>
      <c r="G9">
        <v>3</v>
      </c>
      <c r="H9">
        <v>0</v>
      </c>
      <c r="I9">
        <v>9</v>
      </c>
      <c r="J9">
        <v>0</v>
      </c>
      <c r="K9">
        <v>0</v>
      </c>
      <c r="L9">
        <v>4</v>
      </c>
      <c r="N9">
        <f t="shared" si="1"/>
        <v>0</v>
      </c>
      <c r="O9">
        <f t="shared" si="2"/>
        <v>92</v>
      </c>
      <c r="P9">
        <f t="shared" si="3"/>
        <v>12</v>
      </c>
      <c r="Q9">
        <f t="shared" si="4"/>
        <v>12</v>
      </c>
      <c r="R9">
        <f t="shared" si="5"/>
        <v>0</v>
      </c>
      <c r="S9">
        <f t="shared" si="6"/>
        <v>36</v>
      </c>
      <c r="T9">
        <f t="shared" si="7"/>
        <v>0</v>
      </c>
      <c r="U9">
        <f t="shared" si="8"/>
        <v>0</v>
      </c>
    </row>
    <row r="10" spans="1:21">
      <c r="A10" t="s">
        <v>2397</v>
      </c>
      <c r="B10" t="s">
        <v>2398</v>
      </c>
      <c r="C10" t="s">
        <v>2382</v>
      </c>
      <c r="D10">
        <v>0</v>
      </c>
      <c r="E10">
        <v>12</v>
      </c>
      <c r="F10">
        <v>2</v>
      </c>
      <c r="G10">
        <v>6</v>
      </c>
      <c r="H10">
        <v>0</v>
      </c>
      <c r="I10">
        <v>9</v>
      </c>
      <c r="J10">
        <v>0</v>
      </c>
      <c r="K10">
        <v>0</v>
      </c>
      <c r="L10">
        <v>5</v>
      </c>
      <c r="N10">
        <f t="shared" si="1"/>
        <v>0</v>
      </c>
      <c r="O10">
        <f t="shared" si="2"/>
        <v>60</v>
      </c>
      <c r="P10">
        <f t="shared" si="3"/>
        <v>10</v>
      </c>
      <c r="Q10">
        <f t="shared" si="4"/>
        <v>30</v>
      </c>
      <c r="R10">
        <f t="shared" si="5"/>
        <v>0</v>
      </c>
      <c r="S10">
        <f t="shared" si="6"/>
        <v>45</v>
      </c>
      <c r="T10">
        <f t="shared" si="7"/>
        <v>0</v>
      </c>
      <c r="U10">
        <f t="shared" si="8"/>
        <v>0</v>
      </c>
    </row>
    <row r="11" spans="1:21">
      <c r="A11" t="s">
        <v>2399</v>
      </c>
      <c r="B11" t="s">
        <v>2398</v>
      </c>
      <c r="C11" t="s">
        <v>2382</v>
      </c>
      <c r="D11">
        <v>0</v>
      </c>
      <c r="E11">
        <v>12</v>
      </c>
      <c r="F11">
        <v>2</v>
      </c>
      <c r="G11">
        <v>6</v>
      </c>
      <c r="H11">
        <v>0</v>
      </c>
      <c r="I11">
        <v>9</v>
      </c>
      <c r="J11">
        <v>0</v>
      </c>
      <c r="K11">
        <v>0</v>
      </c>
      <c r="L11" s="34">
        <f>2+8</f>
        <v>10</v>
      </c>
      <c r="N11">
        <f t="shared" si="1"/>
        <v>0</v>
      </c>
      <c r="O11">
        <f t="shared" si="2"/>
        <v>120</v>
      </c>
      <c r="P11">
        <f t="shared" si="3"/>
        <v>20</v>
      </c>
      <c r="Q11">
        <f t="shared" si="4"/>
        <v>60</v>
      </c>
      <c r="R11">
        <f t="shared" si="5"/>
        <v>0</v>
      </c>
      <c r="S11">
        <f t="shared" si="6"/>
        <v>90</v>
      </c>
      <c r="T11">
        <f t="shared" si="7"/>
        <v>0</v>
      </c>
      <c r="U11">
        <f t="shared" si="8"/>
        <v>0</v>
      </c>
    </row>
    <row r="12" spans="1:21">
      <c r="A12" t="s">
        <v>2400</v>
      </c>
      <c r="B12" t="s">
        <v>2401</v>
      </c>
      <c r="C12" t="s">
        <v>2382</v>
      </c>
      <c r="D12">
        <v>0</v>
      </c>
      <c r="E12">
        <v>14</v>
      </c>
      <c r="F12">
        <v>2</v>
      </c>
      <c r="G12">
        <v>11</v>
      </c>
      <c r="H12">
        <v>0</v>
      </c>
      <c r="I12">
        <v>9</v>
      </c>
      <c r="J12">
        <v>0</v>
      </c>
      <c r="K12">
        <v>0</v>
      </c>
      <c r="L12">
        <v>3</v>
      </c>
      <c r="N12">
        <f t="shared" si="1"/>
        <v>0</v>
      </c>
      <c r="O12">
        <f t="shared" si="2"/>
        <v>42</v>
      </c>
      <c r="P12">
        <f t="shared" si="3"/>
        <v>6</v>
      </c>
      <c r="Q12">
        <f t="shared" si="4"/>
        <v>33</v>
      </c>
      <c r="R12">
        <f t="shared" si="5"/>
        <v>0</v>
      </c>
      <c r="S12">
        <f t="shared" si="6"/>
        <v>27</v>
      </c>
      <c r="T12">
        <f t="shared" si="7"/>
        <v>0</v>
      </c>
      <c r="U12">
        <f t="shared" si="8"/>
        <v>0</v>
      </c>
    </row>
    <row r="13" spans="1:21">
      <c r="A13" t="s">
        <v>2402</v>
      </c>
      <c r="B13" t="s">
        <v>2401</v>
      </c>
      <c r="C13" t="s">
        <v>2382</v>
      </c>
      <c r="D13">
        <v>0</v>
      </c>
      <c r="E13">
        <v>14</v>
      </c>
      <c r="F13">
        <v>2</v>
      </c>
      <c r="G13">
        <v>11</v>
      </c>
      <c r="H13">
        <v>0</v>
      </c>
      <c r="I13">
        <v>9</v>
      </c>
      <c r="J13">
        <v>0</v>
      </c>
      <c r="K13">
        <v>0</v>
      </c>
      <c r="L13">
        <v>1</v>
      </c>
      <c r="N13">
        <f t="shared" si="1"/>
        <v>0</v>
      </c>
      <c r="O13">
        <f t="shared" si="2"/>
        <v>14</v>
      </c>
      <c r="P13">
        <f t="shared" si="3"/>
        <v>2</v>
      </c>
      <c r="Q13">
        <f t="shared" si="4"/>
        <v>11</v>
      </c>
      <c r="R13">
        <f t="shared" si="5"/>
        <v>0</v>
      </c>
      <c r="S13">
        <f t="shared" si="6"/>
        <v>9</v>
      </c>
      <c r="T13">
        <f t="shared" si="7"/>
        <v>0</v>
      </c>
      <c r="U13">
        <f t="shared" si="8"/>
        <v>0</v>
      </c>
    </row>
    <row r="14" spans="1:21">
      <c r="A14" t="s">
        <v>2403</v>
      </c>
      <c r="B14" t="s">
        <v>2404</v>
      </c>
      <c r="C14" t="s">
        <v>2382</v>
      </c>
      <c r="D14">
        <v>0</v>
      </c>
      <c r="E14">
        <v>13</v>
      </c>
      <c r="F14">
        <v>2</v>
      </c>
      <c r="G14">
        <v>7</v>
      </c>
      <c r="H14">
        <v>0</v>
      </c>
      <c r="I14">
        <v>6</v>
      </c>
      <c r="J14">
        <v>0</v>
      </c>
      <c r="K14">
        <v>0</v>
      </c>
      <c r="L14">
        <v>1</v>
      </c>
      <c r="N14">
        <f t="shared" si="1"/>
        <v>0</v>
      </c>
      <c r="O14">
        <f t="shared" si="2"/>
        <v>13</v>
      </c>
      <c r="P14">
        <f t="shared" si="3"/>
        <v>2</v>
      </c>
      <c r="Q14">
        <f t="shared" si="4"/>
        <v>7</v>
      </c>
      <c r="R14">
        <f t="shared" si="5"/>
        <v>0</v>
      </c>
      <c r="S14">
        <f t="shared" si="6"/>
        <v>6</v>
      </c>
      <c r="T14">
        <f t="shared" si="7"/>
        <v>0</v>
      </c>
      <c r="U14">
        <f t="shared" si="8"/>
        <v>0</v>
      </c>
    </row>
    <row r="15" spans="1:21">
      <c r="A15" s="10" t="s">
        <v>2405</v>
      </c>
      <c r="B15" t="s">
        <v>2406</v>
      </c>
      <c r="C15" t="s">
        <v>2382</v>
      </c>
      <c r="D15">
        <v>0</v>
      </c>
      <c r="E15">
        <v>2</v>
      </c>
      <c r="F15">
        <v>0</v>
      </c>
      <c r="G15">
        <v>0</v>
      </c>
      <c r="H15">
        <v>0</v>
      </c>
      <c r="I15">
        <v>0</v>
      </c>
      <c r="J15">
        <v>0</v>
      </c>
      <c r="K15">
        <v>0</v>
      </c>
      <c r="L15" s="34">
        <v>3</v>
      </c>
      <c r="N15">
        <f t="shared" si="1"/>
        <v>0</v>
      </c>
      <c r="O15">
        <f t="shared" si="2"/>
        <v>6</v>
      </c>
      <c r="P15">
        <f t="shared" si="3"/>
        <v>0</v>
      </c>
      <c r="Q15">
        <f t="shared" si="4"/>
        <v>0</v>
      </c>
      <c r="R15">
        <f t="shared" si="5"/>
        <v>0</v>
      </c>
      <c r="S15">
        <f t="shared" si="6"/>
        <v>0</v>
      </c>
      <c r="T15">
        <f t="shared" si="7"/>
        <v>0</v>
      </c>
      <c r="U15">
        <f t="shared" si="8"/>
        <v>0</v>
      </c>
    </row>
    <row r="16" spans="1:21">
      <c r="A16" t="s">
        <v>2407</v>
      </c>
      <c r="B16" t="s">
        <v>2408</v>
      </c>
      <c r="C16" t="s">
        <v>2382</v>
      </c>
      <c r="D16">
        <v>0</v>
      </c>
      <c r="E16">
        <v>2</v>
      </c>
      <c r="F16">
        <v>0</v>
      </c>
      <c r="G16">
        <v>0</v>
      </c>
      <c r="H16">
        <v>0</v>
      </c>
      <c r="I16">
        <v>0</v>
      </c>
      <c r="J16">
        <v>0</v>
      </c>
      <c r="K16">
        <v>0</v>
      </c>
      <c r="L16" s="34">
        <v>18</v>
      </c>
      <c r="N16">
        <f t="shared" si="1"/>
        <v>0</v>
      </c>
      <c r="O16">
        <f t="shared" si="2"/>
        <v>36</v>
      </c>
      <c r="P16">
        <f t="shared" si="3"/>
        <v>0</v>
      </c>
      <c r="Q16">
        <f t="shared" si="4"/>
        <v>0</v>
      </c>
      <c r="R16">
        <f t="shared" si="5"/>
        <v>0</v>
      </c>
      <c r="S16">
        <f t="shared" si="6"/>
        <v>0</v>
      </c>
      <c r="T16">
        <f t="shared" si="7"/>
        <v>0</v>
      </c>
      <c r="U16">
        <f t="shared" si="8"/>
        <v>0</v>
      </c>
    </row>
    <row r="17" spans="1:21">
      <c r="A17" s="10" t="s">
        <v>2409</v>
      </c>
      <c r="B17" t="s">
        <v>2410</v>
      </c>
      <c r="C17" t="s">
        <v>2382</v>
      </c>
      <c r="D17">
        <v>0</v>
      </c>
      <c r="E17">
        <v>10</v>
      </c>
      <c r="F17">
        <v>0</v>
      </c>
      <c r="G17">
        <v>2</v>
      </c>
      <c r="H17">
        <v>0</v>
      </c>
      <c r="I17">
        <v>0</v>
      </c>
      <c r="J17">
        <v>0</v>
      </c>
      <c r="K17">
        <v>0</v>
      </c>
      <c r="L17" s="34">
        <v>7</v>
      </c>
      <c r="N17">
        <f t="shared" si="1"/>
        <v>0</v>
      </c>
      <c r="O17">
        <f t="shared" si="2"/>
        <v>70</v>
      </c>
      <c r="P17">
        <f t="shared" si="3"/>
        <v>0</v>
      </c>
      <c r="Q17">
        <f t="shared" si="4"/>
        <v>14</v>
      </c>
      <c r="R17">
        <f t="shared" si="5"/>
        <v>0</v>
      </c>
      <c r="S17">
        <f t="shared" si="6"/>
        <v>0</v>
      </c>
      <c r="T17">
        <f t="shared" si="7"/>
        <v>0</v>
      </c>
      <c r="U17">
        <f t="shared" si="8"/>
        <v>0</v>
      </c>
    </row>
    <row r="18" spans="1:21">
      <c r="A18" t="s">
        <v>2411</v>
      </c>
      <c r="B18" t="s">
        <v>2412</v>
      </c>
      <c r="C18" t="s">
        <v>2382</v>
      </c>
      <c r="D18">
        <v>0</v>
      </c>
      <c r="E18">
        <v>10</v>
      </c>
      <c r="F18">
        <v>0</v>
      </c>
      <c r="G18">
        <v>3</v>
      </c>
      <c r="H18">
        <v>0</v>
      </c>
      <c r="I18">
        <v>0</v>
      </c>
      <c r="J18">
        <v>0</v>
      </c>
      <c r="K18">
        <v>0</v>
      </c>
      <c r="L18" s="34">
        <v>4</v>
      </c>
      <c r="N18">
        <f t="shared" si="1"/>
        <v>0</v>
      </c>
      <c r="O18">
        <f t="shared" si="2"/>
        <v>40</v>
      </c>
      <c r="P18">
        <f t="shared" si="3"/>
        <v>0</v>
      </c>
      <c r="Q18">
        <f t="shared" si="4"/>
        <v>12</v>
      </c>
      <c r="R18">
        <f t="shared" si="5"/>
        <v>0</v>
      </c>
      <c r="S18">
        <f t="shared" si="6"/>
        <v>0</v>
      </c>
      <c r="T18">
        <f t="shared" si="7"/>
        <v>0</v>
      </c>
      <c r="U18">
        <f t="shared" si="8"/>
        <v>0</v>
      </c>
    </row>
    <row r="19" spans="1:21">
      <c r="A19" s="10" t="s">
        <v>2413</v>
      </c>
      <c r="B19" t="s">
        <v>2412</v>
      </c>
      <c r="C19" t="s">
        <v>2382</v>
      </c>
      <c r="D19">
        <v>0</v>
      </c>
      <c r="E19">
        <v>10</v>
      </c>
      <c r="F19">
        <v>0</v>
      </c>
      <c r="G19">
        <v>3</v>
      </c>
      <c r="H19">
        <v>0</v>
      </c>
      <c r="I19">
        <v>0</v>
      </c>
      <c r="J19">
        <v>0</v>
      </c>
      <c r="K19">
        <v>0</v>
      </c>
      <c r="L19">
        <v>4</v>
      </c>
      <c r="N19">
        <f t="shared" ref="N19:U19" si="9">$L19*D19</f>
        <v>0</v>
      </c>
      <c r="O19">
        <f t="shared" si="9"/>
        <v>40</v>
      </c>
      <c r="P19">
        <f t="shared" si="9"/>
        <v>0</v>
      </c>
      <c r="Q19">
        <f t="shared" si="9"/>
        <v>12</v>
      </c>
      <c r="R19">
        <f t="shared" si="9"/>
        <v>0</v>
      </c>
      <c r="S19">
        <f t="shared" si="9"/>
        <v>0</v>
      </c>
      <c r="T19">
        <f t="shared" si="9"/>
        <v>0</v>
      </c>
      <c r="U19">
        <f t="shared" si="9"/>
        <v>0</v>
      </c>
    </row>
    <row r="20" spans="1:21">
      <c r="A20" t="s">
        <v>2414</v>
      </c>
      <c r="B20" t="s">
        <v>2415</v>
      </c>
      <c r="C20" t="s">
        <v>2382</v>
      </c>
      <c r="D20">
        <v>0</v>
      </c>
      <c r="E20">
        <v>9</v>
      </c>
      <c r="F20">
        <v>0</v>
      </c>
      <c r="G20">
        <v>2</v>
      </c>
      <c r="H20">
        <v>0</v>
      </c>
      <c r="I20">
        <v>0</v>
      </c>
      <c r="J20">
        <v>0</v>
      </c>
      <c r="K20">
        <v>0</v>
      </c>
      <c r="L20" s="34">
        <v>0</v>
      </c>
      <c r="N20">
        <f t="shared" si="1"/>
        <v>0</v>
      </c>
      <c r="O20">
        <f t="shared" si="2"/>
        <v>0</v>
      </c>
      <c r="P20">
        <f t="shared" si="3"/>
        <v>0</v>
      </c>
      <c r="Q20">
        <f t="shared" si="4"/>
        <v>0</v>
      </c>
      <c r="R20">
        <f t="shared" si="5"/>
        <v>0</v>
      </c>
      <c r="S20">
        <f t="shared" si="6"/>
        <v>0</v>
      </c>
      <c r="T20">
        <f t="shared" si="7"/>
        <v>0</v>
      </c>
      <c r="U20">
        <f t="shared" si="8"/>
        <v>0</v>
      </c>
    </row>
    <row r="21" spans="1:21">
      <c r="A21" t="s">
        <v>2416</v>
      </c>
      <c r="B21" t="s">
        <v>2417</v>
      </c>
      <c r="C21" t="s">
        <v>2382</v>
      </c>
      <c r="D21">
        <v>0</v>
      </c>
      <c r="E21">
        <v>19</v>
      </c>
      <c r="F21">
        <v>0</v>
      </c>
      <c r="G21">
        <v>6</v>
      </c>
      <c r="H21">
        <v>0</v>
      </c>
      <c r="I21">
        <v>5</v>
      </c>
      <c r="J21">
        <v>0</v>
      </c>
      <c r="K21">
        <v>0</v>
      </c>
      <c r="L21">
        <v>11</v>
      </c>
      <c r="N21">
        <f t="shared" si="1"/>
        <v>0</v>
      </c>
      <c r="O21">
        <f t="shared" si="2"/>
        <v>209</v>
      </c>
      <c r="P21">
        <f t="shared" si="3"/>
        <v>0</v>
      </c>
      <c r="Q21">
        <f t="shared" si="4"/>
        <v>66</v>
      </c>
      <c r="R21">
        <f t="shared" si="5"/>
        <v>0</v>
      </c>
      <c r="S21">
        <f t="shared" si="6"/>
        <v>55</v>
      </c>
      <c r="T21">
        <f t="shared" si="7"/>
        <v>0</v>
      </c>
      <c r="U21">
        <f t="shared" si="8"/>
        <v>0</v>
      </c>
    </row>
    <row r="22" spans="1:21">
      <c r="A22" t="s">
        <v>2418</v>
      </c>
      <c r="B22" t="s">
        <v>2419</v>
      </c>
      <c r="C22" t="s">
        <v>2382</v>
      </c>
      <c r="D22">
        <v>0</v>
      </c>
      <c r="E22">
        <v>12</v>
      </c>
      <c r="F22">
        <v>0</v>
      </c>
      <c r="G22">
        <v>5</v>
      </c>
      <c r="H22">
        <v>0</v>
      </c>
      <c r="I22">
        <v>4</v>
      </c>
      <c r="J22">
        <v>0</v>
      </c>
      <c r="K22">
        <v>0</v>
      </c>
      <c r="L22">
        <v>1</v>
      </c>
      <c r="N22">
        <f t="shared" si="1"/>
        <v>0</v>
      </c>
      <c r="O22">
        <f t="shared" si="2"/>
        <v>12</v>
      </c>
      <c r="P22">
        <f t="shared" si="3"/>
        <v>0</v>
      </c>
      <c r="Q22">
        <f t="shared" si="4"/>
        <v>5</v>
      </c>
      <c r="R22">
        <f t="shared" si="5"/>
        <v>0</v>
      </c>
      <c r="S22">
        <f t="shared" si="6"/>
        <v>4</v>
      </c>
      <c r="T22">
        <f t="shared" si="7"/>
        <v>0</v>
      </c>
      <c r="U22">
        <f t="shared" si="8"/>
        <v>0</v>
      </c>
    </row>
    <row r="23" spans="1:21">
      <c r="A23" t="s">
        <v>2420</v>
      </c>
      <c r="B23" t="s">
        <v>2421</v>
      </c>
      <c r="C23" t="s">
        <v>2382</v>
      </c>
      <c r="D23">
        <v>0</v>
      </c>
      <c r="E23">
        <v>0</v>
      </c>
      <c r="F23">
        <v>0</v>
      </c>
      <c r="G23">
        <v>1</v>
      </c>
      <c r="H23">
        <v>0</v>
      </c>
      <c r="I23">
        <v>0</v>
      </c>
      <c r="J23">
        <v>0</v>
      </c>
      <c r="K23">
        <v>0</v>
      </c>
      <c r="L23" s="34">
        <f>41+2+3</f>
        <v>46</v>
      </c>
      <c r="N23">
        <f t="shared" si="1"/>
        <v>0</v>
      </c>
      <c r="O23">
        <f t="shared" si="2"/>
        <v>0</v>
      </c>
      <c r="P23">
        <f t="shared" si="3"/>
        <v>0</v>
      </c>
      <c r="Q23">
        <f t="shared" si="4"/>
        <v>46</v>
      </c>
      <c r="R23">
        <f t="shared" si="5"/>
        <v>0</v>
      </c>
      <c r="S23">
        <f t="shared" si="6"/>
        <v>0</v>
      </c>
      <c r="T23">
        <f t="shared" si="7"/>
        <v>0</v>
      </c>
      <c r="U23">
        <f t="shared" si="8"/>
        <v>0</v>
      </c>
    </row>
    <row r="24" spans="1:21">
      <c r="A24" t="s">
        <v>2422</v>
      </c>
      <c r="B24" t="s">
        <v>2423</v>
      </c>
      <c r="C24" t="s">
        <v>2382</v>
      </c>
      <c r="D24">
        <v>0</v>
      </c>
      <c r="E24">
        <v>0</v>
      </c>
      <c r="F24">
        <v>0</v>
      </c>
      <c r="G24">
        <v>1</v>
      </c>
      <c r="H24">
        <v>0</v>
      </c>
      <c r="I24">
        <v>0</v>
      </c>
      <c r="J24">
        <v>0</v>
      </c>
      <c r="K24">
        <v>0</v>
      </c>
      <c r="L24" s="34">
        <v>8</v>
      </c>
      <c r="N24">
        <f t="shared" si="1"/>
        <v>0</v>
      </c>
      <c r="O24">
        <f t="shared" si="2"/>
        <v>0</v>
      </c>
      <c r="P24">
        <f t="shared" si="3"/>
        <v>0</v>
      </c>
      <c r="Q24">
        <f t="shared" si="4"/>
        <v>8</v>
      </c>
      <c r="R24">
        <f t="shared" si="5"/>
        <v>0</v>
      </c>
      <c r="S24">
        <f t="shared" si="6"/>
        <v>0</v>
      </c>
      <c r="T24">
        <f t="shared" si="7"/>
        <v>0</v>
      </c>
      <c r="U24">
        <f t="shared" si="8"/>
        <v>0</v>
      </c>
    </row>
    <row r="25" spans="1:21">
      <c r="A25" t="s">
        <v>2424</v>
      </c>
      <c r="B25" t="s">
        <v>2425</v>
      </c>
      <c r="C25" t="s">
        <v>2382</v>
      </c>
      <c r="D25">
        <v>3</v>
      </c>
      <c r="E25">
        <v>0</v>
      </c>
      <c r="F25">
        <v>0</v>
      </c>
      <c r="G25">
        <v>0</v>
      </c>
      <c r="H25">
        <v>1</v>
      </c>
      <c r="I25">
        <v>1</v>
      </c>
      <c r="J25">
        <v>0</v>
      </c>
      <c r="K25">
        <v>0</v>
      </c>
      <c r="L25">
        <v>1</v>
      </c>
      <c r="N25">
        <f t="shared" si="1"/>
        <v>3</v>
      </c>
      <c r="O25">
        <f t="shared" si="2"/>
        <v>0</v>
      </c>
      <c r="P25">
        <f t="shared" si="3"/>
        <v>0</v>
      </c>
      <c r="Q25">
        <f t="shared" si="4"/>
        <v>0</v>
      </c>
      <c r="R25">
        <f t="shared" si="5"/>
        <v>1</v>
      </c>
      <c r="S25">
        <f t="shared" si="6"/>
        <v>1</v>
      </c>
      <c r="T25">
        <f t="shared" si="7"/>
        <v>0</v>
      </c>
      <c r="U25">
        <f t="shared" si="8"/>
        <v>0</v>
      </c>
    </row>
    <row r="26" spans="1:21">
      <c r="N26">
        <f t="shared" ref="N26:U26" si="10">SUM(N2:N25)</f>
        <v>3</v>
      </c>
      <c r="O26">
        <f t="shared" si="10"/>
        <v>1054</v>
      </c>
      <c r="P26">
        <f t="shared" si="10"/>
        <v>102</v>
      </c>
      <c r="Q26">
        <f t="shared" si="10"/>
        <v>387</v>
      </c>
      <c r="R26">
        <f t="shared" si="10"/>
        <v>8</v>
      </c>
      <c r="S26">
        <f t="shared" si="10"/>
        <v>395</v>
      </c>
      <c r="T26">
        <f t="shared" si="10"/>
        <v>58</v>
      </c>
      <c r="U26">
        <f t="shared" si="10"/>
        <v>0</v>
      </c>
    </row>
    <row r="27" spans="1:21">
      <c r="M27" s="10" t="s">
        <v>2426</v>
      </c>
      <c r="N27">
        <f>ROUNDUP(1.3*N26,0)</f>
        <v>4</v>
      </c>
      <c r="O27">
        <f t="shared" ref="O27:U27" si="11">ROUNDUP(1.3*O26,0)</f>
        <v>1371</v>
      </c>
      <c r="P27">
        <f t="shared" si="11"/>
        <v>133</v>
      </c>
      <c r="Q27">
        <f t="shared" si="11"/>
        <v>504</v>
      </c>
      <c r="R27">
        <f t="shared" si="11"/>
        <v>11</v>
      </c>
      <c r="S27">
        <f t="shared" si="11"/>
        <v>514</v>
      </c>
      <c r="T27">
        <f t="shared" si="11"/>
        <v>76</v>
      </c>
      <c r="U27">
        <f t="shared" si="11"/>
        <v>0</v>
      </c>
    </row>
    <row r="29" spans="1:21">
      <c r="M29" s="10" t="s">
        <v>2427</v>
      </c>
      <c r="N29">
        <f t="shared" ref="N29:U29" si="12">SUM(N47,N54,N62,N88)</f>
        <v>4</v>
      </c>
      <c r="O29">
        <f t="shared" si="12"/>
        <v>1371</v>
      </c>
      <c r="P29">
        <f t="shared" si="12"/>
        <v>133</v>
      </c>
      <c r="Q29">
        <f t="shared" si="12"/>
        <v>504</v>
      </c>
      <c r="R29">
        <f t="shared" si="12"/>
        <v>11</v>
      </c>
      <c r="S29">
        <f t="shared" si="12"/>
        <v>514</v>
      </c>
      <c r="T29">
        <f t="shared" si="12"/>
        <v>76</v>
      </c>
      <c r="U29">
        <f t="shared" si="12"/>
        <v>0</v>
      </c>
    </row>
    <row r="30" spans="1:21">
      <c r="M30" s="10" t="s">
        <v>2428</v>
      </c>
      <c r="N30" s="20">
        <f>N27-N29</f>
        <v>0</v>
      </c>
      <c r="O30" s="20">
        <f t="shared" ref="O30:U30" si="13">O27-O29</f>
        <v>0</v>
      </c>
      <c r="P30" s="20">
        <f t="shared" si="13"/>
        <v>0</v>
      </c>
      <c r="Q30" s="20">
        <f t="shared" si="13"/>
        <v>0</v>
      </c>
      <c r="R30" s="20">
        <f t="shared" si="13"/>
        <v>0</v>
      </c>
      <c r="S30" s="20">
        <f t="shared" si="13"/>
        <v>0</v>
      </c>
      <c r="T30" s="20">
        <f t="shared" si="13"/>
        <v>0</v>
      </c>
      <c r="U30" s="20">
        <f t="shared" si="13"/>
        <v>0</v>
      </c>
    </row>
    <row r="36" spans="1:21">
      <c r="N36" t="s">
        <v>2371</v>
      </c>
      <c r="O36" t="s">
        <v>2372</v>
      </c>
      <c r="P36" t="s">
        <v>2373</v>
      </c>
      <c r="Q36" t="s">
        <v>2374</v>
      </c>
      <c r="R36" t="s">
        <v>2375</v>
      </c>
      <c r="S36" t="s">
        <v>2376</v>
      </c>
      <c r="T36" t="s">
        <v>2377</v>
      </c>
      <c r="U36" t="s">
        <v>2378</v>
      </c>
    </row>
    <row r="37" spans="1:21">
      <c r="N37">
        <v>10</v>
      </c>
      <c r="O37">
        <v>1400</v>
      </c>
      <c r="P37">
        <v>150</v>
      </c>
      <c r="Q37">
        <v>600</v>
      </c>
      <c r="R37">
        <v>20</v>
      </c>
      <c r="S37">
        <v>520</v>
      </c>
      <c r="T37">
        <v>100</v>
      </c>
      <c r="U37">
        <v>10</v>
      </c>
    </row>
    <row r="38" spans="1:21">
      <c r="N38">
        <f t="shared" ref="N38:U38" si="14">SUM(N48,N55,N63,N89)</f>
        <v>10</v>
      </c>
      <c r="O38">
        <f t="shared" si="14"/>
        <v>1400</v>
      </c>
      <c r="P38">
        <f t="shared" si="14"/>
        <v>150</v>
      </c>
      <c r="Q38">
        <f t="shared" si="14"/>
        <v>600</v>
      </c>
      <c r="R38">
        <f t="shared" si="14"/>
        <v>20</v>
      </c>
      <c r="S38">
        <f t="shared" si="14"/>
        <v>520</v>
      </c>
      <c r="T38">
        <f t="shared" si="14"/>
        <v>100</v>
      </c>
      <c r="U38">
        <f t="shared" si="14"/>
        <v>0</v>
      </c>
    </row>
    <row r="39" spans="1:21">
      <c r="N39">
        <f>N37-N38</f>
        <v>0</v>
      </c>
      <c r="O39">
        <f t="shared" ref="O39:U39" si="15">O37-O38</f>
        <v>0</v>
      </c>
      <c r="P39">
        <f t="shared" si="15"/>
        <v>0</v>
      </c>
      <c r="Q39">
        <f t="shared" si="15"/>
        <v>0</v>
      </c>
      <c r="R39">
        <f t="shared" si="15"/>
        <v>0</v>
      </c>
      <c r="S39">
        <f t="shared" si="15"/>
        <v>0</v>
      </c>
      <c r="T39">
        <f t="shared" si="15"/>
        <v>0</v>
      </c>
      <c r="U39">
        <f t="shared" si="15"/>
        <v>10</v>
      </c>
    </row>
    <row r="42" spans="1:21">
      <c r="A42" s="10" t="s">
        <v>2429</v>
      </c>
      <c r="B42" s="10"/>
      <c r="N42" s="10" t="s">
        <v>2430</v>
      </c>
    </row>
    <row r="43" spans="1:21">
      <c r="A43" t="s">
        <v>2369</v>
      </c>
      <c r="B43" t="s">
        <v>2370</v>
      </c>
      <c r="C43" t="s">
        <v>1547</v>
      </c>
      <c r="D43" t="s">
        <v>2371</v>
      </c>
      <c r="E43" t="s">
        <v>2372</v>
      </c>
      <c r="F43" t="s">
        <v>2373</v>
      </c>
      <c r="G43" t="s">
        <v>2374</v>
      </c>
      <c r="H43" t="s">
        <v>2375</v>
      </c>
      <c r="I43" t="s">
        <v>2376</v>
      </c>
      <c r="J43" t="s">
        <v>2377</v>
      </c>
      <c r="K43" t="s">
        <v>2378</v>
      </c>
      <c r="L43" s="10" t="s">
        <v>2379</v>
      </c>
      <c r="N43" t="s">
        <v>2371</v>
      </c>
      <c r="O43" t="s">
        <v>2372</v>
      </c>
      <c r="P43" t="s">
        <v>2373</v>
      </c>
      <c r="Q43" t="s">
        <v>2374</v>
      </c>
      <c r="R43" t="s">
        <v>2375</v>
      </c>
      <c r="S43" t="s">
        <v>2376</v>
      </c>
      <c r="T43" t="s">
        <v>2377</v>
      </c>
      <c r="U43" t="s">
        <v>2378</v>
      </c>
    </row>
    <row r="44" spans="1:21">
      <c r="A44" s="10" t="s">
        <v>2431</v>
      </c>
      <c r="B44" t="s">
        <v>2398</v>
      </c>
      <c r="C44" t="s">
        <v>2382</v>
      </c>
      <c r="D44">
        <v>0</v>
      </c>
      <c r="E44">
        <v>12</v>
      </c>
      <c r="F44">
        <v>2</v>
      </c>
      <c r="G44">
        <v>6</v>
      </c>
      <c r="H44">
        <v>0</v>
      </c>
      <c r="I44">
        <v>9</v>
      </c>
      <c r="J44">
        <v>0</v>
      </c>
      <c r="K44">
        <v>0</v>
      </c>
      <c r="L44" s="34">
        <v>1</v>
      </c>
      <c r="N44">
        <f t="shared" ref="N44" si="16">$L44*D44</f>
        <v>0</v>
      </c>
      <c r="O44">
        <f t="shared" ref="O44" si="17">$L44*E44</f>
        <v>12</v>
      </c>
      <c r="P44">
        <f t="shared" ref="P44" si="18">$L44*F44</f>
        <v>2</v>
      </c>
      <c r="Q44">
        <f t="shared" ref="Q44" si="19">$L44*G44</f>
        <v>6</v>
      </c>
      <c r="R44">
        <f t="shared" ref="R44" si="20">$L44*H44</f>
        <v>0</v>
      </c>
      <c r="S44">
        <f t="shared" ref="S44" si="21">$L44*I44</f>
        <v>9</v>
      </c>
      <c r="T44">
        <f t="shared" ref="T44" si="22">$L44*J44</f>
        <v>0</v>
      </c>
      <c r="U44">
        <f t="shared" ref="U44" si="23">$L44*K44</f>
        <v>0</v>
      </c>
    </row>
    <row r="45" spans="1:21">
      <c r="A45" t="s">
        <v>2420</v>
      </c>
      <c r="B45" t="s">
        <v>2421</v>
      </c>
      <c r="C45" t="s">
        <v>2382</v>
      </c>
      <c r="D45">
        <v>0</v>
      </c>
      <c r="E45">
        <v>0</v>
      </c>
      <c r="F45">
        <v>0</v>
      </c>
      <c r="G45">
        <v>1</v>
      </c>
      <c r="H45">
        <v>0</v>
      </c>
      <c r="I45">
        <v>0</v>
      </c>
      <c r="J45">
        <v>0</v>
      </c>
      <c r="K45">
        <v>0</v>
      </c>
      <c r="L45">
        <v>5</v>
      </c>
      <c r="N45">
        <f t="shared" ref="N45:N46" si="24">$L45*D45</f>
        <v>0</v>
      </c>
      <c r="O45">
        <f t="shared" ref="O45:O46" si="25">$L45*E45</f>
        <v>0</v>
      </c>
      <c r="P45">
        <f t="shared" ref="P45:P46" si="26">$L45*F45</f>
        <v>0</v>
      </c>
      <c r="Q45">
        <f t="shared" ref="Q45:Q46" si="27">$L45*G45</f>
        <v>5</v>
      </c>
      <c r="R45">
        <f t="shared" ref="R45:R46" si="28">$L45*H45</f>
        <v>0</v>
      </c>
      <c r="S45">
        <f t="shared" ref="S45:S46" si="29">$L45*I45</f>
        <v>0</v>
      </c>
      <c r="T45">
        <f t="shared" ref="T45:T46" si="30">$L45*J45</f>
        <v>0</v>
      </c>
      <c r="U45">
        <f t="shared" ref="U45:U46" si="31">$L45*K45</f>
        <v>0</v>
      </c>
    </row>
    <row r="46" spans="1:21">
      <c r="A46" t="s">
        <v>2416</v>
      </c>
      <c r="B46" t="s">
        <v>2417</v>
      </c>
      <c r="C46" t="s">
        <v>2382</v>
      </c>
      <c r="D46">
        <v>0</v>
      </c>
      <c r="E46">
        <v>19</v>
      </c>
      <c r="F46">
        <v>0</v>
      </c>
      <c r="G46">
        <v>6</v>
      </c>
      <c r="H46">
        <v>0</v>
      </c>
      <c r="I46">
        <v>5</v>
      </c>
      <c r="J46">
        <v>0</v>
      </c>
      <c r="K46">
        <v>0</v>
      </c>
      <c r="L46">
        <v>2</v>
      </c>
      <c r="N46">
        <f t="shared" si="24"/>
        <v>0</v>
      </c>
      <c r="O46">
        <f t="shared" si="25"/>
        <v>38</v>
      </c>
      <c r="P46">
        <f t="shared" si="26"/>
        <v>0</v>
      </c>
      <c r="Q46">
        <f t="shared" si="27"/>
        <v>12</v>
      </c>
      <c r="R46">
        <f t="shared" si="28"/>
        <v>0</v>
      </c>
      <c r="S46">
        <f t="shared" si="29"/>
        <v>10</v>
      </c>
      <c r="T46">
        <f t="shared" si="30"/>
        <v>0</v>
      </c>
      <c r="U46">
        <f t="shared" si="31"/>
        <v>0</v>
      </c>
    </row>
    <row r="47" spans="1:21">
      <c r="N47" s="20">
        <f>SUM(N44:N46)</f>
        <v>0</v>
      </c>
      <c r="O47" s="20">
        <f>SUM(O44:O46)+66</f>
        <v>116</v>
      </c>
      <c r="P47" s="20">
        <f>SUM(P44:P46)+7</f>
        <v>9</v>
      </c>
      <c r="Q47" s="20">
        <f>SUM(Q44:Q46)+30</f>
        <v>53</v>
      </c>
      <c r="R47" s="20">
        <f t="shared" ref="R47:U47" si="32">SUM(R44:R46)</f>
        <v>0</v>
      </c>
      <c r="S47" s="20">
        <f>SUM(S44:S46)+20</f>
        <v>39</v>
      </c>
      <c r="T47" s="20">
        <f t="shared" si="32"/>
        <v>0</v>
      </c>
      <c r="U47" s="20">
        <f t="shared" si="32"/>
        <v>0</v>
      </c>
    </row>
    <row r="48" spans="1:21">
      <c r="N48" s="107">
        <v>0</v>
      </c>
      <c r="O48" s="107">
        <v>120</v>
      </c>
      <c r="P48" s="107">
        <v>10</v>
      </c>
      <c r="Q48" s="107">
        <v>90</v>
      </c>
      <c r="R48" s="107">
        <v>0</v>
      </c>
      <c r="S48" s="107">
        <v>40</v>
      </c>
      <c r="T48" s="107">
        <v>0</v>
      </c>
      <c r="U48" s="107">
        <v>0</v>
      </c>
    </row>
    <row r="49" spans="1:21">
      <c r="A49" s="10" t="s">
        <v>2432</v>
      </c>
      <c r="N49" s="107"/>
      <c r="O49" s="107"/>
      <c r="P49" s="107"/>
      <c r="Q49" s="107"/>
      <c r="R49" s="107"/>
      <c r="S49" s="107"/>
      <c r="T49" s="107"/>
      <c r="U49" s="107"/>
    </row>
    <row r="50" spans="1:21">
      <c r="A50" t="s">
        <v>2369</v>
      </c>
      <c r="B50" t="s">
        <v>2370</v>
      </c>
      <c r="C50" t="s">
        <v>1547</v>
      </c>
      <c r="D50" t="s">
        <v>2371</v>
      </c>
      <c r="E50" t="s">
        <v>2372</v>
      </c>
      <c r="F50" t="s">
        <v>2373</v>
      </c>
      <c r="G50" t="s">
        <v>2374</v>
      </c>
      <c r="H50" t="s">
        <v>2375</v>
      </c>
      <c r="I50" t="s">
        <v>2376</v>
      </c>
      <c r="J50" t="s">
        <v>2377</v>
      </c>
      <c r="K50" t="s">
        <v>2378</v>
      </c>
      <c r="L50" s="10" t="s">
        <v>2379</v>
      </c>
      <c r="N50" t="s">
        <v>2371</v>
      </c>
      <c r="O50" t="s">
        <v>2372</v>
      </c>
      <c r="P50" t="s">
        <v>2373</v>
      </c>
      <c r="Q50" t="s">
        <v>2374</v>
      </c>
      <c r="R50" t="s">
        <v>2375</v>
      </c>
      <c r="S50" t="s">
        <v>2376</v>
      </c>
      <c r="T50" t="s">
        <v>2377</v>
      </c>
      <c r="U50" t="s">
        <v>2378</v>
      </c>
    </row>
    <row r="51" spans="1:21">
      <c r="A51" s="10" t="s">
        <v>2431</v>
      </c>
      <c r="B51" t="s">
        <v>2398</v>
      </c>
      <c r="C51" t="s">
        <v>2382</v>
      </c>
      <c r="D51">
        <v>0</v>
      </c>
      <c r="E51">
        <v>12</v>
      </c>
      <c r="F51">
        <v>2</v>
      </c>
      <c r="G51">
        <v>6</v>
      </c>
      <c r="H51">
        <v>0</v>
      </c>
      <c r="I51">
        <v>9</v>
      </c>
      <c r="J51">
        <v>0</v>
      </c>
      <c r="K51">
        <v>0</v>
      </c>
      <c r="L51" s="34">
        <v>1</v>
      </c>
      <c r="N51">
        <f t="shared" ref="N51" si="33">$L51*D51</f>
        <v>0</v>
      </c>
      <c r="O51">
        <f t="shared" ref="O51" si="34">$L51*E51</f>
        <v>12</v>
      </c>
      <c r="P51">
        <f t="shared" ref="P51" si="35">$L51*F51</f>
        <v>2</v>
      </c>
      <c r="Q51">
        <f t="shared" ref="Q51" si="36">$L51*G51</f>
        <v>6</v>
      </c>
      <c r="R51">
        <f t="shared" ref="R51" si="37">$L51*H51</f>
        <v>0</v>
      </c>
      <c r="S51">
        <f t="shared" ref="S51" si="38">$L51*I51</f>
        <v>9</v>
      </c>
      <c r="T51">
        <f t="shared" ref="T51" si="39">$L51*J51</f>
        <v>0</v>
      </c>
      <c r="U51">
        <f t="shared" ref="U51" si="40">$L51*K51</f>
        <v>0</v>
      </c>
    </row>
    <row r="52" spans="1:21">
      <c r="A52" t="s">
        <v>2420</v>
      </c>
      <c r="B52" t="s">
        <v>2421</v>
      </c>
      <c r="C52" t="s">
        <v>2382</v>
      </c>
      <c r="D52">
        <v>0</v>
      </c>
      <c r="E52">
        <v>0</v>
      </c>
      <c r="F52">
        <v>0</v>
      </c>
      <c r="G52">
        <v>1</v>
      </c>
      <c r="H52">
        <v>0</v>
      </c>
      <c r="I52">
        <v>0</v>
      </c>
      <c r="J52">
        <v>0</v>
      </c>
      <c r="K52">
        <v>0</v>
      </c>
      <c r="L52">
        <v>5</v>
      </c>
      <c r="N52">
        <f t="shared" ref="N52:N53" si="41">$L52*D52</f>
        <v>0</v>
      </c>
      <c r="O52">
        <f t="shared" ref="O52:O53" si="42">$L52*E52</f>
        <v>0</v>
      </c>
      <c r="P52">
        <f t="shared" ref="P52:P53" si="43">$L52*F52</f>
        <v>0</v>
      </c>
      <c r="Q52">
        <f t="shared" ref="Q52:Q53" si="44">$L52*G52</f>
        <v>5</v>
      </c>
      <c r="R52">
        <f t="shared" ref="R52:R53" si="45">$L52*H52</f>
        <v>0</v>
      </c>
      <c r="S52">
        <f t="shared" ref="S52:S53" si="46">$L52*I52</f>
        <v>0</v>
      </c>
      <c r="T52">
        <f t="shared" ref="T52:T53" si="47">$L52*J52</f>
        <v>0</v>
      </c>
      <c r="U52">
        <f t="shared" ref="U52:U53" si="48">$L52*K52</f>
        <v>0</v>
      </c>
    </row>
    <row r="53" spans="1:21">
      <c r="A53" t="s">
        <v>2416</v>
      </c>
      <c r="B53" t="s">
        <v>2417</v>
      </c>
      <c r="C53" t="s">
        <v>2382</v>
      </c>
      <c r="D53">
        <v>0</v>
      </c>
      <c r="E53">
        <v>19</v>
      </c>
      <c r="F53">
        <v>0</v>
      </c>
      <c r="G53">
        <v>6</v>
      </c>
      <c r="H53">
        <v>0</v>
      </c>
      <c r="I53">
        <v>5</v>
      </c>
      <c r="J53">
        <v>0</v>
      </c>
      <c r="K53">
        <v>0</v>
      </c>
      <c r="L53">
        <v>2</v>
      </c>
      <c r="N53">
        <f t="shared" si="41"/>
        <v>0</v>
      </c>
      <c r="O53">
        <f t="shared" si="42"/>
        <v>38</v>
      </c>
      <c r="P53">
        <f t="shared" si="43"/>
        <v>0</v>
      </c>
      <c r="Q53">
        <f t="shared" si="44"/>
        <v>12</v>
      </c>
      <c r="R53">
        <f t="shared" si="45"/>
        <v>0</v>
      </c>
      <c r="S53">
        <f t="shared" si="46"/>
        <v>10</v>
      </c>
      <c r="T53">
        <f t="shared" si="47"/>
        <v>0</v>
      </c>
      <c r="U53">
        <f t="shared" si="48"/>
        <v>0</v>
      </c>
    </row>
    <row r="54" spans="1:21">
      <c r="N54" s="20">
        <f>SUM(N51:N53)</f>
        <v>0</v>
      </c>
      <c r="O54" s="20">
        <f>SUM(O51:O53)+66</f>
        <v>116</v>
      </c>
      <c r="P54" s="20">
        <f>SUM(P51:P53)+4</f>
        <v>6</v>
      </c>
      <c r="Q54" s="20">
        <f>SUM(Q51:Q53)+30</f>
        <v>53</v>
      </c>
      <c r="R54" s="20">
        <f t="shared" ref="R54" si="49">SUM(R51:R53)</f>
        <v>0</v>
      </c>
      <c r="S54" s="20">
        <f>SUM(S51:S53)+20</f>
        <v>39</v>
      </c>
      <c r="T54" s="20">
        <f t="shared" ref="T54" si="50">SUM(T51:T53)</f>
        <v>0</v>
      </c>
      <c r="U54" s="20">
        <f t="shared" ref="U54" si="51">SUM(U51:U53)</f>
        <v>0</v>
      </c>
    </row>
    <row r="55" spans="1:21">
      <c r="N55" s="107">
        <v>0</v>
      </c>
      <c r="O55" s="107">
        <v>120</v>
      </c>
      <c r="P55" s="107">
        <v>10</v>
      </c>
      <c r="Q55" s="107">
        <v>90</v>
      </c>
      <c r="R55" s="107">
        <v>0</v>
      </c>
      <c r="S55" s="107">
        <v>40</v>
      </c>
      <c r="T55" s="107">
        <v>0</v>
      </c>
      <c r="U55" s="107">
        <v>0</v>
      </c>
    </row>
    <row r="56" spans="1:21">
      <c r="A56" s="10" t="s">
        <v>2433</v>
      </c>
      <c r="N56" s="107"/>
      <c r="O56" s="107"/>
      <c r="P56" s="107"/>
      <c r="Q56" s="107"/>
      <c r="R56" s="107"/>
      <c r="S56" s="107"/>
      <c r="T56" s="107"/>
      <c r="U56" s="107"/>
    </row>
    <row r="57" spans="1:21">
      <c r="A57" t="s">
        <v>2369</v>
      </c>
      <c r="B57" t="s">
        <v>2370</v>
      </c>
      <c r="C57" t="s">
        <v>1547</v>
      </c>
      <c r="D57" t="s">
        <v>2371</v>
      </c>
      <c r="E57" t="s">
        <v>2372</v>
      </c>
      <c r="F57" t="s">
        <v>2373</v>
      </c>
      <c r="G57" t="s">
        <v>2374</v>
      </c>
      <c r="H57" t="s">
        <v>2375</v>
      </c>
      <c r="I57" t="s">
        <v>2376</v>
      </c>
      <c r="J57" t="s">
        <v>2377</v>
      </c>
      <c r="K57" t="s">
        <v>2378</v>
      </c>
      <c r="L57" s="10" t="s">
        <v>2379</v>
      </c>
      <c r="N57" t="s">
        <v>2371</v>
      </c>
      <c r="O57" t="s">
        <v>2372</v>
      </c>
      <c r="P57" t="s">
        <v>2373</v>
      </c>
      <c r="Q57" t="s">
        <v>2374</v>
      </c>
      <c r="R57" t="s">
        <v>2375</v>
      </c>
      <c r="S57" t="s">
        <v>2376</v>
      </c>
      <c r="T57" t="s">
        <v>2377</v>
      </c>
      <c r="U57" t="s">
        <v>2378</v>
      </c>
    </row>
    <row r="58" spans="1:21">
      <c r="A58" s="10" t="s">
        <v>2431</v>
      </c>
      <c r="B58" t="s">
        <v>2398</v>
      </c>
      <c r="C58" t="s">
        <v>2382</v>
      </c>
      <c r="D58">
        <v>0</v>
      </c>
      <c r="E58">
        <v>12</v>
      </c>
      <c r="F58">
        <v>2</v>
      </c>
      <c r="G58">
        <v>6</v>
      </c>
      <c r="H58">
        <v>0</v>
      </c>
      <c r="I58">
        <v>9</v>
      </c>
      <c r="J58">
        <v>0</v>
      </c>
      <c r="K58">
        <v>0</v>
      </c>
      <c r="L58" s="34">
        <v>5</v>
      </c>
      <c r="N58">
        <f t="shared" ref="N58:N61" si="52">$L58*D58</f>
        <v>0</v>
      </c>
      <c r="O58">
        <f t="shared" ref="O58:O61" si="53">$L58*E58</f>
        <v>60</v>
      </c>
      <c r="P58">
        <f t="shared" ref="P58:P61" si="54">$L58*F58</f>
        <v>10</v>
      </c>
      <c r="Q58">
        <f t="shared" ref="Q58:Q61" si="55">$L58*G58</f>
        <v>30</v>
      </c>
      <c r="R58">
        <f t="shared" ref="R58:R61" si="56">$L58*H58</f>
        <v>0</v>
      </c>
      <c r="S58">
        <f t="shared" ref="S58:S61" si="57">$L58*I58</f>
        <v>45</v>
      </c>
      <c r="T58">
        <f t="shared" ref="T58:T61" si="58">$L58*J58</f>
        <v>0</v>
      </c>
      <c r="U58">
        <f t="shared" ref="U58:U61" si="59">$L58*K58</f>
        <v>0</v>
      </c>
    </row>
    <row r="59" spans="1:21">
      <c r="A59" t="s">
        <v>2420</v>
      </c>
      <c r="B59" t="s">
        <v>2421</v>
      </c>
      <c r="C59" t="s">
        <v>2382</v>
      </c>
      <c r="D59">
        <v>0</v>
      </c>
      <c r="E59">
        <v>0</v>
      </c>
      <c r="F59">
        <v>0</v>
      </c>
      <c r="G59">
        <v>1</v>
      </c>
      <c r="H59">
        <v>0</v>
      </c>
      <c r="I59">
        <v>0</v>
      </c>
      <c r="J59">
        <v>0</v>
      </c>
      <c r="K59">
        <v>0</v>
      </c>
      <c r="L59">
        <v>7</v>
      </c>
      <c r="N59">
        <f t="shared" si="52"/>
        <v>0</v>
      </c>
      <c r="O59">
        <f t="shared" si="53"/>
        <v>0</v>
      </c>
      <c r="P59">
        <f t="shared" si="54"/>
        <v>0</v>
      </c>
      <c r="Q59">
        <f t="shared" si="55"/>
        <v>7</v>
      </c>
      <c r="R59">
        <f t="shared" si="56"/>
        <v>0</v>
      </c>
      <c r="S59">
        <f t="shared" si="57"/>
        <v>0</v>
      </c>
      <c r="T59">
        <f t="shared" si="58"/>
        <v>0</v>
      </c>
      <c r="U59">
        <f t="shared" si="59"/>
        <v>0</v>
      </c>
    </row>
    <row r="60" spans="1:21">
      <c r="A60" t="s">
        <v>2416</v>
      </c>
      <c r="B60" t="s">
        <v>2417</v>
      </c>
      <c r="C60" t="s">
        <v>2382</v>
      </c>
      <c r="D60">
        <v>0</v>
      </c>
      <c r="E60">
        <v>19</v>
      </c>
      <c r="F60">
        <v>0</v>
      </c>
      <c r="G60">
        <v>6</v>
      </c>
      <c r="H60">
        <v>0</v>
      </c>
      <c r="I60">
        <v>5</v>
      </c>
      <c r="J60">
        <v>0</v>
      </c>
      <c r="K60">
        <v>0</v>
      </c>
      <c r="L60">
        <v>4</v>
      </c>
      <c r="N60">
        <f t="shared" si="52"/>
        <v>0</v>
      </c>
      <c r="O60">
        <f t="shared" si="53"/>
        <v>76</v>
      </c>
      <c r="P60">
        <f t="shared" si="54"/>
        <v>0</v>
      </c>
      <c r="Q60">
        <f t="shared" si="55"/>
        <v>24</v>
      </c>
      <c r="R60">
        <f t="shared" si="56"/>
        <v>0</v>
      </c>
      <c r="S60">
        <f t="shared" si="57"/>
        <v>20</v>
      </c>
      <c r="T60">
        <f t="shared" si="58"/>
        <v>0</v>
      </c>
      <c r="U60">
        <f t="shared" si="59"/>
        <v>0</v>
      </c>
    </row>
    <row r="61" spans="1:21">
      <c r="A61" t="s">
        <v>2424</v>
      </c>
      <c r="B61" t="s">
        <v>2425</v>
      </c>
      <c r="C61" t="s">
        <v>2382</v>
      </c>
      <c r="D61">
        <v>3</v>
      </c>
      <c r="E61">
        <v>0</v>
      </c>
      <c r="F61">
        <v>0</v>
      </c>
      <c r="G61">
        <v>0</v>
      </c>
      <c r="H61">
        <v>1</v>
      </c>
      <c r="I61">
        <v>1</v>
      </c>
      <c r="J61">
        <v>0</v>
      </c>
      <c r="K61">
        <v>0</v>
      </c>
      <c r="L61">
        <v>1</v>
      </c>
      <c r="N61">
        <f t="shared" si="52"/>
        <v>3</v>
      </c>
      <c r="O61">
        <f t="shared" si="53"/>
        <v>0</v>
      </c>
      <c r="P61">
        <f t="shared" si="54"/>
        <v>0</v>
      </c>
      <c r="Q61">
        <f t="shared" si="55"/>
        <v>0</v>
      </c>
      <c r="R61">
        <f t="shared" si="56"/>
        <v>1</v>
      </c>
      <c r="S61">
        <f t="shared" si="57"/>
        <v>1</v>
      </c>
      <c r="T61">
        <f t="shared" si="58"/>
        <v>0</v>
      </c>
      <c r="U61">
        <f t="shared" si="59"/>
        <v>0</v>
      </c>
    </row>
    <row r="62" spans="1:21">
      <c r="N62" s="20">
        <f>SUM(N58:N61)+1</f>
        <v>4</v>
      </c>
      <c r="O62" s="20">
        <f>SUM(O58:O61)+66</f>
        <v>202</v>
      </c>
      <c r="P62" s="20">
        <f>SUM(P58:P61)+4</f>
        <v>14</v>
      </c>
      <c r="Q62" s="20">
        <f>SUM(Q58:Q61)+30</f>
        <v>91</v>
      </c>
      <c r="R62" s="20">
        <f t="shared" ref="R62:U62" si="60">SUM(R58:R61)</f>
        <v>1</v>
      </c>
      <c r="S62" s="20">
        <f>SUM(S58:S61)+20</f>
        <v>86</v>
      </c>
      <c r="T62" s="20">
        <f t="shared" si="60"/>
        <v>0</v>
      </c>
      <c r="U62" s="20">
        <f t="shared" si="60"/>
        <v>0</v>
      </c>
    </row>
    <row r="63" spans="1:21">
      <c r="N63" s="107">
        <v>10</v>
      </c>
      <c r="O63" s="107">
        <v>210</v>
      </c>
      <c r="P63" s="107">
        <v>20</v>
      </c>
      <c r="Q63" s="107">
        <v>100</v>
      </c>
      <c r="R63" s="107">
        <v>10</v>
      </c>
      <c r="S63" s="107">
        <v>90</v>
      </c>
      <c r="T63" s="107">
        <v>0</v>
      </c>
      <c r="U63" s="107">
        <v>0</v>
      </c>
    </row>
    <row r="64" spans="1:21">
      <c r="A64" s="10" t="s">
        <v>2434</v>
      </c>
    </row>
    <row r="65" spans="1:21">
      <c r="A65" t="s">
        <v>2369</v>
      </c>
      <c r="B65" t="s">
        <v>2370</v>
      </c>
      <c r="C65" t="s">
        <v>1547</v>
      </c>
      <c r="D65" t="s">
        <v>2371</v>
      </c>
      <c r="E65" t="s">
        <v>2372</v>
      </c>
      <c r="F65" t="s">
        <v>2373</v>
      </c>
      <c r="G65" t="s">
        <v>2374</v>
      </c>
      <c r="H65" t="s">
        <v>2375</v>
      </c>
      <c r="I65" t="s">
        <v>2376</v>
      </c>
      <c r="J65" t="s">
        <v>2377</v>
      </c>
      <c r="K65" t="s">
        <v>2378</v>
      </c>
      <c r="L65" s="10" t="s">
        <v>2379</v>
      </c>
      <c r="N65" t="s">
        <v>2371</v>
      </c>
      <c r="O65" t="s">
        <v>2372</v>
      </c>
      <c r="P65" t="s">
        <v>2373</v>
      </c>
      <c r="Q65" t="s">
        <v>2374</v>
      </c>
      <c r="R65" t="s">
        <v>2375</v>
      </c>
      <c r="S65" t="s">
        <v>2376</v>
      </c>
      <c r="T65" t="s">
        <v>2377</v>
      </c>
      <c r="U65" t="s">
        <v>2378</v>
      </c>
    </row>
    <row r="66" spans="1:21">
      <c r="A66" t="s">
        <v>2380</v>
      </c>
      <c r="B66" t="s">
        <v>2381</v>
      </c>
      <c r="C66" t="s">
        <v>2382</v>
      </c>
      <c r="D66">
        <v>0</v>
      </c>
      <c r="E66">
        <v>15</v>
      </c>
      <c r="F66">
        <v>2</v>
      </c>
      <c r="G66">
        <v>7</v>
      </c>
      <c r="H66">
        <v>0</v>
      </c>
      <c r="I66">
        <v>7</v>
      </c>
      <c r="J66">
        <v>2</v>
      </c>
      <c r="K66">
        <v>0</v>
      </c>
      <c r="L66" s="20">
        <v>2</v>
      </c>
      <c r="N66">
        <f>$L66*D66</f>
        <v>0</v>
      </c>
      <c r="O66">
        <f t="shared" ref="O66:O87" si="61">$L66*E66</f>
        <v>30</v>
      </c>
      <c r="P66">
        <f t="shared" ref="P66:P87" si="62">$L66*F66</f>
        <v>4</v>
      </c>
      <c r="Q66">
        <f t="shared" ref="Q66:Q87" si="63">$L66*G66</f>
        <v>14</v>
      </c>
      <c r="R66">
        <f t="shared" ref="R66:R87" si="64">$L66*H66</f>
        <v>0</v>
      </c>
      <c r="S66">
        <f t="shared" ref="S66:S87" si="65">$L66*I66</f>
        <v>14</v>
      </c>
      <c r="T66">
        <f t="shared" ref="T66:T87" si="66">$L66*J66</f>
        <v>4</v>
      </c>
      <c r="U66">
        <f t="shared" ref="U66:U87" si="67">$L66*K66</f>
        <v>0</v>
      </c>
    </row>
    <row r="67" spans="1:21">
      <c r="A67" t="s">
        <v>2383</v>
      </c>
      <c r="B67" t="s">
        <v>2384</v>
      </c>
      <c r="C67" t="s">
        <v>2382</v>
      </c>
      <c r="D67">
        <v>0</v>
      </c>
      <c r="E67">
        <v>18</v>
      </c>
      <c r="F67">
        <v>2</v>
      </c>
      <c r="G67">
        <v>9</v>
      </c>
      <c r="H67">
        <v>0</v>
      </c>
      <c r="I67">
        <v>9</v>
      </c>
      <c r="J67">
        <v>0</v>
      </c>
      <c r="K67">
        <v>0</v>
      </c>
      <c r="L67" s="20">
        <v>1</v>
      </c>
      <c r="N67">
        <f t="shared" ref="N67:N87" si="68">$L67*D67</f>
        <v>0</v>
      </c>
      <c r="O67">
        <f t="shared" si="61"/>
        <v>18</v>
      </c>
      <c r="P67">
        <f t="shared" si="62"/>
        <v>2</v>
      </c>
      <c r="Q67">
        <f t="shared" si="63"/>
        <v>9</v>
      </c>
      <c r="R67">
        <f t="shared" si="64"/>
        <v>0</v>
      </c>
      <c r="S67">
        <f t="shared" si="65"/>
        <v>9</v>
      </c>
      <c r="T67">
        <f t="shared" si="66"/>
        <v>0</v>
      </c>
      <c r="U67">
        <f t="shared" si="67"/>
        <v>0</v>
      </c>
    </row>
    <row r="68" spans="1:21">
      <c r="A68" t="s">
        <v>2385</v>
      </c>
      <c r="B68" t="s">
        <v>2386</v>
      </c>
      <c r="C68" t="s">
        <v>2382</v>
      </c>
      <c r="D68">
        <v>0</v>
      </c>
      <c r="E68">
        <v>12</v>
      </c>
      <c r="F68">
        <v>2</v>
      </c>
      <c r="G68">
        <v>4</v>
      </c>
      <c r="H68">
        <v>7</v>
      </c>
      <c r="I68">
        <v>0</v>
      </c>
      <c r="J68">
        <v>0</v>
      </c>
      <c r="K68">
        <v>0</v>
      </c>
      <c r="L68" s="20">
        <v>1</v>
      </c>
      <c r="N68">
        <f t="shared" si="68"/>
        <v>0</v>
      </c>
      <c r="O68">
        <f t="shared" si="61"/>
        <v>12</v>
      </c>
      <c r="P68">
        <f t="shared" si="62"/>
        <v>2</v>
      </c>
      <c r="Q68">
        <f t="shared" si="63"/>
        <v>4</v>
      </c>
      <c r="R68">
        <f t="shared" si="64"/>
        <v>7</v>
      </c>
      <c r="S68">
        <f t="shared" si="65"/>
        <v>0</v>
      </c>
      <c r="T68">
        <f t="shared" si="66"/>
        <v>0</v>
      </c>
      <c r="U68">
        <f t="shared" si="67"/>
        <v>0</v>
      </c>
    </row>
    <row r="69" spans="1:21">
      <c r="A69" t="s">
        <v>2387</v>
      </c>
      <c r="B69" t="s">
        <v>2388</v>
      </c>
      <c r="C69" t="s">
        <v>2382</v>
      </c>
      <c r="D69">
        <v>0</v>
      </c>
      <c r="E69">
        <v>23</v>
      </c>
      <c r="F69">
        <v>9</v>
      </c>
      <c r="G69">
        <v>18</v>
      </c>
      <c r="H69">
        <v>0</v>
      </c>
      <c r="I69">
        <v>0</v>
      </c>
      <c r="J69">
        <v>0</v>
      </c>
      <c r="K69">
        <v>0</v>
      </c>
      <c r="L69" s="20">
        <v>1</v>
      </c>
      <c r="N69">
        <f t="shared" si="68"/>
        <v>0</v>
      </c>
      <c r="O69">
        <f t="shared" si="61"/>
        <v>23</v>
      </c>
      <c r="P69">
        <f t="shared" si="62"/>
        <v>9</v>
      </c>
      <c r="Q69">
        <f t="shared" si="63"/>
        <v>18</v>
      </c>
      <c r="R69">
        <f t="shared" si="64"/>
        <v>0</v>
      </c>
      <c r="S69">
        <f t="shared" si="65"/>
        <v>0</v>
      </c>
      <c r="T69">
        <f t="shared" si="66"/>
        <v>0</v>
      </c>
      <c r="U69">
        <f t="shared" si="67"/>
        <v>0</v>
      </c>
    </row>
    <row r="70" spans="1:21">
      <c r="A70" t="s">
        <v>2389</v>
      </c>
      <c r="B70" t="s">
        <v>2390</v>
      </c>
      <c r="C70" t="s">
        <v>2382</v>
      </c>
      <c r="D70">
        <v>0</v>
      </c>
      <c r="E70">
        <v>21</v>
      </c>
      <c r="F70">
        <v>3</v>
      </c>
      <c r="G70">
        <v>2</v>
      </c>
      <c r="H70">
        <v>0</v>
      </c>
      <c r="I70">
        <v>9</v>
      </c>
      <c r="J70">
        <v>6</v>
      </c>
      <c r="K70">
        <v>0</v>
      </c>
      <c r="L70" s="20">
        <v>9</v>
      </c>
      <c r="N70">
        <f t="shared" si="68"/>
        <v>0</v>
      </c>
      <c r="O70">
        <f t="shared" si="61"/>
        <v>189</v>
      </c>
      <c r="P70">
        <f t="shared" si="62"/>
        <v>27</v>
      </c>
      <c r="Q70">
        <f t="shared" si="63"/>
        <v>18</v>
      </c>
      <c r="R70">
        <f t="shared" si="64"/>
        <v>0</v>
      </c>
      <c r="S70">
        <f t="shared" si="65"/>
        <v>81</v>
      </c>
      <c r="T70">
        <f t="shared" si="66"/>
        <v>54</v>
      </c>
      <c r="U70">
        <f t="shared" si="67"/>
        <v>0</v>
      </c>
    </row>
    <row r="71" spans="1:21">
      <c r="A71" t="s">
        <v>2391</v>
      </c>
      <c r="B71" t="s">
        <v>2392</v>
      </c>
      <c r="C71" t="s">
        <v>2382</v>
      </c>
      <c r="D71">
        <v>0</v>
      </c>
      <c r="E71">
        <v>15</v>
      </c>
      <c r="F71">
        <v>2</v>
      </c>
      <c r="G71">
        <v>2</v>
      </c>
      <c r="H71">
        <v>0</v>
      </c>
      <c r="I71">
        <v>9</v>
      </c>
      <c r="J71">
        <v>0</v>
      </c>
      <c r="K71">
        <v>0</v>
      </c>
      <c r="L71" s="20">
        <v>0</v>
      </c>
      <c r="N71">
        <f t="shared" si="68"/>
        <v>0</v>
      </c>
      <c r="O71">
        <f t="shared" si="61"/>
        <v>0</v>
      </c>
      <c r="P71">
        <f t="shared" si="62"/>
        <v>0</v>
      </c>
      <c r="Q71">
        <f t="shared" si="63"/>
        <v>0</v>
      </c>
      <c r="R71">
        <f t="shared" si="64"/>
        <v>0</v>
      </c>
      <c r="S71">
        <f t="shared" si="65"/>
        <v>0</v>
      </c>
      <c r="T71">
        <f t="shared" si="66"/>
        <v>0</v>
      </c>
      <c r="U71">
        <f t="shared" si="67"/>
        <v>0</v>
      </c>
    </row>
    <row r="72" spans="1:21">
      <c r="A72" t="s">
        <v>2393</v>
      </c>
      <c r="B72" t="s">
        <v>2394</v>
      </c>
      <c r="C72" t="s">
        <v>2382</v>
      </c>
      <c r="D72">
        <v>0</v>
      </c>
      <c r="E72">
        <v>14</v>
      </c>
      <c r="F72">
        <v>3</v>
      </c>
      <c r="G72">
        <v>4</v>
      </c>
      <c r="H72">
        <v>0</v>
      </c>
      <c r="I72">
        <v>9</v>
      </c>
      <c r="J72">
        <v>0</v>
      </c>
      <c r="K72">
        <v>0</v>
      </c>
      <c r="L72" s="20">
        <v>2</v>
      </c>
      <c r="N72">
        <f t="shared" si="68"/>
        <v>0</v>
      </c>
      <c r="O72">
        <f t="shared" si="61"/>
        <v>28</v>
      </c>
      <c r="P72">
        <f t="shared" si="62"/>
        <v>6</v>
      </c>
      <c r="Q72">
        <f t="shared" si="63"/>
        <v>8</v>
      </c>
      <c r="R72">
        <f t="shared" si="64"/>
        <v>0</v>
      </c>
      <c r="S72">
        <f t="shared" si="65"/>
        <v>18</v>
      </c>
      <c r="T72">
        <f t="shared" si="66"/>
        <v>0</v>
      </c>
      <c r="U72">
        <f t="shared" si="67"/>
        <v>0</v>
      </c>
    </row>
    <row r="73" spans="1:21">
      <c r="A73" t="s">
        <v>2395</v>
      </c>
      <c r="B73" t="s">
        <v>2396</v>
      </c>
      <c r="C73" t="s">
        <v>2382</v>
      </c>
      <c r="D73">
        <v>0</v>
      </c>
      <c r="E73">
        <v>23</v>
      </c>
      <c r="F73">
        <v>3</v>
      </c>
      <c r="G73">
        <v>3</v>
      </c>
      <c r="H73">
        <v>0</v>
      </c>
      <c r="I73">
        <v>9</v>
      </c>
      <c r="J73">
        <v>0</v>
      </c>
      <c r="K73">
        <v>0</v>
      </c>
      <c r="L73" s="20">
        <v>4</v>
      </c>
      <c r="N73">
        <f t="shared" si="68"/>
        <v>0</v>
      </c>
      <c r="O73">
        <f t="shared" si="61"/>
        <v>92</v>
      </c>
      <c r="P73">
        <f t="shared" si="62"/>
        <v>12</v>
      </c>
      <c r="Q73">
        <f t="shared" si="63"/>
        <v>12</v>
      </c>
      <c r="R73">
        <f t="shared" si="64"/>
        <v>0</v>
      </c>
      <c r="S73">
        <f t="shared" si="65"/>
        <v>36</v>
      </c>
      <c r="T73">
        <f t="shared" si="66"/>
        <v>0</v>
      </c>
      <c r="U73">
        <f t="shared" si="67"/>
        <v>0</v>
      </c>
    </row>
    <row r="74" spans="1:21">
      <c r="A74" t="s">
        <v>2397</v>
      </c>
      <c r="B74" t="s">
        <v>2398</v>
      </c>
      <c r="C74" t="s">
        <v>2382</v>
      </c>
      <c r="D74">
        <v>0</v>
      </c>
      <c r="E74">
        <v>12</v>
      </c>
      <c r="F74">
        <v>2</v>
      </c>
      <c r="G74">
        <v>6</v>
      </c>
      <c r="H74">
        <v>0</v>
      </c>
      <c r="I74">
        <v>9</v>
      </c>
      <c r="J74">
        <v>0</v>
      </c>
      <c r="K74">
        <v>0</v>
      </c>
      <c r="L74" s="20">
        <v>10</v>
      </c>
      <c r="N74">
        <f t="shared" si="68"/>
        <v>0</v>
      </c>
      <c r="O74">
        <f t="shared" si="61"/>
        <v>120</v>
      </c>
      <c r="P74">
        <f t="shared" si="62"/>
        <v>20</v>
      </c>
      <c r="Q74">
        <f t="shared" si="63"/>
        <v>60</v>
      </c>
      <c r="R74">
        <f t="shared" si="64"/>
        <v>0</v>
      </c>
      <c r="S74">
        <f t="shared" si="65"/>
        <v>90</v>
      </c>
      <c r="T74">
        <f t="shared" si="66"/>
        <v>0</v>
      </c>
      <c r="U74">
        <f t="shared" si="67"/>
        <v>0</v>
      </c>
    </row>
    <row r="75" spans="1:21">
      <c r="A75" t="s">
        <v>2399</v>
      </c>
      <c r="B75" t="s">
        <v>2398</v>
      </c>
      <c r="C75" t="s">
        <v>2382</v>
      </c>
      <c r="D75">
        <v>0</v>
      </c>
      <c r="E75">
        <v>12</v>
      </c>
      <c r="F75">
        <v>2</v>
      </c>
      <c r="G75">
        <v>6</v>
      </c>
      <c r="H75">
        <v>0</v>
      </c>
      <c r="I75">
        <v>9</v>
      </c>
      <c r="J75">
        <v>0</v>
      </c>
      <c r="K75">
        <v>0</v>
      </c>
      <c r="L75" s="20">
        <v>4</v>
      </c>
      <c r="N75">
        <f t="shared" si="68"/>
        <v>0</v>
      </c>
      <c r="O75">
        <f t="shared" si="61"/>
        <v>48</v>
      </c>
      <c r="P75">
        <f t="shared" si="62"/>
        <v>8</v>
      </c>
      <c r="Q75">
        <f t="shared" si="63"/>
        <v>24</v>
      </c>
      <c r="R75">
        <f t="shared" si="64"/>
        <v>0</v>
      </c>
      <c r="S75">
        <f t="shared" si="65"/>
        <v>36</v>
      </c>
      <c r="T75">
        <f t="shared" si="66"/>
        <v>0</v>
      </c>
      <c r="U75">
        <f t="shared" si="67"/>
        <v>0</v>
      </c>
    </row>
    <row r="76" spans="1:21">
      <c r="A76" t="s">
        <v>2400</v>
      </c>
      <c r="B76" t="s">
        <v>2401</v>
      </c>
      <c r="C76" t="s">
        <v>2382</v>
      </c>
      <c r="D76">
        <v>0</v>
      </c>
      <c r="E76">
        <v>14</v>
      </c>
      <c r="F76">
        <v>2</v>
      </c>
      <c r="G76">
        <v>11</v>
      </c>
      <c r="H76">
        <v>0</v>
      </c>
      <c r="I76">
        <v>9</v>
      </c>
      <c r="J76">
        <v>0</v>
      </c>
      <c r="K76">
        <v>0</v>
      </c>
      <c r="L76" s="20">
        <v>3</v>
      </c>
      <c r="N76">
        <f t="shared" si="68"/>
        <v>0</v>
      </c>
      <c r="O76">
        <f t="shared" si="61"/>
        <v>42</v>
      </c>
      <c r="P76">
        <f t="shared" si="62"/>
        <v>6</v>
      </c>
      <c r="Q76">
        <f t="shared" si="63"/>
        <v>33</v>
      </c>
      <c r="R76">
        <f t="shared" si="64"/>
        <v>0</v>
      </c>
      <c r="S76">
        <f t="shared" si="65"/>
        <v>27</v>
      </c>
      <c r="T76">
        <f t="shared" si="66"/>
        <v>0</v>
      </c>
      <c r="U76">
        <f t="shared" si="67"/>
        <v>0</v>
      </c>
    </row>
    <row r="77" spans="1:21">
      <c r="A77" t="s">
        <v>2402</v>
      </c>
      <c r="B77" t="s">
        <v>2401</v>
      </c>
      <c r="C77" t="s">
        <v>2382</v>
      </c>
      <c r="D77">
        <v>0</v>
      </c>
      <c r="E77">
        <v>14</v>
      </c>
      <c r="F77">
        <v>2</v>
      </c>
      <c r="G77">
        <v>11</v>
      </c>
      <c r="H77">
        <v>0</v>
      </c>
      <c r="I77">
        <v>9</v>
      </c>
      <c r="J77">
        <v>0</v>
      </c>
      <c r="K77">
        <v>0</v>
      </c>
      <c r="L77" s="20">
        <v>1</v>
      </c>
      <c r="N77">
        <f t="shared" si="68"/>
        <v>0</v>
      </c>
      <c r="O77">
        <f t="shared" si="61"/>
        <v>14</v>
      </c>
      <c r="P77">
        <f t="shared" si="62"/>
        <v>2</v>
      </c>
      <c r="Q77">
        <f t="shared" si="63"/>
        <v>11</v>
      </c>
      <c r="R77">
        <f t="shared" si="64"/>
        <v>0</v>
      </c>
      <c r="S77">
        <f t="shared" si="65"/>
        <v>9</v>
      </c>
      <c r="T77">
        <f t="shared" si="66"/>
        <v>0</v>
      </c>
      <c r="U77">
        <f t="shared" si="67"/>
        <v>0</v>
      </c>
    </row>
    <row r="78" spans="1:21">
      <c r="A78" t="s">
        <v>2403</v>
      </c>
      <c r="B78" t="s">
        <v>2404</v>
      </c>
      <c r="C78" t="s">
        <v>2382</v>
      </c>
      <c r="D78">
        <v>0</v>
      </c>
      <c r="E78">
        <v>13</v>
      </c>
      <c r="F78">
        <v>2</v>
      </c>
      <c r="G78">
        <v>7</v>
      </c>
      <c r="H78">
        <v>0</v>
      </c>
      <c r="I78">
        <v>6</v>
      </c>
      <c r="J78">
        <v>0</v>
      </c>
      <c r="K78">
        <v>0</v>
      </c>
      <c r="L78" s="20">
        <v>1</v>
      </c>
      <c r="N78">
        <f t="shared" si="68"/>
        <v>0</v>
      </c>
      <c r="O78">
        <f t="shared" si="61"/>
        <v>13</v>
      </c>
      <c r="P78">
        <f t="shared" si="62"/>
        <v>2</v>
      </c>
      <c r="Q78">
        <f t="shared" si="63"/>
        <v>7</v>
      </c>
      <c r="R78">
        <f t="shared" si="64"/>
        <v>0</v>
      </c>
      <c r="S78">
        <f t="shared" si="65"/>
        <v>6</v>
      </c>
      <c r="T78">
        <f t="shared" si="66"/>
        <v>0</v>
      </c>
      <c r="U78">
        <f t="shared" si="67"/>
        <v>0</v>
      </c>
    </row>
    <row r="79" spans="1:21">
      <c r="A79" s="10" t="s">
        <v>2405</v>
      </c>
      <c r="B79" t="s">
        <v>2406</v>
      </c>
      <c r="C79" t="s">
        <v>2382</v>
      </c>
      <c r="D79">
        <v>0</v>
      </c>
      <c r="E79">
        <v>2</v>
      </c>
      <c r="F79">
        <v>0</v>
      </c>
      <c r="G79">
        <v>0</v>
      </c>
      <c r="H79">
        <v>0</v>
      </c>
      <c r="I79">
        <v>0</v>
      </c>
      <c r="J79">
        <v>0</v>
      </c>
      <c r="K79">
        <v>0</v>
      </c>
      <c r="L79" s="20">
        <v>3</v>
      </c>
      <c r="N79">
        <f t="shared" si="68"/>
        <v>0</v>
      </c>
      <c r="O79">
        <f t="shared" si="61"/>
        <v>6</v>
      </c>
      <c r="P79">
        <f t="shared" si="62"/>
        <v>0</v>
      </c>
      <c r="Q79">
        <f t="shared" si="63"/>
        <v>0</v>
      </c>
      <c r="R79">
        <f t="shared" si="64"/>
        <v>0</v>
      </c>
      <c r="S79">
        <f t="shared" si="65"/>
        <v>0</v>
      </c>
      <c r="T79">
        <f t="shared" si="66"/>
        <v>0</v>
      </c>
      <c r="U79">
        <f t="shared" si="67"/>
        <v>0</v>
      </c>
    </row>
    <row r="80" spans="1:21">
      <c r="A80" t="s">
        <v>2407</v>
      </c>
      <c r="B80" t="s">
        <v>2408</v>
      </c>
      <c r="C80" t="s">
        <v>2382</v>
      </c>
      <c r="D80">
        <v>0</v>
      </c>
      <c r="E80">
        <v>2</v>
      </c>
      <c r="F80">
        <v>0</v>
      </c>
      <c r="G80">
        <v>0</v>
      </c>
      <c r="H80">
        <v>0</v>
      </c>
      <c r="I80">
        <v>0</v>
      </c>
      <c r="J80">
        <v>0</v>
      </c>
      <c r="K80">
        <v>0</v>
      </c>
      <c r="L80" s="20">
        <v>18</v>
      </c>
      <c r="N80">
        <f t="shared" si="68"/>
        <v>0</v>
      </c>
      <c r="O80">
        <f t="shared" si="61"/>
        <v>36</v>
      </c>
      <c r="P80">
        <f t="shared" si="62"/>
        <v>0</v>
      </c>
      <c r="Q80">
        <f t="shared" si="63"/>
        <v>0</v>
      </c>
      <c r="R80">
        <f t="shared" si="64"/>
        <v>0</v>
      </c>
      <c r="S80">
        <f t="shared" si="65"/>
        <v>0</v>
      </c>
      <c r="T80">
        <f t="shared" si="66"/>
        <v>0</v>
      </c>
      <c r="U80">
        <f t="shared" si="67"/>
        <v>0</v>
      </c>
    </row>
    <row r="81" spans="1:21">
      <c r="A81" s="10" t="s">
        <v>2409</v>
      </c>
      <c r="B81" t="s">
        <v>2410</v>
      </c>
      <c r="C81" t="s">
        <v>2382</v>
      </c>
      <c r="D81">
        <v>0</v>
      </c>
      <c r="E81">
        <v>10</v>
      </c>
      <c r="F81">
        <v>0</v>
      </c>
      <c r="G81">
        <v>2</v>
      </c>
      <c r="H81">
        <v>0</v>
      </c>
      <c r="I81">
        <v>0</v>
      </c>
      <c r="J81">
        <v>0</v>
      </c>
      <c r="K81">
        <v>0</v>
      </c>
      <c r="L81" s="20">
        <v>7</v>
      </c>
      <c r="N81">
        <f t="shared" si="68"/>
        <v>0</v>
      </c>
      <c r="O81">
        <f t="shared" si="61"/>
        <v>70</v>
      </c>
      <c r="P81">
        <f t="shared" si="62"/>
        <v>0</v>
      </c>
      <c r="Q81">
        <f t="shared" si="63"/>
        <v>14</v>
      </c>
      <c r="R81">
        <f t="shared" si="64"/>
        <v>0</v>
      </c>
      <c r="S81">
        <f t="shared" si="65"/>
        <v>0</v>
      </c>
      <c r="T81">
        <f t="shared" si="66"/>
        <v>0</v>
      </c>
      <c r="U81">
        <f t="shared" si="67"/>
        <v>0</v>
      </c>
    </row>
    <row r="82" spans="1:21">
      <c r="A82" t="s">
        <v>2411</v>
      </c>
      <c r="B82" t="s">
        <v>2412</v>
      </c>
      <c r="C82" t="s">
        <v>2382</v>
      </c>
      <c r="D82">
        <v>0</v>
      </c>
      <c r="E82">
        <v>10</v>
      </c>
      <c r="F82">
        <v>0</v>
      </c>
      <c r="G82">
        <v>3</v>
      </c>
      <c r="H82">
        <v>0</v>
      </c>
      <c r="I82">
        <v>0</v>
      </c>
      <c r="J82">
        <v>0</v>
      </c>
      <c r="K82">
        <v>0</v>
      </c>
      <c r="L82" s="20">
        <v>4</v>
      </c>
      <c r="N82">
        <f t="shared" si="68"/>
        <v>0</v>
      </c>
      <c r="O82">
        <f t="shared" si="61"/>
        <v>40</v>
      </c>
      <c r="P82">
        <f t="shared" si="62"/>
        <v>0</v>
      </c>
      <c r="Q82">
        <f t="shared" si="63"/>
        <v>12</v>
      </c>
      <c r="R82">
        <f t="shared" si="64"/>
        <v>0</v>
      </c>
      <c r="S82">
        <f t="shared" si="65"/>
        <v>0</v>
      </c>
      <c r="T82">
        <f t="shared" si="66"/>
        <v>0</v>
      </c>
      <c r="U82">
        <f t="shared" si="67"/>
        <v>0</v>
      </c>
    </row>
    <row r="83" spans="1:21">
      <c r="A83" s="10" t="s">
        <v>2413</v>
      </c>
      <c r="B83" t="s">
        <v>2412</v>
      </c>
      <c r="C83" t="s">
        <v>2382</v>
      </c>
      <c r="D83">
        <v>0</v>
      </c>
      <c r="E83">
        <v>10</v>
      </c>
      <c r="F83">
        <v>0</v>
      </c>
      <c r="G83">
        <v>3</v>
      </c>
      <c r="H83">
        <v>0</v>
      </c>
      <c r="I83">
        <v>0</v>
      </c>
      <c r="J83">
        <v>0</v>
      </c>
      <c r="K83">
        <v>0</v>
      </c>
      <c r="L83" s="20">
        <v>4</v>
      </c>
      <c r="N83">
        <f t="shared" si="68"/>
        <v>0</v>
      </c>
      <c r="O83">
        <f t="shared" si="61"/>
        <v>40</v>
      </c>
      <c r="P83">
        <f t="shared" si="62"/>
        <v>0</v>
      </c>
      <c r="Q83">
        <f t="shared" si="63"/>
        <v>12</v>
      </c>
      <c r="R83">
        <f t="shared" si="64"/>
        <v>0</v>
      </c>
      <c r="S83">
        <f t="shared" si="65"/>
        <v>0</v>
      </c>
      <c r="T83">
        <f t="shared" si="66"/>
        <v>0</v>
      </c>
      <c r="U83">
        <f t="shared" si="67"/>
        <v>0</v>
      </c>
    </row>
    <row r="84" spans="1:21">
      <c r="A84" t="s">
        <v>2414</v>
      </c>
      <c r="B84" t="s">
        <v>2415</v>
      </c>
      <c r="C84" t="s">
        <v>2382</v>
      </c>
      <c r="D84">
        <v>0</v>
      </c>
      <c r="E84">
        <v>9</v>
      </c>
      <c r="F84">
        <v>0</v>
      </c>
      <c r="G84">
        <v>2</v>
      </c>
      <c r="H84">
        <v>0</v>
      </c>
      <c r="I84">
        <v>0</v>
      </c>
      <c r="J84">
        <v>0</v>
      </c>
      <c r="K84">
        <v>0</v>
      </c>
      <c r="L84" s="20">
        <v>0</v>
      </c>
      <c r="N84">
        <f t="shared" si="68"/>
        <v>0</v>
      </c>
      <c r="O84">
        <f t="shared" si="61"/>
        <v>0</v>
      </c>
      <c r="P84">
        <f t="shared" si="62"/>
        <v>0</v>
      </c>
      <c r="Q84">
        <f t="shared" si="63"/>
        <v>0</v>
      </c>
      <c r="R84">
        <f t="shared" si="64"/>
        <v>0</v>
      </c>
      <c r="S84">
        <f t="shared" si="65"/>
        <v>0</v>
      </c>
      <c r="T84">
        <f t="shared" si="66"/>
        <v>0</v>
      </c>
      <c r="U84">
        <f t="shared" si="67"/>
        <v>0</v>
      </c>
    </row>
    <row r="85" spans="1:21">
      <c r="A85" t="s">
        <v>2416</v>
      </c>
      <c r="B85" t="s">
        <v>2417</v>
      </c>
      <c r="C85" t="s">
        <v>2382</v>
      </c>
      <c r="D85">
        <v>0</v>
      </c>
      <c r="E85">
        <v>19</v>
      </c>
      <c r="F85">
        <v>0</v>
      </c>
      <c r="G85">
        <v>6</v>
      </c>
      <c r="H85">
        <v>0</v>
      </c>
      <c r="I85">
        <v>5</v>
      </c>
      <c r="J85">
        <v>0</v>
      </c>
      <c r="K85">
        <v>0</v>
      </c>
      <c r="L85" s="20">
        <v>2</v>
      </c>
      <c r="N85">
        <f t="shared" si="68"/>
        <v>0</v>
      </c>
      <c r="O85">
        <f t="shared" si="61"/>
        <v>38</v>
      </c>
      <c r="P85">
        <f t="shared" si="62"/>
        <v>0</v>
      </c>
      <c r="Q85">
        <f t="shared" si="63"/>
        <v>12</v>
      </c>
      <c r="R85">
        <f t="shared" si="64"/>
        <v>0</v>
      </c>
      <c r="S85">
        <f t="shared" si="65"/>
        <v>10</v>
      </c>
      <c r="T85">
        <f t="shared" si="66"/>
        <v>0</v>
      </c>
      <c r="U85">
        <f t="shared" si="67"/>
        <v>0</v>
      </c>
    </row>
    <row r="86" spans="1:21">
      <c r="A86" t="s">
        <v>2418</v>
      </c>
      <c r="B86" t="s">
        <v>2419</v>
      </c>
      <c r="C86" t="s">
        <v>2382</v>
      </c>
      <c r="D86">
        <v>0</v>
      </c>
      <c r="E86">
        <v>12</v>
      </c>
      <c r="F86">
        <v>0</v>
      </c>
      <c r="G86">
        <v>5</v>
      </c>
      <c r="H86">
        <v>0</v>
      </c>
      <c r="I86">
        <v>4</v>
      </c>
      <c r="J86">
        <v>0</v>
      </c>
      <c r="K86">
        <v>0</v>
      </c>
      <c r="L86" s="20">
        <v>1</v>
      </c>
      <c r="N86">
        <f t="shared" si="68"/>
        <v>0</v>
      </c>
      <c r="O86">
        <f t="shared" si="61"/>
        <v>12</v>
      </c>
      <c r="P86">
        <f t="shared" si="62"/>
        <v>0</v>
      </c>
      <c r="Q86">
        <f t="shared" si="63"/>
        <v>5</v>
      </c>
      <c r="R86">
        <f t="shared" si="64"/>
        <v>0</v>
      </c>
      <c r="S86">
        <f t="shared" si="65"/>
        <v>4</v>
      </c>
      <c r="T86">
        <f t="shared" si="66"/>
        <v>0</v>
      </c>
      <c r="U86">
        <f t="shared" si="67"/>
        <v>0</v>
      </c>
    </row>
    <row r="87" spans="1:21">
      <c r="A87" t="s">
        <v>2420</v>
      </c>
      <c r="B87" t="s">
        <v>2421</v>
      </c>
      <c r="C87" t="s">
        <v>2382</v>
      </c>
      <c r="D87">
        <v>0</v>
      </c>
      <c r="E87">
        <v>0</v>
      </c>
      <c r="F87">
        <v>0</v>
      </c>
      <c r="G87">
        <v>1</v>
      </c>
      <c r="H87">
        <v>0</v>
      </c>
      <c r="I87">
        <v>0</v>
      </c>
      <c r="J87">
        <v>0</v>
      </c>
      <c r="K87">
        <v>0</v>
      </c>
      <c r="L87" s="20">
        <v>4</v>
      </c>
      <c r="N87">
        <f t="shared" si="68"/>
        <v>0</v>
      </c>
      <c r="O87">
        <f t="shared" si="61"/>
        <v>0</v>
      </c>
      <c r="P87">
        <f t="shared" si="62"/>
        <v>0</v>
      </c>
      <c r="Q87">
        <f t="shared" si="63"/>
        <v>4</v>
      </c>
      <c r="R87">
        <f t="shared" si="64"/>
        <v>0</v>
      </c>
      <c r="S87">
        <f t="shared" si="65"/>
        <v>0</v>
      </c>
      <c r="T87">
        <f t="shared" si="66"/>
        <v>0</v>
      </c>
      <c r="U87">
        <f t="shared" si="67"/>
        <v>0</v>
      </c>
    </row>
    <row r="88" spans="1:21">
      <c r="N88" s="20">
        <f>SUM(N66:N87)</f>
        <v>0</v>
      </c>
      <c r="O88" s="20">
        <f>SUM(O66:O87)+66</f>
        <v>937</v>
      </c>
      <c r="P88" s="20">
        <f>SUM(P66:P87)+4</f>
        <v>104</v>
      </c>
      <c r="Q88" s="20">
        <f>SUM(Q66:Q87)+30</f>
        <v>307</v>
      </c>
      <c r="R88" s="20">
        <f>SUM(R66:R87)+3</f>
        <v>10</v>
      </c>
      <c r="S88" s="20">
        <f>SUM(S66:S87)+10</f>
        <v>350</v>
      </c>
      <c r="T88" s="20">
        <f>SUM(T66:T87)+18</f>
        <v>76</v>
      </c>
      <c r="U88" s="20">
        <f t="shared" ref="U88" si="69">SUM(U66:U87)</f>
        <v>0</v>
      </c>
    </row>
    <row r="89" spans="1:21">
      <c r="N89" s="107">
        <v>0</v>
      </c>
      <c r="O89" s="107">
        <v>950</v>
      </c>
      <c r="P89" s="107">
        <v>110</v>
      </c>
      <c r="Q89" s="107">
        <v>320</v>
      </c>
      <c r="R89" s="107">
        <v>10</v>
      </c>
      <c r="S89" s="107">
        <v>350</v>
      </c>
      <c r="T89" s="107">
        <v>100</v>
      </c>
      <c r="U89" s="107">
        <v>0</v>
      </c>
    </row>
    <row r="93" spans="1:21">
      <c r="A93" s="110" t="s">
        <v>2435</v>
      </c>
      <c r="B93" s="111" t="s">
        <v>2371</v>
      </c>
      <c r="C93" s="111" t="s">
        <v>2372</v>
      </c>
      <c r="D93" s="111" t="s">
        <v>2373</v>
      </c>
      <c r="E93" s="111" t="s">
        <v>2374</v>
      </c>
      <c r="F93" s="111" t="s">
        <v>2375</v>
      </c>
      <c r="G93" s="111" t="s">
        <v>2376</v>
      </c>
      <c r="H93" s="111" t="s">
        <v>2377</v>
      </c>
      <c r="I93" s="111" t="s">
        <v>2378</v>
      </c>
    </row>
    <row r="94" spans="1:21">
      <c r="A94" s="108" t="s">
        <v>2429</v>
      </c>
      <c r="B94" s="109">
        <v>0</v>
      </c>
      <c r="C94" s="109">
        <v>120</v>
      </c>
      <c r="D94" s="109">
        <v>10</v>
      </c>
      <c r="E94" s="109">
        <v>90</v>
      </c>
      <c r="F94" s="109">
        <v>0</v>
      </c>
      <c r="G94" s="109">
        <v>40</v>
      </c>
      <c r="H94" s="109">
        <v>0</v>
      </c>
      <c r="I94" s="109">
        <v>0</v>
      </c>
      <c r="N94">
        <f>N48</f>
        <v>0</v>
      </c>
      <c r="O94">
        <f t="shared" ref="O94:U94" si="70">O48</f>
        <v>120</v>
      </c>
      <c r="P94">
        <f t="shared" si="70"/>
        <v>10</v>
      </c>
      <c r="Q94">
        <f t="shared" si="70"/>
        <v>90</v>
      </c>
      <c r="R94">
        <f t="shared" si="70"/>
        <v>0</v>
      </c>
      <c r="S94">
        <f t="shared" si="70"/>
        <v>40</v>
      </c>
      <c r="T94">
        <f t="shared" si="70"/>
        <v>0</v>
      </c>
      <c r="U94">
        <f t="shared" si="70"/>
        <v>0</v>
      </c>
    </row>
    <row r="95" spans="1:21">
      <c r="A95" s="108" t="s">
        <v>2432</v>
      </c>
      <c r="B95" s="109">
        <v>0</v>
      </c>
      <c r="C95" s="109">
        <v>120</v>
      </c>
      <c r="D95" s="109">
        <v>10</v>
      </c>
      <c r="E95" s="109">
        <v>90</v>
      </c>
      <c r="F95" s="109">
        <v>0</v>
      </c>
      <c r="G95" s="109">
        <v>40</v>
      </c>
      <c r="H95" s="109">
        <v>0</v>
      </c>
      <c r="I95" s="109">
        <v>0</v>
      </c>
      <c r="N95">
        <f>N55</f>
        <v>0</v>
      </c>
      <c r="O95">
        <f t="shared" ref="O95:U95" si="71">O55</f>
        <v>120</v>
      </c>
      <c r="P95">
        <f t="shared" si="71"/>
        <v>10</v>
      </c>
      <c r="Q95">
        <f t="shared" si="71"/>
        <v>90</v>
      </c>
      <c r="R95">
        <f t="shared" si="71"/>
        <v>0</v>
      </c>
      <c r="S95">
        <f t="shared" si="71"/>
        <v>40</v>
      </c>
      <c r="T95">
        <f t="shared" si="71"/>
        <v>0</v>
      </c>
      <c r="U95">
        <f t="shared" si="71"/>
        <v>0</v>
      </c>
    </row>
    <row r="96" spans="1:21">
      <c r="A96" s="108" t="s">
        <v>2433</v>
      </c>
      <c r="B96" s="109">
        <v>10</v>
      </c>
      <c r="C96" s="109">
        <v>210</v>
      </c>
      <c r="D96" s="109">
        <v>20</v>
      </c>
      <c r="E96" s="109">
        <v>100</v>
      </c>
      <c r="F96" s="109">
        <v>10</v>
      </c>
      <c r="G96" s="109">
        <v>90</v>
      </c>
      <c r="H96" s="109">
        <v>0</v>
      </c>
      <c r="I96" s="109">
        <v>0</v>
      </c>
      <c r="N96">
        <f>N63</f>
        <v>10</v>
      </c>
      <c r="O96">
        <f t="shared" ref="O96:U96" si="72">O63</f>
        <v>210</v>
      </c>
      <c r="P96">
        <f t="shared" si="72"/>
        <v>20</v>
      </c>
      <c r="Q96">
        <f t="shared" si="72"/>
        <v>100</v>
      </c>
      <c r="R96">
        <f t="shared" si="72"/>
        <v>10</v>
      </c>
      <c r="S96">
        <f t="shared" si="72"/>
        <v>90</v>
      </c>
      <c r="T96">
        <f t="shared" si="72"/>
        <v>0</v>
      </c>
      <c r="U96">
        <f t="shared" si="72"/>
        <v>0</v>
      </c>
    </row>
    <row r="97" spans="1:21">
      <c r="A97" s="108" t="s">
        <v>2434</v>
      </c>
      <c r="B97" s="109">
        <v>0</v>
      </c>
      <c r="C97" s="109">
        <v>950</v>
      </c>
      <c r="D97" s="109">
        <v>110</v>
      </c>
      <c r="E97" s="109">
        <v>320</v>
      </c>
      <c r="F97" s="109">
        <v>10</v>
      </c>
      <c r="G97" s="109">
        <v>350</v>
      </c>
      <c r="H97" s="109">
        <v>100</v>
      </c>
      <c r="I97" s="109">
        <v>0</v>
      </c>
      <c r="N97">
        <f>N89</f>
        <v>0</v>
      </c>
      <c r="O97">
        <f t="shared" ref="O97:U97" si="73">O89</f>
        <v>950</v>
      </c>
      <c r="P97">
        <f t="shared" si="73"/>
        <v>110</v>
      </c>
      <c r="Q97">
        <f t="shared" si="73"/>
        <v>320</v>
      </c>
      <c r="R97">
        <f t="shared" si="73"/>
        <v>10</v>
      </c>
      <c r="S97">
        <f t="shared" si="73"/>
        <v>350</v>
      </c>
      <c r="T97">
        <f t="shared" si="73"/>
        <v>100</v>
      </c>
      <c r="U97">
        <f t="shared" si="73"/>
        <v>0</v>
      </c>
    </row>
  </sheetData>
  <autoFilter ref="A1:U27" xr:uid="{E073389E-98BD-4E6D-8FFE-DF04D1E3ACCF}"/>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B1D28-7EBB-4DF7-8BA9-EDF3BD04EA26}">
  <dimension ref="C1:X89"/>
  <sheetViews>
    <sheetView topLeftCell="C1" zoomScale="70" zoomScaleNormal="70" workbookViewId="0">
      <selection activeCell="U50" sqref="U50"/>
    </sheetView>
  </sheetViews>
  <sheetFormatPr defaultColWidth="9.109375" defaultRowHeight="12.75" customHeight="1"/>
  <cols>
    <col min="3" max="3" width="16.6640625" customWidth="1"/>
    <col min="4" max="4" width="6.109375" customWidth="1"/>
    <col min="5" max="5" width="22.33203125" customWidth="1"/>
    <col min="6" max="6" width="35.33203125" bestFit="1" customWidth="1"/>
    <col min="7" max="7" width="36.44140625" customWidth="1"/>
    <col min="8" max="8" width="8.88671875" customWidth="1"/>
    <col min="9" max="9" width="12.33203125" customWidth="1"/>
    <col min="10" max="10" width="8.88671875" customWidth="1"/>
    <col min="11" max="11" width="13.6640625" customWidth="1"/>
    <col min="12" max="12" width="11.6640625" customWidth="1"/>
    <col min="13" max="13" width="15.6640625" customWidth="1"/>
    <col min="14" max="14" width="14.33203125" bestFit="1" customWidth="1"/>
    <col min="15" max="15" width="8.88671875" customWidth="1"/>
    <col min="16" max="16" width="11.33203125" customWidth="1"/>
    <col min="17" max="17" width="15" customWidth="1"/>
    <col min="21" max="22" width="10.6640625" customWidth="1"/>
  </cols>
  <sheetData>
    <row r="1" spans="3:24" ht="13.2">
      <c r="C1" t="s">
        <v>985</v>
      </c>
      <c r="D1" t="s">
        <v>986</v>
      </c>
      <c r="E1" t="s">
        <v>988</v>
      </c>
      <c r="F1" t="s">
        <v>1854</v>
      </c>
      <c r="G1" t="s">
        <v>2436</v>
      </c>
      <c r="H1" t="s">
        <v>991</v>
      </c>
      <c r="I1" t="s">
        <v>2437</v>
      </c>
      <c r="J1" t="s">
        <v>2438</v>
      </c>
      <c r="K1" t="s">
        <v>2439</v>
      </c>
      <c r="L1" t="s">
        <v>1557</v>
      </c>
      <c r="M1" t="s">
        <v>2440</v>
      </c>
      <c r="N1" t="s">
        <v>2441</v>
      </c>
      <c r="O1" t="s">
        <v>2442</v>
      </c>
      <c r="P1" t="s">
        <v>2443</v>
      </c>
      <c r="Q1" t="s">
        <v>2444</v>
      </c>
      <c r="R1" t="s">
        <v>2445</v>
      </c>
      <c r="S1" t="s">
        <v>2446</v>
      </c>
      <c r="T1" t="s">
        <v>2447</v>
      </c>
      <c r="U1" s="10" t="s">
        <v>2448</v>
      </c>
      <c r="V1" s="10"/>
    </row>
    <row r="2" spans="3:24" ht="13.2">
      <c r="C2" t="s">
        <v>306</v>
      </c>
      <c r="D2" t="s">
        <v>15</v>
      </c>
      <c r="E2" t="s">
        <v>2449</v>
      </c>
      <c r="F2" t="s">
        <v>2450</v>
      </c>
      <c r="G2" t="s">
        <v>310</v>
      </c>
      <c r="H2" t="s">
        <v>2451</v>
      </c>
      <c r="I2">
        <v>11</v>
      </c>
      <c r="J2" t="s">
        <v>1576</v>
      </c>
      <c r="K2" t="s">
        <v>311</v>
      </c>
      <c r="L2" s="112"/>
      <c r="M2" s="112">
        <v>10237</v>
      </c>
      <c r="N2">
        <v>11000</v>
      </c>
      <c r="O2">
        <v>613.61500000000001</v>
      </c>
      <c r="P2">
        <v>0.97</v>
      </c>
      <c r="Q2" s="113">
        <v>100</v>
      </c>
      <c r="R2" t="s">
        <v>2452</v>
      </c>
      <c r="S2" t="s">
        <v>2453</v>
      </c>
      <c r="T2" t="s">
        <v>2453</v>
      </c>
      <c r="U2">
        <v>1250</v>
      </c>
      <c r="X2" s="10" t="s">
        <v>2454</v>
      </c>
    </row>
    <row r="3" spans="3:24" ht="13.2">
      <c r="C3" t="s">
        <v>306</v>
      </c>
      <c r="D3" t="s">
        <v>321</v>
      </c>
      <c r="E3" t="s">
        <v>2455</v>
      </c>
      <c r="F3" t="s">
        <v>2450</v>
      </c>
      <c r="G3" t="s">
        <v>310</v>
      </c>
      <c r="H3" t="s">
        <v>2451</v>
      </c>
      <c r="I3">
        <v>11</v>
      </c>
      <c r="J3" t="s">
        <v>1576</v>
      </c>
      <c r="K3" t="s">
        <v>311</v>
      </c>
      <c r="L3" s="112"/>
      <c r="M3" s="112">
        <v>10237</v>
      </c>
      <c r="N3">
        <v>11000</v>
      </c>
      <c r="O3">
        <v>613.61500000000001</v>
      </c>
      <c r="P3">
        <v>0.97</v>
      </c>
      <c r="Q3" s="113">
        <v>100</v>
      </c>
      <c r="R3" t="s">
        <v>2452</v>
      </c>
      <c r="S3" t="s">
        <v>2453</v>
      </c>
      <c r="T3" t="s">
        <v>2453</v>
      </c>
      <c r="U3">
        <v>1250</v>
      </c>
      <c r="X3" s="10" t="s">
        <v>2454</v>
      </c>
    </row>
    <row r="4" spans="3:24" ht="13.2">
      <c r="C4" t="s">
        <v>306</v>
      </c>
      <c r="D4" t="s">
        <v>15</v>
      </c>
      <c r="E4" t="s">
        <v>2456</v>
      </c>
      <c r="F4" t="s">
        <v>351</v>
      </c>
      <c r="G4" t="s">
        <v>310</v>
      </c>
      <c r="H4" t="s">
        <v>2457</v>
      </c>
      <c r="I4">
        <v>11</v>
      </c>
      <c r="J4" t="s">
        <v>2458</v>
      </c>
      <c r="K4" t="s">
        <v>353</v>
      </c>
      <c r="M4">
        <v>539</v>
      </c>
      <c r="N4">
        <v>720</v>
      </c>
      <c r="O4">
        <v>46.798999999999999</v>
      </c>
      <c r="P4">
        <v>0.85</v>
      </c>
      <c r="Q4">
        <v>30</v>
      </c>
      <c r="R4" s="113" t="s">
        <v>2453</v>
      </c>
      <c r="S4" t="s">
        <v>2459</v>
      </c>
      <c r="T4" t="s">
        <v>2453</v>
      </c>
      <c r="U4">
        <v>630</v>
      </c>
      <c r="X4" s="10" t="s">
        <v>2454</v>
      </c>
    </row>
    <row r="5" spans="3:24" ht="13.2">
      <c r="C5" t="s">
        <v>306</v>
      </c>
      <c r="D5" t="s">
        <v>321</v>
      </c>
      <c r="E5" t="s">
        <v>2460</v>
      </c>
      <c r="F5" t="s">
        <v>362</v>
      </c>
      <c r="G5" t="s">
        <v>310</v>
      </c>
      <c r="H5" t="s">
        <v>2457</v>
      </c>
      <c r="I5">
        <v>11</v>
      </c>
      <c r="J5" t="s">
        <v>2458</v>
      </c>
      <c r="K5" t="s">
        <v>363</v>
      </c>
      <c r="M5">
        <v>539</v>
      </c>
      <c r="N5">
        <v>720</v>
      </c>
      <c r="O5">
        <v>46.798999999999999</v>
      </c>
      <c r="P5">
        <v>0.85</v>
      </c>
      <c r="Q5">
        <v>10</v>
      </c>
      <c r="R5" t="s">
        <v>2453</v>
      </c>
      <c r="S5" s="113" t="s">
        <v>2453</v>
      </c>
      <c r="T5" s="113" t="s">
        <v>2461</v>
      </c>
      <c r="U5">
        <v>630</v>
      </c>
      <c r="X5" s="10" t="s">
        <v>2454</v>
      </c>
    </row>
    <row r="6" spans="3:24" ht="13.2">
      <c r="C6" t="s">
        <v>306</v>
      </c>
      <c r="D6" t="s">
        <v>15</v>
      </c>
      <c r="E6" t="s">
        <v>2462</v>
      </c>
      <c r="F6" t="s">
        <v>2463</v>
      </c>
      <c r="G6" t="s">
        <v>310</v>
      </c>
      <c r="H6" t="s">
        <v>2457</v>
      </c>
      <c r="I6">
        <v>11</v>
      </c>
      <c r="J6" t="s">
        <v>2458</v>
      </c>
      <c r="K6" t="s">
        <v>311</v>
      </c>
      <c r="L6" s="112"/>
      <c r="M6" s="112">
        <v>1044</v>
      </c>
      <c r="N6">
        <v>1500</v>
      </c>
      <c r="O6">
        <v>97.498000000000005</v>
      </c>
      <c r="P6">
        <v>0.85</v>
      </c>
      <c r="Q6" s="113">
        <v>100</v>
      </c>
      <c r="R6" t="s">
        <v>2464</v>
      </c>
      <c r="S6" t="s">
        <v>2453</v>
      </c>
      <c r="T6" t="s">
        <v>2453</v>
      </c>
      <c r="U6">
        <v>630</v>
      </c>
      <c r="X6" s="10" t="s">
        <v>2454</v>
      </c>
    </row>
    <row r="7" spans="3:24" ht="13.2">
      <c r="C7" t="s">
        <v>306</v>
      </c>
      <c r="D7" t="s">
        <v>321</v>
      </c>
      <c r="E7" t="s">
        <v>2465</v>
      </c>
      <c r="F7" t="s">
        <v>1591</v>
      </c>
      <c r="G7" t="s">
        <v>310</v>
      </c>
      <c r="H7" t="s">
        <v>2457</v>
      </c>
      <c r="I7">
        <v>11</v>
      </c>
      <c r="J7" t="s">
        <v>2458</v>
      </c>
      <c r="K7" t="s">
        <v>353</v>
      </c>
      <c r="M7">
        <v>311</v>
      </c>
      <c r="N7">
        <v>400</v>
      </c>
      <c r="O7">
        <v>25.998999999999999</v>
      </c>
      <c r="P7">
        <v>0.85</v>
      </c>
      <c r="Q7">
        <v>30</v>
      </c>
      <c r="R7" s="113" t="s">
        <v>2453</v>
      </c>
      <c r="S7" t="s">
        <v>2466</v>
      </c>
      <c r="T7" t="s">
        <v>2453</v>
      </c>
      <c r="U7">
        <v>400</v>
      </c>
      <c r="X7" s="10" t="s">
        <v>2454</v>
      </c>
    </row>
    <row r="8" spans="3:24" ht="13.2">
      <c r="C8" t="s">
        <v>306</v>
      </c>
      <c r="D8" t="s">
        <v>15</v>
      </c>
      <c r="E8" t="s">
        <v>2467</v>
      </c>
      <c r="F8" t="s">
        <v>2468</v>
      </c>
      <c r="G8" t="s">
        <v>310</v>
      </c>
      <c r="H8" t="s">
        <v>2469</v>
      </c>
      <c r="I8">
        <v>11</v>
      </c>
      <c r="J8" t="s">
        <v>2453</v>
      </c>
      <c r="K8" t="s">
        <v>311</v>
      </c>
      <c r="L8" s="112"/>
      <c r="M8" s="112">
        <v>3100</v>
      </c>
      <c r="N8">
        <v>3100</v>
      </c>
      <c r="O8">
        <v>171.27099999999999</v>
      </c>
      <c r="P8">
        <v>1</v>
      </c>
      <c r="Q8" s="113">
        <v>100</v>
      </c>
      <c r="R8" t="s">
        <v>2470</v>
      </c>
      <c r="S8" t="s">
        <v>2453</v>
      </c>
      <c r="T8" t="s">
        <v>2453</v>
      </c>
      <c r="U8">
        <v>630</v>
      </c>
      <c r="X8" s="10" t="s">
        <v>2454</v>
      </c>
    </row>
    <row r="9" spans="3:24" ht="13.2">
      <c r="C9" t="s">
        <v>306</v>
      </c>
      <c r="D9" t="s">
        <v>321</v>
      </c>
      <c r="E9" t="s">
        <v>2471</v>
      </c>
      <c r="F9" t="s">
        <v>2472</v>
      </c>
      <c r="G9" t="s">
        <v>310</v>
      </c>
      <c r="H9" t="s">
        <v>2469</v>
      </c>
      <c r="I9">
        <v>11</v>
      </c>
      <c r="J9" t="s">
        <v>2453</v>
      </c>
      <c r="K9" t="s">
        <v>363</v>
      </c>
      <c r="L9" s="112"/>
      <c r="M9" s="112">
        <v>3100</v>
      </c>
      <c r="N9">
        <v>3100</v>
      </c>
      <c r="O9">
        <v>171.27099999999999</v>
      </c>
      <c r="P9">
        <v>1</v>
      </c>
      <c r="Q9">
        <v>10</v>
      </c>
      <c r="R9" t="s">
        <v>2453</v>
      </c>
      <c r="S9" s="113" t="s">
        <v>2453</v>
      </c>
      <c r="T9" s="113" t="s">
        <v>2473</v>
      </c>
      <c r="U9">
        <v>630</v>
      </c>
      <c r="X9" s="10" t="s">
        <v>2454</v>
      </c>
    </row>
    <row r="10" spans="3:24" ht="13.2">
      <c r="C10" t="s">
        <v>306</v>
      </c>
      <c r="D10" t="s">
        <v>321</v>
      </c>
      <c r="E10" t="s">
        <v>2474</v>
      </c>
      <c r="F10" t="s">
        <v>2475</v>
      </c>
      <c r="G10" t="s">
        <v>310</v>
      </c>
      <c r="H10" t="s">
        <v>2469</v>
      </c>
      <c r="I10">
        <v>11</v>
      </c>
      <c r="J10" t="s">
        <v>2453</v>
      </c>
      <c r="K10" t="s">
        <v>353</v>
      </c>
      <c r="M10">
        <v>530</v>
      </c>
      <c r="N10">
        <v>750</v>
      </c>
      <c r="O10">
        <v>41.436999999999998</v>
      </c>
      <c r="P10">
        <v>1</v>
      </c>
      <c r="Q10">
        <v>30</v>
      </c>
      <c r="R10" s="113" t="s">
        <v>2453</v>
      </c>
      <c r="S10" t="s">
        <v>2476</v>
      </c>
      <c r="T10" t="s">
        <v>2453</v>
      </c>
      <c r="U10">
        <v>630</v>
      </c>
      <c r="X10" s="10" t="s">
        <v>2477</v>
      </c>
    </row>
    <row r="11" spans="3:24" ht="13.2">
      <c r="C11" t="s">
        <v>306</v>
      </c>
      <c r="D11" t="s">
        <v>15</v>
      </c>
      <c r="E11" t="s">
        <v>2478</v>
      </c>
      <c r="F11" t="s">
        <v>2479</v>
      </c>
      <c r="G11" t="s">
        <v>310</v>
      </c>
      <c r="H11" t="s">
        <v>2480</v>
      </c>
      <c r="I11">
        <v>11</v>
      </c>
      <c r="J11" t="s">
        <v>2453</v>
      </c>
      <c r="K11" t="s">
        <v>311</v>
      </c>
      <c r="M11" t="s">
        <v>2453</v>
      </c>
      <c r="N11" t="s">
        <v>2453</v>
      </c>
      <c r="O11" t="s">
        <v>2481</v>
      </c>
      <c r="P11" t="s">
        <v>2453</v>
      </c>
      <c r="Q11" s="113" t="s">
        <v>2453</v>
      </c>
      <c r="R11" t="s">
        <v>2482</v>
      </c>
      <c r="S11" t="s">
        <v>2453</v>
      </c>
      <c r="T11" t="s">
        <v>2453</v>
      </c>
      <c r="U11">
        <v>630</v>
      </c>
      <c r="X11" s="10" t="s">
        <v>2454</v>
      </c>
    </row>
    <row r="12" spans="3:24" ht="13.2">
      <c r="C12" t="s">
        <v>306</v>
      </c>
      <c r="D12" t="s">
        <v>321</v>
      </c>
      <c r="E12" t="s">
        <v>2483</v>
      </c>
      <c r="F12" t="s">
        <v>2484</v>
      </c>
      <c r="G12" t="s">
        <v>310</v>
      </c>
      <c r="H12" t="s">
        <v>2480</v>
      </c>
      <c r="I12">
        <v>11</v>
      </c>
      <c r="J12" t="s">
        <v>2453</v>
      </c>
      <c r="K12" t="s">
        <v>311</v>
      </c>
      <c r="M12" t="s">
        <v>2453</v>
      </c>
      <c r="N12" t="s">
        <v>2453</v>
      </c>
      <c r="O12" t="s">
        <v>2481</v>
      </c>
      <c r="P12" t="s">
        <v>2453</v>
      </c>
      <c r="Q12" s="113" t="s">
        <v>2453</v>
      </c>
      <c r="R12" t="s">
        <v>2485</v>
      </c>
      <c r="S12" t="s">
        <v>2453</v>
      </c>
      <c r="T12" t="s">
        <v>2453</v>
      </c>
      <c r="U12">
        <v>630</v>
      </c>
      <c r="X12" s="10" t="s">
        <v>2454</v>
      </c>
    </row>
    <row r="13" spans="3:24" ht="13.2">
      <c r="C13" t="s">
        <v>306</v>
      </c>
      <c r="D13" t="s">
        <v>15</v>
      </c>
      <c r="E13" t="s">
        <v>2486</v>
      </c>
      <c r="F13" t="s">
        <v>2479</v>
      </c>
      <c r="G13" t="s">
        <v>310</v>
      </c>
      <c r="H13" t="s">
        <v>2480</v>
      </c>
      <c r="I13">
        <v>11</v>
      </c>
      <c r="J13" t="s">
        <v>2453</v>
      </c>
      <c r="K13" t="s">
        <v>311</v>
      </c>
      <c r="M13" t="s">
        <v>2453</v>
      </c>
      <c r="N13" t="s">
        <v>2453</v>
      </c>
      <c r="O13" t="s">
        <v>2481</v>
      </c>
      <c r="P13" t="s">
        <v>2453</v>
      </c>
      <c r="Q13" s="113" t="s">
        <v>2453</v>
      </c>
      <c r="R13" t="s">
        <v>2487</v>
      </c>
      <c r="S13" t="s">
        <v>2453</v>
      </c>
      <c r="T13" t="s">
        <v>2453</v>
      </c>
      <c r="U13">
        <v>630</v>
      </c>
      <c r="X13" s="10" t="s">
        <v>2454</v>
      </c>
    </row>
    <row r="14" spans="3:24" ht="13.2">
      <c r="C14" t="s">
        <v>306</v>
      </c>
      <c r="D14" t="s">
        <v>321</v>
      </c>
      <c r="E14" t="s">
        <v>2488</v>
      </c>
      <c r="F14" t="s">
        <v>2484</v>
      </c>
      <c r="G14" t="s">
        <v>310</v>
      </c>
      <c r="H14" t="s">
        <v>2480</v>
      </c>
      <c r="I14">
        <v>11</v>
      </c>
      <c r="J14" t="s">
        <v>2453</v>
      </c>
      <c r="K14" t="s">
        <v>311</v>
      </c>
      <c r="M14" t="s">
        <v>2453</v>
      </c>
      <c r="N14" t="s">
        <v>2453</v>
      </c>
      <c r="O14" t="s">
        <v>2481</v>
      </c>
      <c r="P14" t="s">
        <v>2453</v>
      </c>
      <c r="Q14" s="113" t="s">
        <v>2453</v>
      </c>
      <c r="R14" t="s">
        <v>2489</v>
      </c>
      <c r="S14" t="s">
        <v>2453</v>
      </c>
      <c r="T14" t="s">
        <v>2453</v>
      </c>
      <c r="U14">
        <v>630</v>
      </c>
      <c r="X14" s="10" t="s">
        <v>2477</v>
      </c>
    </row>
    <row r="15" spans="3:24" ht="13.2">
      <c r="C15" t="s">
        <v>306</v>
      </c>
      <c r="D15" t="s">
        <v>15</v>
      </c>
      <c r="E15" t="s">
        <v>2490</v>
      </c>
      <c r="F15" t="s">
        <v>2491</v>
      </c>
      <c r="G15" t="s">
        <v>310</v>
      </c>
      <c r="H15" t="s">
        <v>2480</v>
      </c>
      <c r="I15">
        <v>11</v>
      </c>
      <c r="J15" t="s">
        <v>2453</v>
      </c>
      <c r="K15" t="s">
        <v>311</v>
      </c>
      <c r="M15" t="s">
        <v>2453</v>
      </c>
      <c r="N15" t="s">
        <v>2453</v>
      </c>
      <c r="O15" t="s">
        <v>2481</v>
      </c>
      <c r="P15" t="s">
        <v>2453</v>
      </c>
      <c r="Q15" s="113" t="s">
        <v>2453</v>
      </c>
      <c r="R15" t="s">
        <v>2492</v>
      </c>
      <c r="S15" t="s">
        <v>2453</v>
      </c>
      <c r="T15" t="s">
        <v>2453</v>
      </c>
      <c r="U15">
        <v>630</v>
      </c>
      <c r="X15" s="10" t="s">
        <v>2454</v>
      </c>
    </row>
    <row r="16" spans="3:24" ht="13.2">
      <c r="C16" t="s">
        <v>306</v>
      </c>
      <c r="D16" t="s">
        <v>321</v>
      </c>
      <c r="E16" t="s">
        <v>2493</v>
      </c>
      <c r="F16" t="s">
        <v>2494</v>
      </c>
      <c r="G16" t="s">
        <v>310</v>
      </c>
      <c r="H16" t="s">
        <v>2480</v>
      </c>
      <c r="I16">
        <v>11</v>
      </c>
      <c r="J16" t="s">
        <v>2453</v>
      </c>
      <c r="K16" t="s">
        <v>311</v>
      </c>
      <c r="M16" t="s">
        <v>2453</v>
      </c>
      <c r="N16" t="s">
        <v>2453</v>
      </c>
      <c r="O16" t="s">
        <v>2481</v>
      </c>
      <c r="P16" t="s">
        <v>2453</v>
      </c>
      <c r="Q16" s="113" t="s">
        <v>2453</v>
      </c>
      <c r="R16" t="s">
        <v>2495</v>
      </c>
      <c r="S16" t="s">
        <v>2453</v>
      </c>
      <c r="T16" t="s">
        <v>2453</v>
      </c>
      <c r="U16">
        <v>630</v>
      </c>
      <c r="X16" s="10" t="s">
        <v>2454</v>
      </c>
    </row>
    <row r="17" spans="5:24" ht="13.2">
      <c r="F17" s="10" t="s">
        <v>2496</v>
      </c>
      <c r="U17">
        <v>4000</v>
      </c>
      <c r="X17" s="10" t="s">
        <v>2454</v>
      </c>
    </row>
    <row r="18" spans="5:24" ht="13.2">
      <c r="F18" t="s">
        <v>2497</v>
      </c>
      <c r="O18">
        <v>4000</v>
      </c>
      <c r="U18">
        <v>4000</v>
      </c>
      <c r="X18" s="10" t="s">
        <v>2454</v>
      </c>
    </row>
    <row r="19" spans="5:24" ht="13.2">
      <c r="F19" t="s">
        <v>2244</v>
      </c>
      <c r="O19">
        <v>4000</v>
      </c>
      <c r="U19">
        <v>4000</v>
      </c>
      <c r="X19" s="10" t="s">
        <v>2454</v>
      </c>
    </row>
    <row r="20" spans="5:24" ht="13.2">
      <c r="F20" t="s">
        <v>2498</v>
      </c>
      <c r="O20">
        <v>630</v>
      </c>
      <c r="U20">
        <v>630</v>
      </c>
      <c r="X20" s="10" t="s">
        <v>2454</v>
      </c>
    </row>
    <row r="21" spans="5:24" ht="13.2">
      <c r="F21" t="s">
        <v>2498</v>
      </c>
      <c r="O21">
        <v>1250</v>
      </c>
      <c r="U21">
        <v>1250</v>
      </c>
      <c r="X21" s="10" t="s">
        <v>2454</v>
      </c>
    </row>
    <row r="22" spans="5:24" ht="13.2">
      <c r="F22" t="s">
        <v>2499</v>
      </c>
      <c r="O22">
        <v>630</v>
      </c>
      <c r="U22">
        <v>400</v>
      </c>
      <c r="X22" s="10" t="s">
        <v>2477</v>
      </c>
    </row>
    <row r="28" spans="5:24" ht="13.2">
      <c r="E28">
        <f>1874.56-1850</f>
        <v>24.559999999999945</v>
      </c>
      <c r="R28">
        <f>1817-1455</f>
        <v>362</v>
      </c>
    </row>
    <row r="29" spans="5:24" ht="13.2">
      <c r="E29">
        <f>2300-2249.21</f>
        <v>50.789999999999964</v>
      </c>
    </row>
    <row r="30" spans="5:24" ht="13.2"/>
    <row r="31" spans="5:24" ht="13.2"/>
    <row r="36" spans="5:17" ht="13.2">
      <c r="P36" t="s">
        <v>2500</v>
      </c>
    </row>
    <row r="37" spans="5:17" ht="13.2">
      <c r="P37" t="s">
        <v>2501</v>
      </c>
    </row>
    <row r="39" spans="5:17" ht="26.4">
      <c r="P39" t="s">
        <v>2502</v>
      </c>
      <c r="Q39" s="9" t="s">
        <v>2503</v>
      </c>
    </row>
    <row r="40" spans="5:17" ht="13.2">
      <c r="P40" t="s">
        <v>2502</v>
      </c>
      <c r="Q40" s="34">
        <f>(4000/3000)^2*2500</f>
        <v>4444.4444444444443</v>
      </c>
    </row>
    <row r="41" spans="5:17" ht="13.2">
      <c r="E41" s="10" t="s">
        <v>2504</v>
      </c>
    </row>
    <row r="42" spans="5:17" ht="26.4">
      <c r="P42" t="s">
        <v>2505</v>
      </c>
      <c r="Q42" s="9" t="s">
        <v>2506</v>
      </c>
    </row>
    <row r="43" spans="5:17" ht="13.2">
      <c r="P43" t="s">
        <v>2505</v>
      </c>
      <c r="Q43" s="34">
        <f>(630/1200)^2 * 250</f>
        <v>68.90625</v>
      </c>
    </row>
    <row r="44" spans="5:17" ht="13.2">
      <c r="E44" s="10"/>
    </row>
    <row r="49" spans="21:21" ht="12.75" customHeight="1">
      <c r="U49">
        <f>0.54/2.69</f>
        <v>0.20074349442379183</v>
      </c>
    </row>
    <row r="72" spans="4:20" ht="13.2">
      <c r="D72" t="s">
        <v>986</v>
      </c>
      <c r="E72" t="s">
        <v>988</v>
      </c>
      <c r="F72" t="s">
        <v>1854</v>
      </c>
      <c r="G72" t="s">
        <v>2436</v>
      </c>
      <c r="H72" t="s">
        <v>991</v>
      </c>
      <c r="I72" t="s">
        <v>2437</v>
      </c>
      <c r="J72" t="s">
        <v>2438</v>
      </c>
      <c r="K72" t="s">
        <v>2439</v>
      </c>
      <c r="L72" t="s">
        <v>2507</v>
      </c>
      <c r="M72" t="s">
        <v>2508</v>
      </c>
      <c r="N72" t="s">
        <v>2509</v>
      </c>
      <c r="O72" t="s">
        <v>2443</v>
      </c>
      <c r="P72" t="s">
        <v>2444</v>
      </c>
      <c r="Q72" t="s">
        <v>2445</v>
      </c>
      <c r="R72" t="s">
        <v>2446</v>
      </c>
      <c r="S72" t="s">
        <v>2447</v>
      </c>
    </row>
    <row r="73" spans="4:20" ht="13.2">
      <c r="D73" t="s">
        <v>15</v>
      </c>
      <c r="E73" t="s">
        <v>2449</v>
      </c>
      <c r="F73" t="s">
        <v>2450</v>
      </c>
      <c r="G73" t="s">
        <v>310</v>
      </c>
      <c r="H73" t="s">
        <v>2451</v>
      </c>
      <c r="I73">
        <v>11</v>
      </c>
      <c r="J73" t="s">
        <v>1576</v>
      </c>
      <c r="K73" t="s">
        <v>311</v>
      </c>
      <c r="L73" s="112">
        <v>10237</v>
      </c>
      <c r="M73" s="112">
        <v>11000</v>
      </c>
      <c r="N73">
        <v>97</v>
      </c>
      <c r="O73">
        <v>0.97</v>
      </c>
      <c r="P73">
        <v>100</v>
      </c>
      <c r="Q73" s="113" t="s">
        <v>2452</v>
      </c>
      <c r="R73" t="s">
        <v>2453</v>
      </c>
      <c r="S73" t="s">
        <v>2453</v>
      </c>
    </row>
    <row r="74" spans="4:20" ht="13.2">
      <c r="D74" t="s">
        <v>321</v>
      </c>
      <c r="E74" t="s">
        <v>2455</v>
      </c>
      <c r="F74" t="s">
        <v>2450</v>
      </c>
      <c r="G74" t="s">
        <v>310</v>
      </c>
      <c r="H74" t="s">
        <v>2451</v>
      </c>
      <c r="I74">
        <v>11</v>
      </c>
      <c r="J74" t="s">
        <v>1576</v>
      </c>
      <c r="K74" t="s">
        <v>311</v>
      </c>
      <c r="L74" s="112">
        <v>10237</v>
      </c>
      <c r="M74" s="112">
        <v>11000</v>
      </c>
      <c r="N74">
        <v>97</v>
      </c>
      <c r="O74">
        <v>0.97</v>
      </c>
      <c r="P74">
        <v>100</v>
      </c>
      <c r="Q74" s="113" t="s">
        <v>2452</v>
      </c>
      <c r="R74" t="s">
        <v>2453</v>
      </c>
      <c r="S74" t="s">
        <v>2453</v>
      </c>
    </row>
    <row r="75" spans="4:20" ht="13.2">
      <c r="D75" t="s">
        <v>15</v>
      </c>
      <c r="E75" t="s">
        <v>2456</v>
      </c>
      <c r="F75" t="s">
        <v>351</v>
      </c>
      <c r="G75" t="s">
        <v>310</v>
      </c>
      <c r="H75" t="s">
        <v>2457</v>
      </c>
      <c r="I75">
        <v>11</v>
      </c>
      <c r="J75" t="s">
        <v>2458</v>
      </c>
      <c r="K75" t="s">
        <v>353</v>
      </c>
      <c r="L75">
        <v>539</v>
      </c>
      <c r="M75">
        <v>720</v>
      </c>
      <c r="N75">
        <v>95</v>
      </c>
      <c r="O75">
        <v>0.85</v>
      </c>
      <c r="P75">
        <v>30</v>
      </c>
      <c r="Q75" t="s">
        <v>2453</v>
      </c>
      <c r="R75" s="113" t="s">
        <v>2459</v>
      </c>
      <c r="S75" t="s">
        <v>2453</v>
      </c>
    </row>
    <row r="76" spans="4:20" ht="13.2">
      <c r="D76" t="s">
        <v>321</v>
      </c>
      <c r="E76" t="s">
        <v>2460</v>
      </c>
      <c r="F76" t="s">
        <v>362</v>
      </c>
      <c r="G76" t="s">
        <v>310</v>
      </c>
      <c r="H76" t="s">
        <v>2457</v>
      </c>
      <c r="I76">
        <v>11</v>
      </c>
      <c r="J76" t="s">
        <v>2458</v>
      </c>
      <c r="K76" t="s">
        <v>363</v>
      </c>
      <c r="L76">
        <v>539</v>
      </c>
      <c r="M76">
        <v>720</v>
      </c>
      <c r="N76">
        <v>95</v>
      </c>
      <c r="O76">
        <v>0.85</v>
      </c>
      <c r="P76">
        <v>10</v>
      </c>
      <c r="Q76" t="s">
        <v>2453</v>
      </c>
      <c r="R76" t="s">
        <v>2453</v>
      </c>
      <c r="S76" s="113" t="s">
        <v>2461</v>
      </c>
      <c r="T76" s="113"/>
    </row>
    <row r="77" spans="4:20" ht="13.2">
      <c r="D77" t="s">
        <v>15</v>
      </c>
      <c r="E77" t="s">
        <v>2462</v>
      </c>
      <c r="F77" t="s">
        <v>2463</v>
      </c>
      <c r="G77" t="s">
        <v>310</v>
      </c>
      <c r="H77" t="s">
        <v>2457</v>
      </c>
      <c r="I77">
        <v>11</v>
      </c>
      <c r="J77" t="s">
        <v>2458</v>
      </c>
      <c r="K77" t="s">
        <v>311</v>
      </c>
      <c r="L77" s="112">
        <v>1044</v>
      </c>
      <c r="M77" s="112">
        <v>1500</v>
      </c>
      <c r="N77">
        <v>95</v>
      </c>
      <c r="O77">
        <v>0.85</v>
      </c>
      <c r="P77">
        <v>100</v>
      </c>
      <c r="Q77" s="113" t="s">
        <v>2464</v>
      </c>
      <c r="R77" t="s">
        <v>2453</v>
      </c>
      <c r="S77" t="s">
        <v>2453</v>
      </c>
    </row>
    <row r="78" spans="4:20" ht="13.2">
      <c r="D78" t="s">
        <v>321</v>
      </c>
      <c r="E78" t="s">
        <v>2465</v>
      </c>
      <c r="F78" t="s">
        <v>1591</v>
      </c>
      <c r="G78" t="s">
        <v>310</v>
      </c>
      <c r="H78" t="s">
        <v>2457</v>
      </c>
      <c r="I78">
        <v>11</v>
      </c>
      <c r="J78" t="s">
        <v>2458</v>
      </c>
      <c r="K78" t="s">
        <v>353</v>
      </c>
      <c r="L78">
        <v>311</v>
      </c>
      <c r="M78">
        <v>400</v>
      </c>
      <c r="N78">
        <v>95</v>
      </c>
      <c r="O78">
        <v>0.85</v>
      </c>
      <c r="P78">
        <v>30</v>
      </c>
      <c r="Q78" t="s">
        <v>2453</v>
      </c>
      <c r="R78" s="113" t="s">
        <v>2466</v>
      </c>
      <c r="S78" t="s">
        <v>2453</v>
      </c>
    </row>
    <row r="79" spans="4:20" ht="13.2">
      <c r="D79" t="s">
        <v>15</v>
      </c>
      <c r="E79" t="s">
        <v>2467</v>
      </c>
      <c r="F79" t="s">
        <v>2468</v>
      </c>
      <c r="G79" t="s">
        <v>310</v>
      </c>
      <c r="H79" t="s">
        <v>2469</v>
      </c>
      <c r="I79">
        <v>11</v>
      </c>
      <c r="J79" t="s">
        <v>2453</v>
      </c>
      <c r="K79" t="s">
        <v>311</v>
      </c>
      <c r="L79" s="112">
        <v>3100</v>
      </c>
      <c r="M79" s="112">
        <v>3100</v>
      </c>
      <c r="N79">
        <v>95</v>
      </c>
      <c r="O79">
        <v>1</v>
      </c>
      <c r="P79">
        <v>100</v>
      </c>
      <c r="Q79" s="113" t="s">
        <v>2470</v>
      </c>
      <c r="R79" t="s">
        <v>2453</v>
      </c>
      <c r="S79" t="s">
        <v>2453</v>
      </c>
    </row>
    <row r="80" spans="4:20" ht="13.2">
      <c r="D80" t="s">
        <v>321</v>
      </c>
      <c r="E80" t="s">
        <v>2471</v>
      </c>
      <c r="F80" t="s">
        <v>2472</v>
      </c>
      <c r="G80" t="s">
        <v>310</v>
      </c>
      <c r="H80" t="s">
        <v>2469</v>
      </c>
      <c r="I80">
        <v>11</v>
      </c>
      <c r="J80" t="s">
        <v>2453</v>
      </c>
      <c r="K80" t="s">
        <v>363</v>
      </c>
      <c r="L80" s="112">
        <v>3100</v>
      </c>
      <c r="M80" s="112">
        <v>3100</v>
      </c>
      <c r="N80">
        <v>95</v>
      </c>
      <c r="O80">
        <v>1</v>
      </c>
      <c r="P80">
        <v>10</v>
      </c>
      <c r="Q80" t="s">
        <v>2453</v>
      </c>
      <c r="R80" t="s">
        <v>2453</v>
      </c>
      <c r="S80" s="113" t="s">
        <v>2473</v>
      </c>
      <c r="T80" s="113"/>
    </row>
    <row r="81" spans="4:19" ht="13.2">
      <c r="D81" t="s">
        <v>321</v>
      </c>
      <c r="E81" t="s">
        <v>2474</v>
      </c>
      <c r="F81" t="s">
        <v>2475</v>
      </c>
      <c r="G81" t="s">
        <v>310</v>
      </c>
      <c r="H81" t="s">
        <v>2469</v>
      </c>
      <c r="I81">
        <v>11</v>
      </c>
      <c r="J81" t="s">
        <v>2453</v>
      </c>
      <c r="K81" t="s">
        <v>353</v>
      </c>
      <c r="L81">
        <v>530</v>
      </c>
      <c r="M81">
        <v>750</v>
      </c>
      <c r="N81">
        <v>95</v>
      </c>
      <c r="O81">
        <v>1</v>
      </c>
      <c r="P81">
        <v>30</v>
      </c>
      <c r="Q81" t="s">
        <v>2453</v>
      </c>
      <c r="R81" s="113" t="s">
        <v>2476</v>
      </c>
      <c r="S81" t="s">
        <v>2453</v>
      </c>
    </row>
    <row r="82" spans="4:19" ht="13.2">
      <c r="D82" t="s">
        <v>15</v>
      </c>
      <c r="E82" t="s">
        <v>2478</v>
      </c>
      <c r="F82" t="s">
        <v>2479</v>
      </c>
      <c r="G82" t="s">
        <v>310</v>
      </c>
      <c r="H82" t="s">
        <v>2480</v>
      </c>
      <c r="I82">
        <v>11</v>
      </c>
      <c r="J82" t="s">
        <v>2453</v>
      </c>
      <c r="K82" t="s">
        <v>311</v>
      </c>
      <c r="L82" t="s">
        <v>2453</v>
      </c>
      <c r="M82" t="s">
        <v>2453</v>
      </c>
      <c r="N82" t="s">
        <v>2453</v>
      </c>
      <c r="O82" t="s">
        <v>2453</v>
      </c>
      <c r="P82" t="s">
        <v>2453</v>
      </c>
      <c r="Q82" s="113" t="s">
        <v>2482</v>
      </c>
      <c r="R82" t="s">
        <v>2453</v>
      </c>
      <c r="S82" t="s">
        <v>2453</v>
      </c>
    </row>
    <row r="83" spans="4:19" ht="13.2">
      <c r="D83" t="s">
        <v>321</v>
      </c>
      <c r="E83" t="s">
        <v>2483</v>
      </c>
      <c r="F83" t="s">
        <v>2484</v>
      </c>
      <c r="G83" t="s">
        <v>310</v>
      </c>
      <c r="H83" t="s">
        <v>2480</v>
      </c>
      <c r="I83">
        <v>11</v>
      </c>
      <c r="J83" t="s">
        <v>2453</v>
      </c>
      <c r="K83" t="s">
        <v>311</v>
      </c>
      <c r="L83" t="s">
        <v>2453</v>
      </c>
      <c r="M83" t="s">
        <v>2453</v>
      </c>
      <c r="N83" t="s">
        <v>2453</v>
      </c>
      <c r="O83" t="s">
        <v>2453</v>
      </c>
      <c r="P83" t="s">
        <v>2453</v>
      </c>
      <c r="Q83" s="113" t="s">
        <v>2485</v>
      </c>
      <c r="R83" t="s">
        <v>2453</v>
      </c>
      <c r="S83" t="s">
        <v>2453</v>
      </c>
    </row>
    <row r="84" spans="4:19" ht="13.2">
      <c r="D84" t="s">
        <v>15</v>
      </c>
      <c r="E84" t="s">
        <v>2486</v>
      </c>
      <c r="F84" t="s">
        <v>2479</v>
      </c>
      <c r="G84" t="s">
        <v>310</v>
      </c>
      <c r="H84" t="s">
        <v>2480</v>
      </c>
      <c r="I84">
        <v>11</v>
      </c>
      <c r="J84" t="s">
        <v>2453</v>
      </c>
      <c r="K84" t="s">
        <v>311</v>
      </c>
      <c r="L84" t="s">
        <v>2453</v>
      </c>
      <c r="M84" t="s">
        <v>2453</v>
      </c>
      <c r="N84" t="s">
        <v>2453</v>
      </c>
      <c r="O84" t="s">
        <v>2453</v>
      </c>
      <c r="P84" t="s">
        <v>2453</v>
      </c>
      <c r="Q84" s="113" t="s">
        <v>2487</v>
      </c>
      <c r="R84" t="s">
        <v>2453</v>
      </c>
      <c r="S84" t="s">
        <v>2453</v>
      </c>
    </row>
    <row r="85" spans="4:19" ht="13.2">
      <c r="D85" t="s">
        <v>321</v>
      </c>
      <c r="E85" t="s">
        <v>2488</v>
      </c>
      <c r="F85" t="s">
        <v>2484</v>
      </c>
      <c r="G85" t="s">
        <v>310</v>
      </c>
      <c r="H85" t="s">
        <v>2480</v>
      </c>
      <c r="I85">
        <v>11</v>
      </c>
      <c r="J85" t="s">
        <v>2453</v>
      </c>
      <c r="K85" t="s">
        <v>311</v>
      </c>
      <c r="L85" t="s">
        <v>2453</v>
      </c>
      <c r="M85" t="s">
        <v>2453</v>
      </c>
      <c r="N85" t="s">
        <v>2453</v>
      </c>
      <c r="O85" t="s">
        <v>2453</v>
      </c>
      <c r="P85" t="s">
        <v>2453</v>
      </c>
      <c r="Q85" s="113" t="s">
        <v>2489</v>
      </c>
      <c r="R85" t="s">
        <v>2453</v>
      </c>
      <c r="S85" t="s">
        <v>2453</v>
      </c>
    </row>
    <row r="86" spans="4:19" ht="13.2">
      <c r="D86" t="s">
        <v>15</v>
      </c>
      <c r="E86" t="s">
        <v>2490</v>
      </c>
      <c r="F86" t="s">
        <v>2491</v>
      </c>
      <c r="G86" t="s">
        <v>310</v>
      </c>
      <c r="H86" t="s">
        <v>2480</v>
      </c>
      <c r="I86">
        <v>11</v>
      </c>
      <c r="J86" t="s">
        <v>2453</v>
      </c>
      <c r="K86" t="s">
        <v>311</v>
      </c>
      <c r="L86" t="s">
        <v>2453</v>
      </c>
      <c r="M86" t="s">
        <v>2453</v>
      </c>
      <c r="N86" t="s">
        <v>2453</v>
      </c>
      <c r="O86" t="s">
        <v>2453</v>
      </c>
      <c r="P86" t="s">
        <v>2453</v>
      </c>
      <c r="Q86" s="113" t="s">
        <v>2492</v>
      </c>
      <c r="R86" t="s">
        <v>2453</v>
      </c>
      <c r="S86" t="s">
        <v>2453</v>
      </c>
    </row>
    <row r="87" spans="4:19" ht="13.2">
      <c r="D87" t="s">
        <v>321</v>
      </c>
      <c r="E87" t="s">
        <v>2493</v>
      </c>
      <c r="F87" t="s">
        <v>2494</v>
      </c>
      <c r="G87" t="s">
        <v>310</v>
      </c>
      <c r="H87" t="s">
        <v>2480</v>
      </c>
      <c r="I87">
        <v>11</v>
      </c>
      <c r="J87" t="s">
        <v>2453</v>
      </c>
      <c r="K87" t="s">
        <v>311</v>
      </c>
      <c r="L87" t="s">
        <v>2453</v>
      </c>
      <c r="M87" t="s">
        <v>2453</v>
      </c>
      <c r="N87" t="s">
        <v>2453</v>
      </c>
      <c r="O87" t="s">
        <v>2453</v>
      </c>
      <c r="P87" t="s">
        <v>2453</v>
      </c>
      <c r="Q87" s="113" t="s">
        <v>2495</v>
      </c>
      <c r="R87" t="s">
        <v>2453</v>
      </c>
      <c r="S87" t="s">
        <v>2453</v>
      </c>
    </row>
    <row r="88" spans="4:19" ht="13.2"/>
    <row r="89" spans="4:19" ht="13.2"/>
  </sheetData>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DB180-7A38-40D2-B4C2-4CE210DE1F74}">
  <dimension ref="A1:U165"/>
  <sheetViews>
    <sheetView topLeftCell="A34" zoomScale="70" zoomScaleNormal="70" workbookViewId="0">
      <selection activeCell="F105" sqref="F105"/>
    </sheetView>
  </sheetViews>
  <sheetFormatPr defaultRowHeight="13.2"/>
  <cols>
    <col min="1" max="1" width="52.33203125" customWidth="1"/>
    <col min="3" max="3" width="22.5546875" customWidth="1"/>
    <col min="4" max="4" width="22.109375" customWidth="1"/>
    <col min="5" max="5" width="13.6640625" customWidth="1"/>
    <col min="6" max="6" width="59.33203125" customWidth="1"/>
    <col min="7" max="7" width="13.6640625" customWidth="1"/>
    <col min="8" max="9" width="13.33203125" customWidth="1"/>
    <col min="10" max="10" width="13.44140625" customWidth="1"/>
    <col min="14" max="14" width="63.5546875" customWidth="1"/>
    <col min="16" max="16" width="11.44140625" customWidth="1"/>
    <col min="19" max="19" width="59.6640625" customWidth="1"/>
  </cols>
  <sheetData>
    <row r="1" spans="1:17">
      <c r="A1" s="10" t="s">
        <v>4</v>
      </c>
      <c r="B1" s="10" t="s">
        <v>5</v>
      </c>
      <c r="C1" s="10" t="s">
        <v>6</v>
      </c>
      <c r="D1" s="10" t="s">
        <v>7</v>
      </c>
      <c r="E1" s="10" t="s">
        <v>8</v>
      </c>
      <c r="F1" s="10" t="s">
        <v>9</v>
      </c>
      <c r="G1" s="10" t="s">
        <v>10</v>
      </c>
      <c r="H1" s="10" t="s">
        <v>2510</v>
      </c>
      <c r="I1" s="10" t="s">
        <v>2511</v>
      </c>
      <c r="J1" s="10"/>
      <c r="K1" s="10"/>
    </row>
    <row r="2" spans="1:17" ht="20.399999999999999" customHeight="1">
      <c r="A2" t="s">
        <v>388</v>
      </c>
      <c r="B2" s="10" t="s">
        <v>311</v>
      </c>
      <c r="C2">
        <v>90</v>
      </c>
      <c r="D2" s="28">
        <v>76.783156004758411</v>
      </c>
      <c r="E2" s="10" t="s">
        <v>16</v>
      </c>
      <c r="F2" s="27" t="str">
        <f>_xlfn.LET(
  _xlpm.tag, A2,
  _xlpm.p, N(C2),
  _xlpm.i, N(D2),
  _xlpm.st, UPPER(TRIM(E2)),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f>
        <v>400V DOL Motor Starter Cubicle</v>
      </c>
      <c r="G2" s="27" t="str" cm="1">
        <f t="array" ref="G2">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16E</v>
      </c>
      <c r="J2" s="10"/>
      <c r="P2" s="10" t="s">
        <v>13</v>
      </c>
      <c r="Q2" s="10" t="s">
        <v>11</v>
      </c>
    </row>
    <row r="3" spans="1:17">
      <c r="A3" t="s">
        <v>394</v>
      </c>
      <c r="B3" s="10" t="s">
        <v>311</v>
      </c>
      <c r="C3">
        <v>90</v>
      </c>
      <c r="D3" s="28">
        <v>76.783156004758411</v>
      </c>
      <c r="E3" s="10" t="s">
        <v>16</v>
      </c>
      <c r="F3" s="27" t="str">
        <f t="shared" ref="F3:F64" si="0">_xlfn.LET(
  _xlpm.tag, A3,
  _xlpm.p, N(C3),
  _xlpm.i, N(D3),
  _xlpm.st, UPPER(TRIM(E3)),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f>
        <v>400V DOL Motor Starter Cubicle</v>
      </c>
      <c r="G3" s="27" t="str" cm="1">
        <f t="array" ref="G3">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16E</v>
      </c>
      <c r="J3" s="10"/>
      <c r="M3" s="10" t="s">
        <v>2512</v>
      </c>
      <c r="N3" t="s">
        <v>16</v>
      </c>
      <c r="O3">
        <f t="shared" ref="O3:O9" si="1">COUNTIF($E$2:$E$88,N3)</f>
        <v>9</v>
      </c>
      <c r="P3">
        <f>ROUNDUP(O3*0.3,0)</f>
        <v>3</v>
      </c>
      <c r="Q3" s="10" t="s">
        <v>18</v>
      </c>
    </row>
    <row r="4" spans="1:17">
      <c r="A4" t="s">
        <v>396</v>
      </c>
      <c r="B4" s="10" t="s">
        <v>311</v>
      </c>
      <c r="C4">
        <v>65</v>
      </c>
      <c r="D4" s="28">
        <v>13.289392385438957</v>
      </c>
      <c r="E4" s="93" t="s">
        <v>20</v>
      </c>
      <c r="F4" s="27" t="str">
        <f t="shared" si="0"/>
        <v>400V MCCB Feeder Cubicle (I &lt; 160A, per Dwg LV4)</v>
      </c>
      <c r="G4" s="27" t="str" cm="1">
        <f t="array" ref="G4">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4" s="10"/>
      <c r="N4" t="s">
        <v>20</v>
      </c>
      <c r="O4">
        <f t="shared" si="1"/>
        <v>16</v>
      </c>
      <c r="P4">
        <f t="shared" ref="P4:P9" si="2">ROUNDUP(O4*0.3,0)</f>
        <v>5</v>
      </c>
      <c r="Q4" s="10" t="s">
        <v>22</v>
      </c>
    </row>
    <row r="5" spans="1:17">
      <c r="A5" t="s">
        <v>399</v>
      </c>
      <c r="B5" s="10" t="s">
        <v>311</v>
      </c>
      <c r="C5">
        <v>65</v>
      </c>
      <c r="D5" s="28">
        <v>13.289392385438957</v>
      </c>
      <c r="E5" s="93" t="s">
        <v>20</v>
      </c>
      <c r="F5" s="27" t="str">
        <f t="shared" si="0"/>
        <v>400V MCCB Feeder Cubicle (I &lt; 160A, per Dwg LV4)</v>
      </c>
      <c r="G5" s="27" t="str" cm="1">
        <f t="array" ref="G5">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5" s="10"/>
      <c r="N5" t="s">
        <v>24</v>
      </c>
      <c r="O5">
        <f t="shared" si="1"/>
        <v>29</v>
      </c>
      <c r="P5">
        <f t="shared" si="2"/>
        <v>9</v>
      </c>
      <c r="Q5" s="10" t="s">
        <v>22</v>
      </c>
    </row>
    <row r="6" spans="1:17">
      <c r="A6" t="s">
        <v>401</v>
      </c>
      <c r="B6" s="10" t="s">
        <v>15</v>
      </c>
      <c r="C6">
        <v>5</v>
      </c>
      <c r="D6" s="28">
        <v>4.9219971797922062</v>
      </c>
      <c r="E6" t="s">
        <v>24</v>
      </c>
      <c r="F6" s="27" t="str">
        <f t="shared" si="0"/>
        <v>400V UPS Feeder Cubicle</v>
      </c>
      <c r="G6" s="27" t="str" cm="1">
        <f t="array" ref="G6">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6" s="10"/>
      <c r="N6" s="10" t="s">
        <v>29</v>
      </c>
      <c r="O6">
        <f t="shared" si="1"/>
        <v>0</v>
      </c>
      <c r="P6">
        <f t="shared" si="2"/>
        <v>0</v>
      </c>
      <c r="Q6" s="10" t="s">
        <v>18</v>
      </c>
    </row>
    <row r="7" spans="1:17">
      <c r="A7" t="s">
        <v>404</v>
      </c>
      <c r="B7" s="10" t="s">
        <v>311</v>
      </c>
      <c r="C7">
        <v>5</v>
      </c>
      <c r="D7" s="28">
        <v>4.9219971797922062</v>
      </c>
      <c r="E7" t="s">
        <v>24</v>
      </c>
      <c r="F7" s="27" t="str">
        <f t="shared" si="0"/>
        <v>400V UPS Feeder Cubicle</v>
      </c>
      <c r="G7" s="27" t="str" cm="1">
        <f t="array" ref="G7">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7" s="10"/>
      <c r="N7" s="10" t="s">
        <v>36</v>
      </c>
      <c r="O7">
        <f t="shared" si="1"/>
        <v>5</v>
      </c>
      <c r="P7">
        <f t="shared" si="2"/>
        <v>2</v>
      </c>
      <c r="Q7" s="10"/>
    </row>
    <row r="8" spans="1:17">
      <c r="A8" t="s">
        <v>406</v>
      </c>
      <c r="B8" s="10" t="s">
        <v>15</v>
      </c>
      <c r="C8">
        <v>10</v>
      </c>
      <c r="D8" s="28">
        <v>6.3198443788531922</v>
      </c>
      <c r="E8" t="s">
        <v>24</v>
      </c>
      <c r="F8" s="27" t="str">
        <f t="shared" si="0"/>
        <v>400V UPS Feeder Cubicle</v>
      </c>
      <c r="G8" s="27" t="str" cm="1">
        <f t="array" ref="G8">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8" s="10"/>
      <c r="N8" s="10" t="s">
        <v>41</v>
      </c>
      <c r="O8">
        <f t="shared" si="1"/>
        <v>9</v>
      </c>
      <c r="P8">
        <f t="shared" si="2"/>
        <v>3</v>
      </c>
      <c r="Q8" s="10"/>
    </row>
    <row r="9" spans="1:17">
      <c r="A9" t="s">
        <v>410</v>
      </c>
      <c r="B9" s="10" t="s">
        <v>311</v>
      </c>
      <c r="C9">
        <v>10</v>
      </c>
      <c r="D9" s="28">
        <v>6.3198443788531922</v>
      </c>
      <c r="E9" t="s">
        <v>24</v>
      </c>
      <c r="F9" s="27" t="str">
        <f t="shared" si="0"/>
        <v>400V UPS Feeder Cubicle</v>
      </c>
      <c r="G9" s="27" t="str" cm="1">
        <f t="array" ref="G9">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9" s="10"/>
      <c r="N9" t="s">
        <v>43</v>
      </c>
      <c r="O9">
        <f t="shared" si="1"/>
        <v>11</v>
      </c>
      <c r="P9">
        <f t="shared" si="2"/>
        <v>4</v>
      </c>
      <c r="Q9" s="10"/>
    </row>
    <row r="10" spans="1:17">
      <c r="A10" t="s">
        <v>413</v>
      </c>
      <c r="B10" s="10" t="s">
        <v>321</v>
      </c>
      <c r="C10">
        <v>10</v>
      </c>
      <c r="D10" s="28">
        <v>6.3198443788531922</v>
      </c>
      <c r="E10" t="s">
        <v>24</v>
      </c>
      <c r="F10" s="27" t="str">
        <f t="shared" si="0"/>
        <v>400V UPS Feeder Cubicle</v>
      </c>
      <c r="G10" s="27" t="str" cm="1">
        <f t="array" ref="G10">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0" s="10"/>
      <c r="Q10" s="10"/>
    </row>
    <row r="11" spans="1:17">
      <c r="A11" t="s">
        <v>415</v>
      </c>
      <c r="B11" s="10" t="s">
        <v>15</v>
      </c>
      <c r="C11">
        <v>25</v>
      </c>
      <c r="D11" s="28">
        <v>18.142481604714071</v>
      </c>
      <c r="E11" t="s">
        <v>24</v>
      </c>
      <c r="F11" s="27" t="str">
        <f t="shared" si="0"/>
        <v>400V UPS Feeder Cubicle</v>
      </c>
      <c r="G11" s="27" t="str" cm="1">
        <f t="array" ref="G11">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1" s="10"/>
    </row>
    <row r="12" spans="1:17">
      <c r="A12" t="s">
        <v>418</v>
      </c>
      <c r="B12" s="10" t="s">
        <v>311</v>
      </c>
      <c r="C12">
        <v>25</v>
      </c>
      <c r="D12" s="28">
        <v>18.142481604714071</v>
      </c>
      <c r="E12" t="s">
        <v>24</v>
      </c>
      <c r="F12" s="27" t="str">
        <f t="shared" si="0"/>
        <v>400V UPS Feeder Cubicle</v>
      </c>
      <c r="G12" s="27" t="str" cm="1">
        <f t="array" ref="G12">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2" s="10"/>
      <c r="I12" s="10"/>
      <c r="M12" s="10" t="s">
        <v>2513</v>
      </c>
      <c r="N12" t="s">
        <v>16</v>
      </c>
      <c r="O12">
        <f t="shared" ref="O12:O18" si="3">COUNTIF($E$2:$E$88,N12)</f>
        <v>9</v>
      </c>
      <c r="P12">
        <f t="shared" ref="P12:P18" si="4">ROUNDUP(O12*0.2,0)</f>
        <v>2</v>
      </c>
      <c r="Q12" s="10" t="s">
        <v>18</v>
      </c>
    </row>
    <row r="13" spans="1:17">
      <c r="A13" t="s">
        <v>420</v>
      </c>
      <c r="B13" s="10" t="s">
        <v>321</v>
      </c>
      <c r="C13">
        <v>25</v>
      </c>
      <c r="D13" s="28">
        <v>18.142481604714071</v>
      </c>
      <c r="E13" t="s">
        <v>24</v>
      </c>
      <c r="F13" s="27" t="str">
        <f t="shared" si="0"/>
        <v>400V UPS Feeder Cubicle</v>
      </c>
      <c r="G13" s="27" t="str" cm="1">
        <f t="array" ref="G13">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3" s="10"/>
      <c r="I13" s="10"/>
      <c r="N13" t="s">
        <v>20</v>
      </c>
      <c r="O13">
        <f t="shared" si="3"/>
        <v>16</v>
      </c>
      <c r="P13">
        <f t="shared" si="4"/>
        <v>4</v>
      </c>
      <c r="Q13" s="10" t="s">
        <v>22</v>
      </c>
    </row>
    <row r="14" spans="1:17">
      <c r="A14" t="s">
        <v>422</v>
      </c>
      <c r="B14" s="10" t="s">
        <v>15</v>
      </c>
      <c r="C14">
        <v>100</v>
      </c>
      <c r="D14" s="28">
        <v>78.54523099512403</v>
      </c>
      <c r="E14" t="s">
        <v>24</v>
      </c>
      <c r="F14" s="27" t="str">
        <f t="shared" si="0"/>
        <v>400V UPS Feeder Cubicle</v>
      </c>
      <c r="G14" s="27" t="str" cm="1">
        <f t="array" ref="G14">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14" s="10"/>
      <c r="I14" s="10"/>
      <c r="N14" t="s">
        <v>24</v>
      </c>
      <c r="O14">
        <f t="shared" si="3"/>
        <v>29</v>
      </c>
      <c r="P14">
        <f t="shared" si="4"/>
        <v>6</v>
      </c>
      <c r="Q14" s="10" t="s">
        <v>22</v>
      </c>
    </row>
    <row r="15" spans="1:17">
      <c r="A15" t="s">
        <v>426</v>
      </c>
      <c r="B15" s="10" t="s">
        <v>311</v>
      </c>
      <c r="C15">
        <v>100</v>
      </c>
      <c r="D15" s="28">
        <v>78.54523099512403</v>
      </c>
      <c r="E15" t="s">
        <v>24</v>
      </c>
      <c r="F15" s="27" t="str">
        <f t="shared" si="0"/>
        <v>400V UPS Feeder Cubicle</v>
      </c>
      <c r="G15" s="27" t="str" cm="1">
        <f t="array" ref="G15">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15" s="10"/>
      <c r="N15" s="10" t="s">
        <v>29</v>
      </c>
      <c r="O15">
        <f t="shared" si="3"/>
        <v>0</v>
      </c>
      <c r="P15">
        <f t="shared" si="4"/>
        <v>0</v>
      </c>
      <c r="Q15" s="10" t="s">
        <v>18</v>
      </c>
    </row>
    <row r="16" spans="1:17">
      <c r="A16" t="s">
        <v>428</v>
      </c>
      <c r="B16" s="10" t="s">
        <v>321</v>
      </c>
      <c r="C16">
        <v>100</v>
      </c>
      <c r="D16" s="28">
        <v>78.54523099512403</v>
      </c>
      <c r="E16" t="s">
        <v>24</v>
      </c>
      <c r="F16" s="27" t="str">
        <f t="shared" si="0"/>
        <v>400V UPS Feeder Cubicle</v>
      </c>
      <c r="G16" s="27" t="str" cm="1">
        <f t="array" ref="G16">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16" s="10"/>
      <c r="N16" s="10" t="s">
        <v>36</v>
      </c>
      <c r="O16">
        <f t="shared" si="3"/>
        <v>5</v>
      </c>
      <c r="P16">
        <f t="shared" si="4"/>
        <v>1</v>
      </c>
      <c r="Q16" s="10"/>
    </row>
    <row r="17" spans="1:21">
      <c r="A17" t="s">
        <v>430</v>
      </c>
      <c r="B17" s="10" t="s">
        <v>15</v>
      </c>
      <c r="C17">
        <v>15</v>
      </c>
      <c r="D17" s="28">
        <v>9.4502345852010343</v>
      </c>
      <c r="E17" t="s">
        <v>24</v>
      </c>
      <c r="F17" s="27" t="str">
        <f t="shared" si="0"/>
        <v>400V UPS Feeder Cubicle</v>
      </c>
      <c r="G17" s="27" t="str" cm="1">
        <f t="array" ref="G17">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7" s="10"/>
      <c r="N17" s="10" t="s">
        <v>41</v>
      </c>
      <c r="O17">
        <f t="shared" si="3"/>
        <v>9</v>
      </c>
      <c r="P17">
        <f t="shared" si="4"/>
        <v>2</v>
      </c>
      <c r="Q17" s="10"/>
    </row>
    <row r="18" spans="1:21">
      <c r="A18" t="s">
        <v>433</v>
      </c>
      <c r="B18" s="10" t="s">
        <v>311</v>
      </c>
      <c r="C18">
        <v>15</v>
      </c>
      <c r="D18" s="28">
        <v>9.4502345852010343</v>
      </c>
      <c r="E18" t="s">
        <v>24</v>
      </c>
      <c r="F18" s="27" t="str">
        <f t="shared" si="0"/>
        <v>400V UPS Feeder Cubicle</v>
      </c>
      <c r="G18" s="27" t="str" cm="1">
        <f t="array" ref="G18">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8" s="10"/>
      <c r="I18" s="10"/>
      <c r="N18" t="s">
        <v>43</v>
      </c>
      <c r="O18">
        <f t="shared" si="3"/>
        <v>11</v>
      </c>
      <c r="P18">
        <f t="shared" si="4"/>
        <v>3</v>
      </c>
      <c r="Q18" s="10"/>
    </row>
    <row r="19" spans="1:21">
      <c r="A19" t="s">
        <v>436</v>
      </c>
      <c r="B19" s="10" t="s">
        <v>321</v>
      </c>
      <c r="C19">
        <v>15</v>
      </c>
      <c r="D19" s="28">
        <v>9.4502345852010343</v>
      </c>
      <c r="E19" t="s">
        <v>24</v>
      </c>
      <c r="F19" s="27" t="str">
        <f t="shared" si="0"/>
        <v>400V UPS Feeder Cubicle</v>
      </c>
      <c r="G19" s="27" t="str" cm="1">
        <f t="array" ref="G19">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9" s="10"/>
      <c r="I19" s="10"/>
      <c r="Q19" s="10"/>
    </row>
    <row r="20" spans="1:21">
      <c r="A20" t="s">
        <v>439</v>
      </c>
      <c r="B20" s="10" t="s">
        <v>15</v>
      </c>
      <c r="C20">
        <v>80</v>
      </c>
      <c r="D20" s="28">
        <v>62.725932059271869</v>
      </c>
      <c r="E20" t="s">
        <v>24</v>
      </c>
      <c r="F20" s="27" t="str">
        <f t="shared" si="0"/>
        <v>400V UPS Feeder Cubicle</v>
      </c>
      <c r="G20" s="27" t="str" cm="1">
        <f t="array" ref="G20">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20" s="10"/>
      <c r="I20" s="10"/>
    </row>
    <row r="21" spans="1:21">
      <c r="A21" t="s">
        <v>443</v>
      </c>
      <c r="B21" s="10" t="s">
        <v>311</v>
      </c>
      <c r="C21">
        <v>80</v>
      </c>
      <c r="D21" s="28">
        <v>62.725932059271869</v>
      </c>
      <c r="E21" t="s">
        <v>24</v>
      </c>
      <c r="F21" s="27" t="str">
        <f t="shared" si="0"/>
        <v>400V UPS Feeder Cubicle</v>
      </c>
      <c r="G21" s="27" t="str" cm="1">
        <f t="array" ref="G21">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21" s="10"/>
      <c r="I21" s="10"/>
      <c r="O21">
        <f>SUM(O3:O19)</f>
        <v>158</v>
      </c>
      <c r="P21">
        <f>SUM(P3:P19)</f>
        <v>44</v>
      </c>
    </row>
    <row r="22" spans="1:21">
      <c r="A22" t="s">
        <v>446</v>
      </c>
      <c r="B22" s="10" t="s">
        <v>321</v>
      </c>
      <c r="C22">
        <v>80</v>
      </c>
      <c r="D22" s="28">
        <v>62.725932059271869</v>
      </c>
      <c r="E22" t="s">
        <v>24</v>
      </c>
      <c r="F22" s="27" t="str">
        <f t="shared" si="0"/>
        <v>400V UPS Feeder Cubicle</v>
      </c>
      <c r="G22" s="27" t="str" cm="1">
        <f t="array" ref="G22">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22" s="10"/>
      <c r="I22" s="10"/>
    </row>
    <row r="23" spans="1:21">
      <c r="A23" t="s">
        <v>449</v>
      </c>
      <c r="B23" s="10" t="s">
        <v>15</v>
      </c>
      <c r="C23">
        <v>100</v>
      </c>
      <c r="D23" s="28">
        <v>70.256587744353951</v>
      </c>
      <c r="E23" t="s">
        <v>24</v>
      </c>
      <c r="F23" s="27" t="str">
        <f t="shared" si="0"/>
        <v>400V UPS Feeder Cubicle</v>
      </c>
      <c r="G23" s="27" t="str" cm="1">
        <f t="array" ref="G23">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23" s="10"/>
      <c r="I23" s="10"/>
      <c r="U23" s="10"/>
    </row>
    <row r="24" spans="1:21">
      <c r="A24" t="s">
        <v>453</v>
      </c>
      <c r="B24" s="10" t="s">
        <v>311</v>
      </c>
      <c r="C24">
        <v>100</v>
      </c>
      <c r="D24" s="28">
        <v>70.256587744353951</v>
      </c>
      <c r="E24" t="s">
        <v>24</v>
      </c>
      <c r="F24" s="27" t="str">
        <f t="shared" si="0"/>
        <v>400V UPS Feeder Cubicle</v>
      </c>
      <c r="G24" s="27" t="str" cm="1">
        <f t="array" ref="G24">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24" s="10"/>
      <c r="I24" s="10"/>
    </row>
    <row r="25" spans="1:21">
      <c r="A25" t="s">
        <v>456</v>
      </c>
      <c r="B25" s="10" t="s">
        <v>321</v>
      </c>
      <c r="C25">
        <v>100</v>
      </c>
      <c r="D25" s="28">
        <v>70.256587744353951</v>
      </c>
      <c r="E25" t="s">
        <v>24</v>
      </c>
      <c r="F25" s="27" t="str">
        <f t="shared" si="0"/>
        <v>400V UPS Feeder Cubicle</v>
      </c>
      <c r="G25" s="27" t="str" cm="1">
        <f t="array" ref="G25">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25" s="10"/>
      <c r="I25" s="10"/>
      <c r="P25" s="10" t="s">
        <v>12</v>
      </c>
      <c r="Q25" s="10" t="s">
        <v>2514</v>
      </c>
    </row>
    <row r="26" spans="1:21">
      <c r="A26" t="s">
        <v>459</v>
      </c>
      <c r="B26" s="10" t="s">
        <v>15</v>
      </c>
      <c r="C26">
        <v>100</v>
      </c>
      <c r="D26" s="28">
        <v>97.524452120402756</v>
      </c>
      <c r="E26" t="s">
        <v>24</v>
      </c>
      <c r="F26" s="27" t="str">
        <f t="shared" si="0"/>
        <v>400V UPS Feeder Cubicle</v>
      </c>
      <c r="G26" s="27" t="str" cm="1">
        <f t="array" ref="G26">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26" s="10"/>
      <c r="I26" s="10"/>
      <c r="M26" s="29" t="s">
        <v>16</v>
      </c>
      <c r="N26" s="29" t="s">
        <v>17</v>
      </c>
      <c r="O26" s="29" t="s">
        <v>32</v>
      </c>
      <c r="P26">
        <f>COUNTIFS($E$2:$E$80,M26,$F$2:$F$80,N26,$G$2:$G$80,O26)</f>
        <v>2</v>
      </c>
      <c r="Q26">
        <f>ROUNDUP(P26*0.3,0)</f>
        <v>1</v>
      </c>
      <c r="R26">
        <f>P26+Q26</f>
        <v>3</v>
      </c>
      <c r="S26" t="str">
        <f>CONCATENATE(N26," (",M26,")",": ",R26," EACH")</f>
        <v>400V DOL Motor Starter Cubicle (M-B1): 3 EACH</v>
      </c>
    </row>
    <row r="27" spans="1:21">
      <c r="A27" t="s">
        <v>463</v>
      </c>
      <c r="B27" s="10" t="s">
        <v>311</v>
      </c>
      <c r="C27">
        <v>100</v>
      </c>
      <c r="D27" s="28">
        <v>97.524452120402756</v>
      </c>
      <c r="E27" t="s">
        <v>24</v>
      </c>
      <c r="F27" s="27" t="str">
        <f t="shared" si="0"/>
        <v>400V UPS Feeder Cubicle</v>
      </c>
      <c r="G27" s="27" t="str" cm="1">
        <f t="array" ref="G27">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27" s="10"/>
      <c r="M27" t="s">
        <v>20</v>
      </c>
      <c r="N27" t="s">
        <v>21</v>
      </c>
      <c r="O27" t="s">
        <v>288</v>
      </c>
      <c r="P27">
        <f t="shared" ref="P27:P38" si="5">COUNTIFS($E$2:$E$80,M27,$F$2:$F$80,N27,$G$2:$G$80,O27)</f>
        <v>4</v>
      </c>
      <c r="Q27">
        <f t="shared" ref="Q27:Q38" si="6">ROUNDUP(P27*0.3,0)</f>
        <v>2</v>
      </c>
      <c r="R27">
        <f t="shared" ref="R27:R38" si="7">P27+Q27</f>
        <v>6</v>
      </c>
      <c r="S27" t="str">
        <f t="shared" ref="S27:S37" si="8">CONCATENATE(N27,": ",R27," EACH")</f>
        <v>400V MCCB Feeder Cubicle (I &lt; 160A, per Dwg LV4): 6 EACH</v>
      </c>
    </row>
    <row r="28" spans="1:21">
      <c r="A28" t="s">
        <v>466</v>
      </c>
      <c r="B28" s="10" t="s">
        <v>321</v>
      </c>
      <c r="C28">
        <v>100</v>
      </c>
      <c r="D28" s="28">
        <v>97.524452120402756</v>
      </c>
      <c r="E28" t="s">
        <v>24</v>
      </c>
      <c r="F28" s="27" t="str">
        <f t="shared" si="0"/>
        <v>400V UPS Feeder Cubicle</v>
      </c>
      <c r="G28" s="27" t="str" cm="1">
        <f t="array" ref="G28">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28" s="10"/>
      <c r="M28" t="s">
        <v>24</v>
      </c>
      <c r="N28" t="s">
        <v>25</v>
      </c>
      <c r="O28" t="s">
        <v>288</v>
      </c>
      <c r="P28">
        <f t="shared" si="5"/>
        <v>14</v>
      </c>
      <c r="Q28">
        <f t="shared" si="6"/>
        <v>5</v>
      </c>
      <c r="R28">
        <f t="shared" si="7"/>
        <v>19</v>
      </c>
      <c r="S28" t="str">
        <f t="shared" si="8"/>
        <v>400V UPS Feeder Cubicle: 19 EACH</v>
      </c>
    </row>
    <row r="29" spans="1:21">
      <c r="A29" t="s">
        <v>477</v>
      </c>
      <c r="B29" s="10" t="s">
        <v>15</v>
      </c>
      <c r="C29">
        <v>20</v>
      </c>
      <c r="D29" s="28">
        <v>11.783261248422543</v>
      </c>
      <c r="E29" t="s">
        <v>24</v>
      </c>
      <c r="F29" s="27" t="str">
        <f t="shared" si="0"/>
        <v>400V UPS Feeder Cubicle</v>
      </c>
      <c r="G29" s="27" t="str" cm="1">
        <f t="array" ref="G29">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29" s="10"/>
      <c r="M29" t="s">
        <v>24</v>
      </c>
      <c r="N29" t="s">
        <v>25</v>
      </c>
      <c r="O29" t="s">
        <v>22</v>
      </c>
      <c r="P29">
        <f t="shared" si="5"/>
        <v>15</v>
      </c>
      <c r="Q29">
        <f t="shared" si="6"/>
        <v>5</v>
      </c>
      <c r="R29">
        <f t="shared" si="7"/>
        <v>20</v>
      </c>
      <c r="S29" t="str">
        <f t="shared" si="8"/>
        <v>400V UPS Feeder Cubicle: 20 EACH</v>
      </c>
    </row>
    <row r="30" spans="1:21">
      <c r="A30" t="s">
        <v>480</v>
      </c>
      <c r="B30" s="10" t="s">
        <v>311</v>
      </c>
      <c r="C30">
        <v>20</v>
      </c>
      <c r="D30" s="28">
        <v>11.783261248422543</v>
      </c>
      <c r="E30" t="s">
        <v>24</v>
      </c>
      <c r="F30" s="27" t="str">
        <f t="shared" si="0"/>
        <v>400V UPS Feeder Cubicle</v>
      </c>
      <c r="G30" s="27" t="str" cm="1">
        <f t="array" ref="G30">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30" s="10"/>
      <c r="M30" t="s">
        <v>20</v>
      </c>
      <c r="N30" t="s">
        <v>2515</v>
      </c>
      <c r="O30" t="s">
        <v>2516</v>
      </c>
      <c r="P30">
        <f t="shared" si="5"/>
        <v>8</v>
      </c>
      <c r="Q30" s="34">
        <v>1</v>
      </c>
      <c r="R30">
        <f t="shared" si="7"/>
        <v>9</v>
      </c>
      <c r="S30" t="str">
        <f>CONCATENATE(N30," (",M30,")",": ",R30," EACH")</f>
        <v>400V Air Circuit Breaker(ACB) Feeder Cubicle (per Dwg LV1) (F): 9 EACH</v>
      </c>
    </row>
    <row r="31" spans="1:21">
      <c r="A31" t="s">
        <v>483</v>
      </c>
      <c r="B31" s="10" t="s">
        <v>321</v>
      </c>
      <c r="C31">
        <v>20</v>
      </c>
      <c r="D31" s="28">
        <v>11.783261248422543</v>
      </c>
      <c r="E31" t="s">
        <v>24</v>
      </c>
      <c r="F31" s="27" t="str">
        <f t="shared" si="0"/>
        <v>400V UPS Feeder Cubicle</v>
      </c>
      <c r="G31" s="27" t="str" cm="1">
        <f t="array" ref="G31">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31" s="10"/>
      <c r="M31" t="s">
        <v>36</v>
      </c>
      <c r="N31" t="s">
        <v>37</v>
      </c>
      <c r="O31" t="s">
        <v>22</v>
      </c>
      <c r="P31">
        <f t="shared" si="5"/>
        <v>5</v>
      </c>
      <c r="Q31">
        <f t="shared" si="6"/>
        <v>2</v>
      </c>
      <c r="R31">
        <f t="shared" si="7"/>
        <v>7</v>
      </c>
      <c r="S31" t="str">
        <f t="shared" si="8"/>
        <v>400V SCR-Controlled Heater Feeder Cubicle (per Dwg LV8): 7 EACH</v>
      </c>
    </row>
    <row r="32" spans="1:21">
      <c r="A32" t="s">
        <v>486</v>
      </c>
      <c r="B32" s="10" t="s">
        <v>15</v>
      </c>
      <c r="C32">
        <v>60</v>
      </c>
      <c r="D32" s="28">
        <v>41.325088321535361</v>
      </c>
      <c r="E32" t="s">
        <v>24</v>
      </c>
      <c r="F32" s="27" t="str">
        <f t="shared" si="0"/>
        <v>400V UPS Feeder Cubicle</v>
      </c>
      <c r="G32" s="27" t="str" cm="1">
        <f t="array" ref="G32">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32" s="10"/>
      <c r="M32" t="s">
        <v>43</v>
      </c>
      <c r="N32" t="s">
        <v>44</v>
      </c>
      <c r="O32" t="s">
        <v>288</v>
      </c>
      <c r="P32">
        <f t="shared" si="5"/>
        <v>10</v>
      </c>
      <c r="Q32">
        <f t="shared" si="6"/>
        <v>3</v>
      </c>
      <c r="R32">
        <f t="shared" si="7"/>
        <v>13</v>
      </c>
      <c r="S32" t="str">
        <f t="shared" si="8"/>
        <v>400V 3Ph+N+PE Feeder Cubicle (per Dwg LV5): 13 EACH</v>
      </c>
    </row>
    <row r="33" spans="1:19">
      <c r="A33" t="s">
        <v>491</v>
      </c>
      <c r="B33" s="10" t="s">
        <v>311</v>
      </c>
      <c r="C33">
        <v>60</v>
      </c>
      <c r="D33" s="28">
        <v>41.325088321535361</v>
      </c>
      <c r="E33" s="10" t="s">
        <v>24</v>
      </c>
      <c r="F33" s="27" t="str">
        <f t="shared" si="0"/>
        <v>400V UPS Feeder Cubicle</v>
      </c>
      <c r="G33" s="27" t="str" cm="1">
        <f t="array" ref="G33">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33" s="10"/>
      <c r="I33" s="10"/>
      <c r="M33" t="s">
        <v>20</v>
      </c>
      <c r="N33" t="s">
        <v>21</v>
      </c>
      <c r="O33" t="s">
        <v>22</v>
      </c>
      <c r="P33">
        <f t="shared" si="5"/>
        <v>1</v>
      </c>
      <c r="Q33">
        <f t="shared" si="6"/>
        <v>1</v>
      </c>
      <c r="R33">
        <f t="shared" si="7"/>
        <v>2</v>
      </c>
      <c r="S33" t="str">
        <f t="shared" si="8"/>
        <v>400V MCCB Feeder Cubicle (I &lt; 160A, per Dwg LV4): 2 EACH</v>
      </c>
    </row>
    <row r="34" spans="1:19">
      <c r="A34" t="s">
        <v>494</v>
      </c>
      <c r="B34" s="10" t="s">
        <v>321</v>
      </c>
      <c r="C34">
        <v>60</v>
      </c>
      <c r="D34" s="28">
        <v>41.325088321535361</v>
      </c>
      <c r="E34" s="10" t="s">
        <v>24</v>
      </c>
      <c r="F34" s="27" t="str">
        <f t="shared" si="0"/>
        <v>400V UPS Feeder Cubicle</v>
      </c>
      <c r="G34" s="27" t="str" cm="1">
        <f t="array" ref="G34">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34" s="10"/>
      <c r="I34" s="10"/>
      <c r="M34" t="s">
        <v>43</v>
      </c>
      <c r="N34" t="s">
        <v>44</v>
      </c>
      <c r="O34" t="s">
        <v>2516</v>
      </c>
      <c r="P34">
        <f t="shared" si="5"/>
        <v>1</v>
      </c>
      <c r="Q34" s="34">
        <v>0</v>
      </c>
      <c r="R34">
        <f t="shared" si="7"/>
        <v>1</v>
      </c>
      <c r="S34" t="str">
        <f t="shared" si="8"/>
        <v>400V 3Ph+N+PE Feeder Cubicle (per Dwg LV5): 1 EACH</v>
      </c>
    </row>
    <row r="35" spans="1:19">
      <c r="A35" t="s">
        <v>1013</v>
      </c>
      <c r="B35" s="10" t="s">
        <v>311</v>
      </c>
      <c r="C35">
        <v>630</v>
      </c>
      <c r="D35" s="28">
        <v>1000</v>
      </c>
      <c r="E35" s="93" t="s">
        <v>20</v>
      </c>
      <c r="F35" s="27" t="str">
        <f t="shared" si="0"/>
        <v>400V Air Circuit Breaker(ACB) Feeder Cubicle (per Dwg LV1)</v>
      </c>
      <c r="G35" s="27" t="str" cm="1">
        <f t="array" ref="G35">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72E</v>
      </c>
      <c r="H35" s="10"/>
      <c r="I35" s="10"/>
      <c r="M35" t="s">
        <v>20</v>
      </c>
      <c r="N35" t="s">
        <v>31</v>
      </c>
      <c r="O35" t="s">
        <v>22</v>
      </c>
      <c r="P35">
        <f t="shared" si="5"/>
        <v>3</v>
      </c>
      <c r="Q35">
        <f t="shared" si="6"/>
        <v>1</v>
      </c>
      <c r="R35">
        <f t="shared" si="7"/>
        <v>4</v>
      </c>
      <c r="S35" t="str">
        <f>CONCATENATE(N35," (",M35,")",": ",R35," EACH")</f>
        <v>400V MCCB Feeder Cubicle (I &gt; 160A, per Dwg LV3) (F): 4 EACH</v>
      </c>
    </row>
    <row r="36" spans="1:19">
      <c r="A36" t="s">
        <v>1016</v>
      </c>
      <c r="B36" s="10" t="s">
        <v>15</v>
      </c>
      <c r="C36">
        <v>630</v>
      </c>
      <c r="D36" s="28">
        <v>1000</v>
      </c>
      <c r="E36" s="93" t="s">
        <v>20</v>
      </c>
      <c r="F36" s="27" t="str">
        <f t="shared" si="0"/>
        <v>400V Air Circuit Breaker(ACB) Feeder Cubicle (per Dwg LV1)</v>
      </c>
      <c r="G36" s="27" t="str" cm="1">
        <f t="array" ref="G36">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72E</v>
      </c>
      <c r="H36" s="10"/>
      <c r="I36" s="10"/>
      <c r="M36" t="s">
        <v>16</v>
      </c>
      <c r="N36" t="s">
        <v>17</v>
      </c>
      <c r="O36" t="s">
        <v>22</v>
      </c>
      <c r="P36">
        <f t="shared" si="5"/>
        <v>7</v>
      </c>
      <c r="Q36">
        <f t="shared" si="6"/>
        <v>3</v>
      </c>
      <c r="R36">
        <f t="shared" si="7"/>
        <v>10</v>
      </c>
      <c r="S36" t="str">
        <f>CONCATENATE(N36," (",M36,")",": ",R36," EACH")</f>
        <v>400V DOL Motor Starter Cubicle (M-B1): 10 EACH</v>
      </c>
    </row>
    <row r="37" spans="1:19">
      <c r="A37" t="s">
        <v>1018</v>
      </c>
      <c r="B37" s="10" t="s">
        <v>311</v>
      </c>
      <c r="C37">
        <v>400</v>
      </c>
      <c r="D37" s="28">
        <v>630</v>
      </c>
      <c r="E37" s="93" t="s">
        <v>20</v>
      </c>
      <c r="F37" s="27" t="str">
        <f t="shared" si="0"/>
        <v>400V Air Circuit Breaker(ACB) Feeder Cubicle (per Dwg LV1)</v>
      </c>
      <c r="G37" s="27" t="str" cm="1">
        <f t="array" ref="G37">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72E</v>
      </c>
      <c r="H37" s="10"/>
      <c r="I37" s="10"/>
      <c r="M37" t="s">
        <v>41</v>
      </c>
      <c r="N37" t="s">
        <v>17</v>
      </c>
      <c r="O37" t="s">
        <v>288</v>
      </c>
      <c r="P37">
        <f t="shared" si="5"/>
        <v>8</v>
      </c>
      <c r="Q37">
        <f t="shared" si="6"/>
        <v>3</v>
      </c>
      <c r="R37">
        <f t="shared" si="7"/>
        <v>11</v>
      </c>
      <c r="S37" t="str">
        <f t="shared" si="8"/>
        <v>400V DOL Motor Starter Cubicle: 11 EACH</v>
      </c>
    </row>
    <row r="38" spans="1:19">
      <c r="A38" t="s">
        <v>1020</v>
      </c>
      <c r="B38" s="10" t="s">
        <v>15</v>
      </c>
      <c r="C38">
        <v>400</v>
      </c>
      <c r="D38" s="28">
        <v>630</v>
      </c>
      <c r="E38" s="93" t="s">
        <v>20</v>
      </c>
      <c r="F38" s="27" t="str">
        <f t="shared" si="0"/>
        <v>400V Air Circuit Breaker(ACB) Feeder Cubicle (per Dwg LV1)</v>
      </c>
      <c r="G38" s="27" t="str" cm="1">
        <f t="array" ref="G38">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72E</v>
      </c>
      <c r="H38" s="10"/>
      <c r="I38" s="10"/>
      <c r="M38" t="s">
        <v>41</v>
      </c>
      <c r="N38" t="s">
        <v>17</v>
      </c>
      <c r="O38" t="s">
        <v>22</v>
      </c>
      <c r="P38">
        <f t="shared" si="5"/>
        <v>1</v>
      </c>
      <c r="Q38">
        <f t="shared" si="6"/>
        <v>1</v>
      </c>
      <c r="R38">
        <f t="shared" si="7"/>
        <v>2</v>
      </c>
    </row>
    <row r="39" spans="1:19">
      <c r="A39" t="s">
        <v>1022</v>
      </c>
      <c r="B39" s="10" t="s">
        <v>311</v>
      </c>
      <c r="C39">
        <v>400</v>
      </c>
      <c r="D39" s="28">
        <v>630</v>
      </c>
      <c r="E39" s="93" t="s">
        <v>20</v>
      </c>
      <c r="F39" s="27" t="str">
        <f t="shared" si="0"/>
        <v>400V Air Circuit Breaker(ACB) Feeder Cubicle (per Dwg LV1)</v>
      </c>
      <c r="G39" s="27" t="str" cm="1">
        <f t="array" ref="G39">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72E</v>
      </c>
      <c r="H39" s="10"/>
      <c r="I39" s="10"/>
    </row>
    <row r="40" spans="1:19">
      <c r="A40" t="s">
        <v>1024</v>
      </c>
      <c r="B40" s="10" t="s">
        <v>15</v>
      </c>
      <c r="C40">
        <v>400</v>
      </c>
      <c r="D40" s="28">
        <v>630</v>
      </c>
      <c r="E40" s="93" t="s">
        <v>20</v>
      </c>
      <c r="F40" s="27" t="str">
        <f t="shared" si="0"/>
        <v>400V Air Circuit Breaker(ACB) Feeder Cubicle (per Dwg LV1)</v>
      </c>
      <c r="G40" s="27" t="str" cm="1">
        <f t="array" ref="G40">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72E</v>
      </c>
      <c r="H40" s="10"/>
      <c r="I40" s="10"/>
      <c r="M40" s="84" t="s">
        <v>2517</v>
      </c>
    </row>
    <row r="41" spans="1:19">
      <c r="A41" t="s">
        <v>1026</v>
      </c>
      <c r="B41" s="10" t="s">
        <v>311</v>
      </c>
      <c r="C41">
        <v>400</v>
      </c>
      <c r="D41" s="28">
        <v>630</v>
      </c>
      <c r="E41" s="93" t="s">
        <v>20</v>
      </c>
      <c r="F41" s="27" t="str">
        <f t="shared" si="0"/>
        <v>400V Air Circuit Breaker(ACB) Feeder Cubicle (per Dwg LV1)</v>
      </c>
      <c r="G41" s="27" t="str" cm="1">
        <f t="array" ref="G41">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72E</v>
      </c>
      <c r="I41" s="10"/>
      <c r="M41" s="84">
        <f>SUM(_70IK610001[Heat Dissipation])+3*2250</f>
        <v>6750</v>
      </c>
    </row>
    <row r="42" spans="1:19">
      <c r="A42" t="s">
        <v>1028</v>
      </c>
      <c r="B42" s="10" t="s">
        <v>15</v>
      </c>
      <c r="C42">
        <v>400</v>
      </c>
      <c r="D42" s="28">
        <v>630</v>
      </c>
      <c r="E42" s="93" t="s">
        <v>20</v>
      </c>
      <c r="F42" s="27" t="str">
        <f t="shared" si="0"/>
        <v>400V Air Circuit Breaker(ACB) Feeder Cubicle (per Dwg LV1)</v>
      </c>
      <c r="G42" s="27" t="str" cm="1">
        <f t="array" ref="G42">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72E</v>
      </c>
      <c r="H42" s="10"/>
      <c r="I42" s="10"/>
    </row>
    <row r="43" spans="1:19">
      <c r="A43" t="s">
        <v>591</v>
      </c>
      <c r="B43" s="10" t="s">
        <v>15</v>
      </c>
      <c r="C43">
        <v>450</v>
      </c>
      <c r="D43" s="28">
        <v>227.59314959359165</v>
      </c>
      <c r="E43" s="10" t="s">
        <v>36</v>
      </c>
      <c r="F43" s="27" t="str">
        <f t="shared" si="0"/>
        <v>400V SCR-Controlled Heater Feeder Cubicle (per Dwg LV8)</v>
      </c>
      <c r="G43" s="27" t="str" cm="1">
        <f t="array" ref="G43">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43" s="10"/>
    </row>
    <row r="44" spans="1:19">
      <c r="A44" t="s">
        <v>596</v>
      </c>
      <c r="B44" s="10" t="s">
        <v>311</v>
      </c>
      <c r="C44">
        <v>450</v>
      </c>
      <c r="D44" s="28">
        <v>227.59314959359165</v>
      </c>
      <c r="E44" s="10" t="s">
        <v>36</v>
      </c>
      <c r="F44" s="27" t="str">
        <f t="shared" si="0"/>
        <v>400V SCR-Controlled Heater Feeder Cubicle (per Dwg LV8)</v>
      </c>
      <c r="G44" s="27" t="str" cm="1">
        <f t="array" ref="G44">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44" s="10"/>
    </row>
    <row r="45" spans="1:19">
      <c r="A45" t="s">
        <v>619</v>
      </c>
      <c r="B45" s="10" t="s">
        <v>311</v>
      </c>
      <c r="C45">
        <v>320</v>
      </c>
      <c r="D45" s="28">
        <v>222.57271247020361</v>
      </c>
      <c r="E45" s="10" t="s">
        <v>36</v>
      </c>
      <c r="F45" s="27" t="str">
        <f t="shared" si="0"/>
        <v>400V SCR-Controlled Heater Feeder Cubicle (per Dwg LV8)</v>
      </c>
      <c r="G45" s="27" t="str" cm="1">
        <f t="array" ref="G45">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45" s="10"/>
      <c r="I45" s="10"/>
    </row>
    <row r="46" spans="1:19">
      <c r="A46" t="s">
        <v>1031</v>
      </c>
      <c r="B46" s="10" t="s">
        <v>311</v>
      </c>
      <c r="C46">
        <v>5</v>
      </c>
      <c r="D46" s="28">
        <v>3.4946179976524663</v>
      </c>
      <c r="E46" s="10" t="s">
        <v>43</v>
      </c>
      <c r="F46" s="27" t="str">
        <f t="shared" si="0"/>
        <v>400V 3Ph+N+PE Feeder Cubicle (per Dwg LV5)</v>
      </c>
      <c r="G46" s="27" t="str" cm="1">
        <f t="array" ref="G46">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46" s="10"/>
      <c r="I46" s="10"/>
    </row>
    <row r="47" spans="1:19">
      <c r="A47" s="9" t="s">
        <v>1033</v>
      </c>
      <c r="B47" s="10" t="s">
        <v>311</v>
      </c>
      <c r="C47">
        <v>5</v>
      </c>
      <c r="D47" s="28">
        <v>3.4946179976524663</v>
      </c>
      <c r="E47" s="10" t="s">
        <v>43</v>
      </c>
      <c r="F47" s="27" t="str">
        <f t="shared" si="0"/>
        <v>400V 3Ph+N+PE Feeder Cubicle (per Dwg LV5)</v>
      </c>
      <c r="G47" s="27" t="str" cm="1">
        <f t="array" ref="G47">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47" s="10"/>
      <c r="I47" s="10"/>
    </row>
    <row r="48" spans="1:19">
      <c r="A48" t="s">
        <v>1035</v>
      </c>
      <c r="B48" s="10" t="s">
        <v>311</v>
      </c>
      <c r="C48">
        <v>15</v>
      </c>
      <c r="D48" s="28">
        <v>12.797192667459736</v>
      </c>
      <c r="E48" t="s">
        <v>43</v>
      </c>
      <c r="F48" s="27" t="str">
        <f t="shared" si="0"/>
        <v>400V 3Ph+N+PE Feeder Cubicle (per Dwg LV5)</v>
      </c>
      <c r="G48" s="27" t="str" cm="1">
        <f t="array" ref="G48">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48" s="10"/>
    </row>
    <row r="49" spans="1:8">
      <c r="A49" t="s">
        <v>1037</v>
      </c>
      <c r="B49" s="10" t="s">
        <v>311</v>
      </c>
      <c r="C49">
        <v>15</v>
      </c>
      <c r="D49" s="28">
        <v>11.222153569926229</v>
      </c>
      <c r="E49" t="s">
        <v>43</v>
      </c>
      <c r="F49" s="27" t="str">
        <f t="shared" si="0"/>
        <v>400V 3Ph+N+PE Feeder Cubicle (per Dwg LV5)</v>
      </c>
      <c r="G49" s="27" t="str" cm="1">
        <f t="array" ref="G49">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49" s="10"/>
    </row>
    <row r="50" spans="1:8">
      <c r="A50" t="s">
        <v>1039</v>
      </c>
      <c r="B50" s="10" t="s">
        <v>311</v>
      </c>
      <c r="C50">
        <v>30</v>
      </c>
      <c r="D50" s="28">
        <v>23.625586463002588</v>
      </c>
      <c r="E50" t="s">
        <v>43</v>
      </c>
      <c r="F50" s="27" t="str">
        <f t="shared" si="0"/>
        <v>400V 3Ph+N+PE Feeder Cubicle (per Dwg LV5)</v>
      </c>
      <c r="G50" s="27" t="str" cm="1">
        <f t="array" ref="G50">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50" s="10"/>
    </row>
    <row r="51" spans="1:8">
      <c r="A51" t="s">
        <v>1041</v>
      </c>
      <c r="B51" s="10" t="s">
        <v>311</v>
      </c>
      <c r="C51">
        <v>15</v>
      </c>
      <c r="D51" s="28">
        <v>14.765991539376618</v>
      </c>
      <c r="E51" t="s">
        <v>43</v>
      </c>
      <c r="F51" s="27" t="str">
        <f t="shared" si="0"/>
        <v>400V 3Ph+N+PE Feeder Cubicle (per Dwg LV5)</v>
      </c>
      <c r="G51" s="27" t="str" cm="1">
        <f t="array" ref="G51">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51" s="10"/>
    </row>
    <row r="52" spans="1:8">
      <c r="A52" t="s">
        <v>1043</v>
      </c>
      <c r="B52" s="10" t="s">
        <v>311</v>
      </c>
      <c r="C52">
        <v>15</v>
      </c>
      <c r="D52" s="28">
        <v>13.880032047014021</v>
      </c>
      <c r="E52" t="s">
        <v>43</v>
      </c>
      <c r="F52" s="27" t="str">
        <f t="shared" si="0"/>
        <v>400V 3Ph+N+PE Feeder Cubicle (per Dwg LV5)</v>
      </c>
      <c r="G52" s="27" t="str" cm="1">
        <f t="array" ref="G52">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52" s="10"/>
    </row>
    <row r="53" spans="1:8">
      <c r="A53" t="s">
        <v>1045</v>
      </c>
      <c r="B53" s="10" t="s">
        <v>311</v>
      </c>
      <c r="C53">
        <v>32</v>
      </c>
      <c r="D53" s="28">
        <v>26.578784770877913</v>
      </c>
      <c r="E53" t="s">
        <v>43</v>
      </c>
      <c r="F53" s="27" t="str">
        <f t="shared" si="0"/>
        <v>400V 3Ph+N+PE Feeder Cubicle (per Dwg LV5)</v>
      </c>
      <c r="G53" s="27" t="str" cm="1">
        <f t="array" ref="G53">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53" s="10"/>
    </row>
    <row r="54" spans="1:8">
      <c r="A54" t="s">
        <v>1047</v>
      </c>
      <c r="B54" s="10" t="s">
        <v>311</v>
      </c>
      <c r="C54">
        <v>32</v>
      </c>
      <c r="D54" s="28">
        <v>26.578784770877913</v>
      </c>
      <c r="E54" t="s">
        <v>43</v>
      </c>
      <c r="F54" s="27" t="str">
        <f t="shared" si="0"/>
        <v>400V 3Ph+N+PE Feeder Cubicle (per Dwg LV5)</v>
      </c>
      <c r="G54" s="27" t="str" cm="1">
        <f t="array" ref="G54">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54" s="10"/>
    </row>
    <row r="55" spans="1:8">
      <c r="A55" t="s">
        <v>1049</v>
      </c>
      <c r="B55" s="10" t="s">
        <v>311</v>
      </c>
      <c r="C55">
        <v>32</v>
      </c>
      <c r="D55" s="28">
        <v>26.578784770877913</v>
      </c>
      <c r="E55" t="s">
        <v>43</v>
      </c>
      <c r="F55" s="27" t="str">
        <f t="shared" si="0"/>
        <v>400V 3Ph+N+PE Feeder Cubicle (per Dwg LV5)</v>
      </c>
      <c r="G55" s="27" t="str" cm="1">
        <f t="array" ref="G55">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55" s="10"/>
    </row>
    <row r="56" spans="1:8">
      <c r="A56" t="s">
        <v>1051</v>
      </c>
      <c r="B56" s="10" t="s">
        <v>311</v>
      </c>
      <c r="C56">
        <v>32</v>
      </c>
      <c r="D56" s="28">
        <v>22.148987309064928</v>
      </c>
      <c r="E56" t="s">
        <v>20</v>
      </c>
      <c r="F56" s="27" t="str">
        <f t="shared" si="0"/>
        <v>400V MCCB Feeder Cubicle (I &lt; 160A, per Dwg LV4)</v>
      </c>
      <c r="G56" s="27" t="str" cm="1">
        <f t="array" ref="G56">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56" s="10"/>
    </row>
    <row r="57" spans="1:8">
      <c r="A57" t="s">
        <v>1053</v>
      </c>
      <c r="B57" s="10" t="s">
        <v>311</v>
      </c>
      <c r="C57">
        <v>32</v>
      </c>
      <c r="D57" s="28">
        <v>19.195789001189603</v>
      </c>
      <c r="E57" t="s">
        <v>20</v>
      </c>
      <c r="F57" s="27" t="str">
        <f t="shared" si="0"/>
        <v>400V MCCB Feeder Cubicle (I &lt; 160A, per Dwg LV4)</v>
      </c>
      <c r="G57" s="27" t="str" cm="1">
        <f t="array" ref="G57">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57" s="10"/>
    </row>
    <row r="58" spans="1:8">
      <c r="A58" t="s">
        <v>1055</v>
      </c>
      <c r="B58" s="10" t="s">
        <v>311</v>
      </c>
      <c r="C58">
        <v>85</v>
      </c>
      <c r="D58" s="28">
        <v>50.204371233880508</v>
      </c>
      <c r="E58" s="10" t="s">
        <v>20</v>
      </c>
      <c r="F58" s="27" t="str">
        <f t="shared" si="0"/>
        <v>400V MCCB Feeder Cubicle (I &lt; 160A, per Dwg LV4)</v>
      </c>
      <c r="G58" s="27" t="str" cm="1">
        <f t="array" ref="G58">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58" s="10"/>
    </row>
    <row r="59" spans="1:8">
      <c r="A59" t="s">
        <v>1057</v>
      </c>
      <c r="B59" s="10" t="s">
        <v>311</v>
      </c>
      <c r="C59">
        <v>400</v>
      </c>
      <c r="D59" s="28">
        <v>630</v>
      </c>
      <c r="E59" t="s">
        <v>43</v>
      </c>
      <c r="F59" s="27" t="str">
        <f t="shared" si="0"/>
        <v>400V 3Ph+N+PE Feeder Cubicle (per Dwg LV5)</v>
      </c>
      <c r="G59" s="27" t="str" cm="1">
        <f t="array" ref="G59">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72E</v>
      </c>
      <c r="H59" s="10"/>
    </row>
    <row r="60" spans="1:8">
      <c r="A60" t="s">
        <v>1059</v>
      </c>
      <c r="B60" s="10" t="s">
        <v>311</v>
      </c>
      <c r="C60">
        <v>400</v>
      </c>
      <c r="D60" s="28">
        <v>374.07178566420765</v>
      </c>
      <c r="E60" s="93" t="s">
        <v>20</v>
      </c>
      <c r="F60" s="27" t="str">
        <f t="shared" si="0"/>
        <v>400V MCCB Feeder Cubicle (I &gt; 160A, per Dwg LV3)</v>
      </c>
      <c r="G60" s="27" t="str" cm="1">
        <f t="array" ref="G60">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60" s="10"/>
    </row>
    <row r="61" spans="1:8">
      <c r="A61" t="s">
        <v>1062</v>
      </c>
      <c r="B61" s="10" t="s">
        <v>15</v>
      </c>
      <c r="C61">
        <v>400</v>
      </c>
      <c r="D61" s="28">
        <v>374.07178566420765</v>
      </c>
      <c r="E61" s="93" t="s">
        <v>20</v>
      </c>
      <c r="F61" s="27" t="str">
        <f t="shared" si="0"/>
        <v>400V MCCB Feeder Cubicle (I &gt; 160A, per Dwg LV3)</v>
      </c>
      <c r="G61" s="27" t="str" cm="1">
        <f t="array" ref="G61">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61" s="10"/>
    </row>
    <row r="62" spans="1:8">
      <c r="A62" t="s">
        <v>1063</v>
      </c>
      <c r="B62" s="10" t="s">
        <v>321</v>
      </c>
      <c r="C62">
        <v>400</v>
      </c>
      <c r="D62" s="28">
        <v>374.07178566420765</v>
      </c>
      <c r="E62" s="93" t="s">
        <v>20</v>
      </c>
      <c r="F62" s="27" t="str">
        <f t="shared" si="0"/>
        <v>400V MCCB Feeder Cubicle (I &gt; 160A, per Dwg LV3)</v>
      </c>
      <c r="G62" s="27" t="str" cm="1">
        <f t="array" ref="G62">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62" s="10"/>
    </row>
    <row r="63" spans="1:8">
      <c r="A63" t="s">
        <v>1064</v>
      </c>
      <c r="B63" s="10" t="s">
        <v>311</v>
      </c>
      <c r="C63">
        <v>30</v>
      </c>
      <c r="D63" s="28">
        <v>27.551179335666134</v>
      </c>
      <c r="E63" s="16" t="s">
        <v>16</v>
      </c>
      <c r="F63" s="27" t="str">
        <f t="shared" si="0"/>
        <v>400V DOL Motor Starter Cubicle</v>
      </c>
      <c r="G63" s="27" t="str" cm="1">
        <f t="array" ref="G63">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63" s="10"/>
    </row>
    <row r="64" spans="1:8">
      <c r="A64" t="s">
        <v>1066</v>
      </c>
      <c r="B64" s="10" t="s">
        <v>311</v>
      </c>
      <c r="C64">
        <v>30</v>
      </c>
      <c r="D64" s="28">
        <v>27.551179335666134</v>
      </c>
      <c r="E64" t="s">
        <v>16</v>
      </c>
      <c r="F64" s="27" t="str">
        <f t="shared" si="0"/>
        <v>400V DOL Motor Starter Cubicle</v>
      </c>
      <c r="G64" s="27" t="str" cm="1">
        <f t="array" ref="G64">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row>
    <row r="65" spans="1:9">
      <c r="A65" t="s">
        <v>1068</v>
      </c>
      <c r="B65" s="10" t="s">
        <v>311</v>
      </c>
      <c r="C65">
        <v>3</v>
      </c>
      <c r="D65" s="28">
        <v>2.7551179335666136</v>
      </c>
      <c r="E65" t="s">
        <v>41</v>
      </c>
      <c r="F65" s="27" t="str">
        <f t="shared" ref="F65:F80" si="9">_xlfn.LET(
  _xlpm.tag, A65,
  _xlpm.p, N(C65),
  _xlpm.i, N(D65),
  _xlpm.st, UPPER(TRIM(E65)),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f>
        <v>400V DOL Motor Starter Cubicle</v>
      </c>
      <c r="G65" s="27" t="str" cm="1">
        <f t="array" ref="G65">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row>
    <row r="66" spans="1:9">
      <c r="A66" t="s">
        <v>1070</v>
      </c>
      <c r="B66" s="10" t="s">
        <v>311</v>
      </c>
      <c r="C66">
        <v>3</v>
      </c>
      <c r="D66" s="28">
        <v>2.7551179335666136</v>
      </c>
      <c r="E66" t="s">
        <v>41</v>
      </c>
      <c r="F66" s="27" t="str">
        <f t="shared" si="9"/>
        <v>400V DOL Motor Starter Cubicle</v>
      </c>
      <c r="G66" s="27" t="str" cm="1">
        <f t="array" ref="G66">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row>
    <row r="67" spans="1:9">
      <c r="A67" t="s">
        <v>1072</v>
      </c>
      <c r="B67" s="10" t="s">
        <v>15</v>
      </c>
      <c r="C67">
        <v>30</v>
      </c>
      <c r="D67" s="28">
        <v>27.551179335666134</v>
      </c>
      <c r="E67" s="16" t="s">
        <v>16</v>
      </c>
      <c r="F67" s="27" t="str">
        <f t="shared" si="9"/>
        <v>400V DOL Motor Starter Cubicle</v>
      </c>
      <c r="G67" s="27" t="str" cm="1">
        <f t="array" ref="G67">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row>
    <row r="68" spans="1:9">
      <c r="A68" t="s">
        <v>1073</v>
      </c>
      <c r="B68" s="10" t="s">
        <v>321</v>
      </c>
      <c r="C68">
        <v>30</v>
      </c>
      <c r="D68" s="28">
        <v>27.551179335666134</v>
      </c>
      <c r="E68" s="16" t="s">
        <v>16</v>
      </c>
      <c r="F68" s="27" t="str">
        <f t="shared" si="9"/>
        <v>400V DOL Motor Starter Cubicle</v>
      </c>
      <c r="G68" s="27" t="str" cm="1">
        <f t="array" ref="G68">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68" s="10"/>
    </row>
    <row r="69" spans="1:9">
      <c r="A69" t="s">
        <v>1074</v>
      </c>
      <c r="B69" s="10" t="s">
        <v>15</v>
      </c>
      <c r="C69">
        <v>3</v>
      </c>
      <c r="D69" s="28">
        <v>2.7551179335666136</v>
      </c>
      <c r="E69" s="16" t="s">
        <v>41</v>
      </c>
      <c r="F69" s="27" t="str">
        <f t="shared" si="9"/>
        <v>400V DOL Motor Starter Cubicle</v>
      </c>
      <c r="G69" s="27" t="str" cm="1">
        <f t="array" ref="G69">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69" s="10"/>
    </row>
    <row r="70" spans="1:9">
      <c r="A70" t="s">
        <v>1075</v>
      </c>
      <c r="B70" s="10" t="s">
        <v>321</v>
      </c>
      <c r="C70">
        <v>3</v>
      </c>
      <c r="D70" s="28">
        <v>2.7551179335666136</v>
      </c>
      <c r="E70" s="16" t="s">
        <v>41</v>
      </c>
      <c r="F70" s="27" t="str">
        <f t="shared" si="9"/>
        <v>400V DOL Motor Starter Cubicle</v>
      </c>
      <c r="G70" s="27" t="str" cm="1">
        <f t="array" ref="G70">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70" s="10"/>
    </row>
    <row r="71" spans="1:9">
      <c r="A71" t="s">
        <v>1076</v>
      </c>
      <c r="B71" s="10" t="s">
        <v>15</v>
      </c>
      <c r="C71">
        <v>30</v>
      </c>
      <c r="D71" s="28">
        <v>27.551179335666134</v>
      </c>
      <c r="E71" s="10" t="s">
        <v>16</v>
      </c>
      <c r="F71" s="27" t="str">
        <f t="shared" si="9"/>
        <v>400V DOL Motor Starter Cubicle</v>
      </c>
      <c r="G71" s="27" t="str" cm="1">
        <f t="array" ref="G71">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71" s="10"/>
      <c r="I71" s="10"/>
    </row>
    <row r="72" spans="1:9">
      <c r="A72" t="s">
        <v>1077</v>
      </c>
      <c r="B72" s="10" t="s">
        <v>321</v>
      </c>
      <c r="C72">
        <v>30</v>
      </c>
      <c r="D72" s="28">
        <v>27.551179335666134</v>
      </c>
      <c r="E72" t="s">
        <v>16</v>
      </c>
      <c r="F72" s="27" t="str">
        <f t="shared" si="9"/>
        <v>400V DOL Motor Starter Cubicle</v>
      </c>
      <c r="G72" s="27" t="str" cm="1">
        <f t="array" ref="G72">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72" s="10"/>
      <c r="I72" s="10"/>
    </row>
    <row r="73" spans="1:9">
      <c r="A73" t="s">
        <v>1078</v>
      </c>
      <c r="B73" s="10" t="s">
        <v>15</v>
      </c>
      <c r="C73">
        <v>3</v>
      </c>
      <c r="D73" s="28">
        <v>2.7551179335666136</v>
      </c>
      <c r="E73" t="s">
        <v>41</v>
      </c>
      <c r="F73" s="27" t="str">
        <f t="shared" si="9"/>
        <v>400V DOL Motor Starter Cubicle</v>
      </c>
      <c r="G73" s="27" t="str" cm="1">
        <f t="array" ref="G73">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73" s="10"/>
      <c r="I73" s="10"/>
    </row>
    <row r="74" spans="1:9">
      <c r="A74" t="s">
        <v>1079</v>
      </c>
      <c r="B74" s="10" t="s">
        <v>321</v>
      </c>
      <c r="C74">
        <v>3</v>
      </c>
      <c r="D74" s="28">
        <v>2.7551179335666136</v>
      </c>
      <c r="E74" t="s">
        <v>41</v>
      </c>
      <c r="F74" s="27" t="str">
        <f t="shared" si="9"/>
        <v>400V DOL Motor Starter Cubicle</v>
      </c>
      <c r="G74" s="27" t="str" cm="1">
        <f t="array" ref="G74">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74" s="10"/>
    </row>
    <row r="75" spans="1:9">
      <c r="A75" t="s">
        <v>1080</v>
      </c>
      <c r="B75" s="10" t="s">
        <v>311</v>
      </c>
      <c r="C75">
        <v>18.5</v>
      </c>
      <c r="D75" s="28">
        <v>15.000086527196006</v>
      </c>
      <c r="E75" t="s">
        <v>16</v>
      </c>
      <c r="F75" s="27" t="str">
        <f t="shared" si="9"/>
        <v>400V DOL Motor Starter Cubicle</v>
      </c>
      <c r="G75" s="27" t="str" cm="1">
        <f t="array" ref="G75">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75" s="10"/>
    </row>
    <row r="76" spans="1:9">
      <c r="A76" t="s">
        <v>1082</v>
      </c>
      <c r="B76" s="10" t="s">
        <v>311</v>
      </c>
      <c r="C76">
        <v>18.5</v>
      </c>
      <c r="D76" s="28">
        <v>15.000086527196006</v>
      </c>
      <c r="E76" t="s">
        <v>41</v>
      </c>
      <c r="F76" s="27" t="str">
        <f t="shared" si="9"/>
        <v>400V DOL Motor Starter Cubicle</v>
      </c>
      <c r="G76" s="27" t="str" cm="1">
        <f t="array" ref="G76">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76" s="10"/>
    </row>
    <row r="77" spans="1:9">
      <c r="A77" t="s">
        <v>1083</v>
      </c>
      <c r="B77" s="10" t="s">
        <v>311</v>
      </c>
      <c r="C77">
        <v>11</v>
      </c>
      <c r="D77" s="28">
        <v>5.6479917638115573</v>
      </c>
      <c r="E77" t="s">
        <v>41</v>
      </c>
      <c r="F77" s="27" t="str">
        <f t="shared" si="9"/>
        <v>400V DOL Motor Starter Cubicle</v>
      </c>
      <c r="G77" s="27" t="str" cm="1">
        <f t="array" ref="G77">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77" s="10"/>
    </row>
    <row r="78" spans="1:9">
      <c r="A78" t="s">
        <v>1085</v>
      </c>
      <c r="B78" s="10" t="s">
        <v>321</v>
      </c>
      <c r="C78">
        <v>11</v>
      </c>
      <c r="D78" s="28">
        <v>5.6479917638115573</v>
      </c>
      <c r="E78" t="s">
        <v>41</v>
      </c>
      <c r="F78" s="27" t="str">
        <f t="shared" si="9"/>
        <v>400V DOL Motor Starter Cubicle</v>
      </c>
      <c r="G78" s="27" t="str" cm="1">
        <f t="array" ref="G78">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78" s="10"/>
    </row>
    <row r="79" spans="1:9">
      <c r="A79" t="s">
        <v>703</v>
      </c>
      <c r="B79" s="10" t="s">
        <v>15</v>
      </c>
      <c r="C79">
        <v>450</v>
      </c>
      <c r="D79" s="28">
        <v>227.59314959359165</v>
      </c>
      <c r="E79" s="10" t="s">
        <v>36</v>
      </c>
      <c r="F79" s="27" t="str">
        <f t="shared" si="9"/>
        <v>400V SCR-Controlled Heater Feeder Cubicle (per Dwg LV8)</v>
      </c>
      <c r="G79" s="27" t="str" cm="1">
        <f t="array" ref="G79">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79" s="10"/>
    </row>
    <row r="80" spans="1:9">
      <c r="A80" t="s">
        <v>706</v>
      </c>
      <c r="B80" s="10" t="s">
        <v>311</v>
      </c>
      <c r="C80">
        <v>450</v>
      </c>
      <c r="D80" s="28">
        <v>227.59314959359165</v>
      </c>
      <c r="E80" s="10" t="s">
        <v>36</v>
      </c>
      <c r="F80" s="27" t="str">
        <f t="shared" si="9"/>
        <v>400V SCR-Controlled Heater Feeder Cubicle (per Dwg LV8)</v>
      </c>
      <c r="G80" s="27" t="str" cm="1">
        <f t="array" ref="G80">_xlfn.LET(_xlpm.c,UPPER(TRIM(_70IK610001[[#This Row],[Starter Type]])),_xlpm.kw,N(_70IK610001[[#This Row],[RATED POWER]]),_xlpm.flc,N(_70IK610001[[#This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80" s="10"/>
    </row>
    <row r="81" spans="1:9">
      <c r="A81" s="87" t="s">
        <v>706</v>
      </c>
      <c r="B81" s="10"/>
      <c r="D81" s="28"/>
      <c r="F81" s="27"/>
      <c r="G81" s="27"/>
      <c r="H81" s="10"/>
      <c r="I81" s="10" t="s">
        <v>2518</v>
      </c>
    </row>
    <row r="82" spans="1:9">
      <c r="A82" s="87" t="s">
        <v>1076</v>
      </c>
      <c r="B82" s="10"/>
      <c r="D82" s="28"/>
      <c r="F82" s="27"/>
      <c r="G82" s="27"/>
      <c r="H82" s="10"/>
      <c r="I82" s="10" t="s">
        <v>2518</v>
      </c>
    </row>
    <row r="83" spans="1:9">
      <c r="A83" s="87" t="s">
        <v>1077</v>
      </c>
      <c r="B83" s="10"/>
      <c r="D83" s="28"/>
      <c r="F83" s="27"/>
      <c r="G83" s="27"/>
      <c r="H83" s="10"/>
      <c r="I83" s="10" t="s">
        <v>2518</v>
      </c>
    </row>
    <row r="84" spans="1:9">
      <c r="A84" s="87" t="s">
        <v>1078</v>
      </c>
      <c r="B84" s="10"/>
      <c r="D84" s="28"/>
      <c r="F84" s="27"/>
      <c r="G84" s="27"/>
      <c r="H84" s="10"/>
      <c r="I84" s="10" t="s">
        <v>2518</v>
      </c>
    </row>
    <row r="85" spans="1:9">
      <c r="A85" s="87" t="s">
        <v>1079</v>
      </c>
      <c r="B85" s="10"/>
      <c r="D85" s="28"/>
      <c r="F85" s="27"/>
      <c r="G85" s="27"/>
      <c r="H85" s="10"/>
      <c r="I85" s="10" t="s">
        <v>2518</v>
      </c>
    </row>
    <row r="86" spans="1:9">
      <c r="A86" s="87" t="s">
        <v>1080</v>
      </c>
      <c r="B86" s="10"/>
      <c r="D86" s="28"/>
      <c r="F86" s="27"/>
      <c r="G86" s="27"/>
      <c r="H86" s="10"/>
      <c r="I86" s="10" t="s">
        <v>2518</v>
      </c>
    </row>
    <row r="87" spans="1:9">
      <c r="A87" s="87" t="s">
        <v>1082</v>
      </c>
      <c r="B87" s="10"/>
      <c r="D87" s="28"/>
      <c r="E87" s="34"/>
      <c r="F87" s="27"/>
      <c r="G87" s="27"/>
      <c r="H87" s="10"/>
      <c r="I87" s="10" t="s">
        <v>2518</v>
      </c>
    </row>
    <row r="88" spans="1:9">
      <c r="A88" s="87" t="s">
        <v>1083</v>
      </c>
      <c r="B88" s="10"/>
      <c r="D88" s="28"/>
      <c r="E88" s="34"/>
      <c r="F88" s="27"/>
      <c r="G88" s="27"/>
      <c r="H88" s="10"/>
      <c r="I88" s="10" t="s">
        <v>2518</v>
      </c>
    </row>
    <row r="89" spans="1:9">
      <c r="A89" s="87" t="s">
        <v>1085</v>
      </c>
      <c r="B89" s="10"/>
      <c r="D89" s="28"/>
      <c r="E89" s="34"/>
      <c r="F89" s="27"/>
      <c r="G89" s="27"/>
      <c r="H89" s="10"/>
      <c r="I89" s="10" t="s">
        <v>2518</v>
      </c>
    </row>
    <row r="90" spans="1:9">
      <c r="A90" s="87" t="s">
        <v>703</v>
      </c>
      <c r="B90" s="10"/>
      <c r="D90" s="28"/>
      <c r="E90" s="16"/>
      <c r="F90" s="27"/>
      <c r="G90" s="27"/>
      <c r="H90" s="10"/>
      <c r="I90" s="10" t="s">
        <v>2518</v>
      </c>
    </row>
    <row r="91" spans="1:9">
      <c r="A91" s="87" t="s">
        <v>706</v>
      </c>
      <c r="B91" s="10"/>
      <c r="D91" s="28"/>
      <c r="E91" s="16"/>
      <c r="F91" s="27"/>
      <c r="G91" s="27"/>
      <c r="H91" s="10"/>
      <c r="I91" s="10" t="s">
        <v>2518</v>
      </c>
    </row>
    <row r="92" spans="1:9">
      <c r="A92" s="27"/>
      <c r="B92" s="10"/>
      <c r="D92" s="30"/>
      <c r="E92" s="29" t="s">
        <v>16</v>
      </c>
      <c r="F92" s="29" t="s">
        <v>17</v>
      </c>
      <c r="G92" s="29" t="s">
        <v>32</v>
      </c>
      <c r="H92" s="6">
        <v>1</v>
      </c>
      <c r="I92" s="6"/>
    </row>
    <row r="93" spans="1:9">
      <c r="A93" s="27"/>
      <c r="B93" s="10"/>
      <c r="E93" t="s">
        <v>20</v>
      </c>
      <c r="F93" t="s">
        <v>21</v>
      </c>
      <c r="G93" t="s">
        <v>288</v>
      </c>
      <c r="H93" s="15">
        <v>2</v>
      </c>
    </row>
    <row r="94" spans="1:9">
      <c r="A94" s="27"/>
      <c r="B94" s="10"/>
      <c r="E94" t="s">
        <v>24</v>
      </c>
      <c r="F94" t="s">
        <v>25</v>
      </c>
      <c r="G94" t="s">
        <v>288</v>
      </c>
      <c r="H94" s="15">
        <v>5</v>
      </c>
      <c r="I94" s="15"/>
    </row>
    <row r="95" spans="1:9">
      <c r="A95" s="27"/>
      <c r="B95" s="10"/>
      <c r="E95" t="s">
        <v>24</v>
      </c>
      <c r="F95" t="s">
        <v>25</v>
      </c>
      <c r="G95" t="s">
        <v>22</v>
      </c>
      <c r="H95" s="15">
        <v>5</v>
      </c>
      <c r="I95" s="10"/>
    </row>
    <row r="96" spans="1:9">
      <c r="A96" s="27"/>
      <c r="B96" s="10"/>
      <c r="E96" t="s">
        <v>20</v>
      </c>
      <c r="F96" t="s">
        <v>2515</v>
      </c>
      <c r="G96" t="s">
        <v>2516</v>
      </c>
      <c r="H96" s="15">
        <v>1</v>
      </c>
      <c r="I96" s="10"/>
    </row>
    <row r="97" spans="1:15">
      <c r="A97" s="27"/>
      <c r="B97" s="10"/>
      <c r="E97" t="s">
        <v>36</v>
      </c>
      <c r="F97" t="s">
        <v>37</v>
      </c>
      <c r="G97" t="s">
        <v>22</v>
      </c>
      <c r="H97" s="15">
        <v>2</v>
      </c>
      <c r="I97" s="10"/>
    </row>
    <row r="98" spans="1:15">
      <c r="A98" s="27"/>
      <c r="B98" s="10"/>
      <c r="E98" t="s">
        <v>43</v>
      </c>
      <c r="F98" t="s">
        <v>44</v>
      </c>
      <c r="G98" t="s">
        <v>288</v>
      </c>
      <c r="H98" s="6">
        <v>3</v>
      </c>
      <c r="I98" s="6"/>
    </row>
    <row r="99" spans="1:15">
      <c r="A99" s="27"/>
      <c r="B99" s="10"/>
      <c r="E99" t="s">
        <v>20</v>
      </c>
      <c r="F99" t="s">
        <v>21</v>
      </c>
      <c r="G99" t="s">
        <v>22</v>
      </c>
      <c r="H99" s="6">
        <v>1</v>
      </c>
      <c r="I99" s="6"/>
    </row>
    <row r="100" spans="1:15">
      <c r="A100" s="27"/>
      <c r="B100" s="10"/>
      <c r="E100" s="29" t="s">
        <v>43</v>
      </c>
      <c r="F100" s="29" t="s">
        <v>44</v>
      </c>
      <c r="G100" s="27" t="s">
        <v>2516</v>
      </c>
      <c r="H100" s="6">
        <v>0</v>
      </c>
      <c r="I100" s="6"/>
    </row>
    <row r="101" spans="1:15">
      <c r="A101" s="27"/>
      <c r="B101" s="10"/>
      <c r="E101" s="29" t="s">
        <v>20</v>
      </c>
      <c r="F101" s="29" t="s">
        <v>31</v>
      </c>
      <c r="G101" s="27" t="s">
        <v>22</v>
      </c>
      <c r="H101" s="6">
        <v>1</v>
      </c>
      <c r="I101" s="6"/>
    </row>
    <row r="102" spans="1:15">
      <c r="A102" s="27"/>
      <c r="B102" s="10"/>
      <c r="E102" s="29" t="s">
        <v>16</v>
      </c>
      <c r="F102" s="29" t="s">
        <v>17</v>
      </c>
      <c r="G102" s="27" t="s">
        <v>22</v>
      </c>
      <c r="H102" s="6">
        <v>3</v>
      </c>
      <c r="I102" s="6"/>
    </row>
    <row r="103" spans="1:15">
      <c r="A103" s="27"/>
      <c r="B103" s="10"/>
      <c r="E103" s="29" t="s">
        <v>41</v>
      </c>
      <c r="F103" s="29" t="s">
        <v>17</v>
      </c>
      <c r="G103" s="27" t="s">
        <v>288</v>
      </c>
      <c r="H103" s="6">
        <v>3</v>
      </c>
      <c r="I103" s="6"/>
    </row>
    <row r="104" spans="1:15">
      <c r="A104" s="27"/>
      <c r="B104" s="10"/>
      <c r="E104" s="29" t="s">
        <v>41</v>
      </c>
      <c r="F104" s="29" t="s">
        <v>17</v>
      </c>
      <c r="G104" s="27" t="s">
        <v>22</v>
      </c>
      <c r="H104" s="6">
        <v>1</v>
      </c>
      <c r="I104" s="6"/>
    </row>
    <row r="105" spans="1:15">
      <c r="A105" s="27"/>
      <c r="B105" s="10"/>
      <c r="E105" s="29"/>
      <c r="F105" s="94"/>
      <c r="G105" s="27"/>
      <c r="H105" s="6"/>
      <c r="I105" s="6"/>
    </row>
    <row r="106" spans="1:15">
      <c r="A106" s="27"/>
      <c r="B106" s="10"/>
      <c r="E106" s="29"/>
      <c r="F106" s="29"/>
      <c r="G106" s="27"/>
    </row>
    <row r="107" spans="1:15">
      <c r="A107" s="27"/>
      <c r="B107" s="10"/>
      <c r="E107" s="29"/>
      <c r="F107" s="29"/>
      <c r="G107" s="27"/>
    </row>
    <row r="108" spans="1:15">
      <c r="A108" s="27"/>
      <c r="B108" s="10"/>
      <c r="E108" s="29"/>
      <c r="F108" s="29"/>
      <c r="G108" s="27"/>
      <c r="O108" s="10"/>
    </row>
    <row r="109" spans="1:15">
      <c r="A109" s="27"/>
      <c r="B109" s="10"/>
      <c r="E109" s="29"/>
      <c r="F109" s="29"/>
      <c r="G109" s="27"/>
    </row>
    <row r="110" spans="1:15">
      <c r="A110" s="27"/>
      <c r="B110" s="10"/>
      <c r="E110" s="29"/>
      <c r="F110" s="29"/>
      <c r="G110" s="27"/>
    </row>
    <row r="111" spans="1:15">
      <c r="A111" s="27"/>
      <c r="B111" s="10"/>
      <c r="E111" s="29"/>
      <c r="F111" s="29"/>
      <c r="G111" s="27"/>
    </row>
    <row r="112" spans="1:15">
      <c r="A112" s="27"/>
      <c r="B112" s="10"/>
      <c r="E112" s="29"/>
      <c r="F112" s="29"/>
      <c r="G112" s="27"/>
    </row>
    <row r="113" spans="1:16">
      <c r="A113" s="27"/>
      <c r="B113" s="10"/>
      <c r="E113" s="29"/>
      <c r="F113" s="29"/>
      <c r="G113" s="27"/>
    </row>
    <row r="114" spans="1:16">
      <c r="A114" s="27"/>
      <c r="B114" s="10"/>
      <c r="E114" s="29"/>
      <c r="F114" s="29"/>
      <c r="G114" s="27"/>
    </row>
    <row r="115" spans="1:16">
      <c r="A115" s="27"/>
      <c r="B115" s="10"/>
      <c r="E115" s="29"/>
      <c r="F115" s="29"/>
      <c r="G115" s="27"/>
    </row>
    <row r="116" spans="1:16">
      <c r="A116" s="27"/>
      <c r="B116" s="10"/>
      <c r="E116" s="29"/>
      <c r="F116" s="29"/>
      <c r="G116" s="27"/>
    </row>
    <row r="117" spans="1:16">
      <c r="A117" s="27"/>
      <c r="B117" s="10"/>
      <c r="G117" s="27"/>
    </row>
    <row r="118" spans="1:16">
      <c r="A118" s="27"/>
      <c r="B118" s="10"/>
      <c r="G118" s="27"/>
    </row>
    <row r="119" spans="1:16">
      <c r="A119" s="9"/>
      <c r="B119" s="10"/>
      <c r="L119" t="s">
        <v>2519</v>
      </c>
      <c r="M119">
        <v>21000</v>
      </c>
    </row>
    <row r="120" spans="1:16">
      <c r="A120" s="9"/>
      <c r="B120" s="10"/>
      <c r="L120" s="59" t="s">
        <v>2520</v>
      </c>
      <c r="M120">
        <f>M122-21000</f>
        <v>2200</v>
      </c>
    </row>
    <row r="121" spans="1:16">
      <c r="A121" s="9"/>
      <c r="B121" s="10"/>
      <c r="J121" s="10" t="s">
        <v>2521</v>
      </c>
      <c r="K121" s="10" t="s">
        <v>51</v>
      </c>
      <c r="L121" s="10" t="s">
        <v>52</v>
      </c>
      <c r="N121" s="10" t="s">
        <v>2522</v>
      </c>
    </row>
    <row r="122" spans="1:16">
      <c r="A122" s="9"/>
      <c r="B122" s="10"/>
      <c r="J122">
        <f>(J123+J124)*1000</f>
        <v>18000</v>
      </c>
      <c r="K122">
        <f>800*K123</f>
        <v>4000</v>
      </c>
      <c r="L122">
        <f>400*L123</f>
        <v>1200</v>
      </c>
      <c r="M122" s="34">
        <f>SUM(J122:L122)</f>
        <v>23200</v>
      </c>
    </row>
    <row r="123" spans="1:16" ht="13.2" customHeight="1">
      <c r="J123" cm="1">
        <f t="array" ref="J123">ROUNDUP(_xlfn.LET(_xlpm.rng,G2:G80,_xlpm.totalE,SUMPRODUCT(IFERROR(VALUE(_xlfn.TEXTBEFORE(_xlpm.rng,"E"))/IFERROR(VALUE(_xlfn.TEXTAFTER(_xlpm.rng,"/")),1),0)),CEILING((1+$K$4)*_xlpm.totalE/72,1)),0)</f>
        <v>14</v>
      </c>
      <c r="K123">
        <v>5</v>
      </c>
      <c r="L123">
        <v>3</v>
      </c>
      <c r="M123" s="34">
        <f>J123+K123+L123+J124</f>
        <v>26</v>
      </c>
      <c r="N123">
        <v>3</v>
      </c>
      <c r="O123" s="95">
        <f>M123+N123</f>
        <v>29</v>
      </c>
      <c r="P123" s="10"/>
    </row>
    <row r="124" spans="1:16" ht="31.95" customHeight="1">
      <c r="J124" s="9" cm="1">
        <f t="array" ref="J124">_xlfn.LET(_xlpm.capE,72,_xlpm.G,G92:G104,_xlpm.H,H92:H104,_xlpm.Txt,SUBSTITUTE(_xlpm.G," ",""),_xlpm.mask,_xlpm.Txt&lt;&gt;"",_xlpm.qty,IFERROR(_xlpm.H*1,0)*_xlpm.mask,_xlpm.base,IFERROR(--LEFT(_xlpm.Txt,SEARCH("E",_xlpm.Txt&amp;"E")-1),0),_xlpm.den,IFERROR(--MID(_xlpm.Txt,SEARCH("/",_xlpm.Txt&amp;"/")+1,99),IFERROR(--RIGHT(_xlpm.Txt,1),1)),_xlpm.eVal,IFERROR(_xlpm.base/_xlpm.den,0),_xlpm.totalE,SUMPRODUCT(_xlpm.eVal*_xlpm.qty),CEILING((1+$K$4)*_xlpm.totalE/_xlpm.capE,1))</f>
        <v>4</v>
      </c>
      <c r="M124" t="s">
        <v>56</v>
      </c>
    </row>
    <row r="125" spans="1:16">
      <c r="F125" s="6"/>
      <c r="J125" t="str" cm="1">
        <f t="array" ref="J125">_xlfn.LET(
  _xlpm.arrange,UPPER(TRIM($J$3)),
  _xlpm.capE,IF(_xlpm.arrange="B2B",144,72),
  _xlpm.rng,TRIM(G92:G118),
  _xlpm.qty,N(H92:H118),
  _xlpm.eVal,IFERROR(VALUE(_xlfn.TEXTBEFORE(_xlpm.rng,"E"))/IFERROR(VALUE(_xlfn.TEXTAFTER(_xlpm.rng,"/")),1),0),
  _xlpm.totalE,SUMPRODUCT(_xlpm.eVal*_xlpm.qty),
  "arrange="&amp;_xlpm.arrange&amp;", capE="&amp;_xlpm.capE&amp;", totalE="&amp;_xlpm.totalE
)</f>
        <v>arrange=, capE=72, totalE=216</v>
      </c>
    </row>
    <row r="126" spans="1:16">
      <c r="F126" s="10" t="s">
        <v>2512</v>
      </c>
      <c r="G126" s="10"/>
    </row>
    <row r="127" spans="1:16">
      <c r="F127" s="10" t="s">
        <v>2513</v>
      </c>
      <c r="G127" s="10"/>
      <c r="J127" t="s">
        <v>15</v>
      </c>
      <c r="K127" cm="1">
        <f t="array" ref="K127">_xlfn.LET(_xlpm.busSel,UPPER(TRIM($J$127)),_xlpm.rngE,TRIM($G$2:$G$80),_xlpm.rngBus,UPPER(TRIM($B$2:$B$80)),_xlpm.eVal,IFERROR(VALUE(_xlfn.TEXTBEFORE(_xlpm.rngE,"E"))/IFERROR(VALUE(_xlfn.TEXTAFTER(_xlpm.rngE,"/")),1),0),_xlpm.totalE,SUMPRODUCT((_xlpm.rngBus=_xlpm.busSel)*_xlpm.eVal),IF(OR(_xlpm.busSel="A",_xlpm.busSel="B",_xlpm.busSel="C"),CEILING((1+$K$4)*_xlpm.totalE/72,1),"CHECK BUS NO(A/B/C)"))</f>
        <v>6</v>
      </c>
      <c r="L127">
        <v>1</v>
      </c>
      <c r="M127" s="102">
        <f>SUM(K127:L127)</f>
        <v>7</v>
      </c>
      <c r="N127">
        <v>1</v>
      </c>
      <c r="O127">
        <f>SUM(M127:N127)</f>
        <v>8</v>
      </c>
    </row>
    <row r="128" spans="1:16">
      <c r="J128" t="s">
        <v>321</v>
      </c>
      <c r="K128" cm="1">
        <f t="array" ref="K128">_xlfn.LET(_xlpm.busSel,UPPER(TRIM($J$128)),_xlpm.rngE,TRIM($G$2:$G$80),_xlpm.rngBus,UPPER(TRIM($B$2:$B$80)),_xlpm.eVal,IFERROR(VALUE(_xlfn.TEXTBEFORE(_xlpm.rngE,"E"))/IFERROR(VALUE(_xlfn.TEXTAFTER(_xlpm.rngE,"/")),1),0),_xlpm.totalE,SUMPRODUCT((_xlpm.rngBus=_xlpm.busSel)*_xlpm.eVal),IF(OR(_xlpm.busSel="A",_xlpm.busSel="B",_xlpm.busSel="C"),CEILING((1+$K$4)*_xlpm.totalE/72,1),"CHECK BUS NO(A/B/C)"))</f>
        <v>2</v>
      </c>
      <c r="L128">
        <v>1</v>
      </c>
      <c r="M128" s="102">
        <f t="shared" ref="M128:M129" si="10">SUM(K128:L128)</f>
        <v>3</v>
      </c>
      <c r="N128">
        <v>1</v>
      </c>
      <c r="O128">
        <f t="shared" ref="O128:O129" si="11">SUM(M128:N128)</f>
        <v>4</v>
      </c>
    </row>
    <row r="129" spans="5:15">
      <c r="J129" t="s">
        <v>311</v>
      </c>
      <c r="K129" cm="1">
        <f t="array" ref="K129">_xlfn.LET(_xlpm.busSel,UPPER(TRIM($J$129)),_xlpm.rngE,TRIM($G$2:$G$80),_xlpm.rngBus,UPPER(TRIM($B$2:$B$80)),_xlpm.eVal,IFERROR(VALUE(_xlfn.TEXTBEFORE(_xlpm.rngE,"E"))/IFERROR(VALUE(_xlfn.TEXTAFTER(_xlpm.rngE,"/")),1),0),_xlpm.totalE,SUMPRODUCT((_xlpm.rngBus=_xlpm.busSel)*_xlpm.eVal),IF(OR(_xlpm.busSel="A",_xlpm.busSel="B",_xlpm.busSel="C"),CEILING((1+$K$4)*_xlpm.totalE/72,1),"CHECK BUS NO(A/B/C)"))</f>
        <v>8</v>
      </c>
      <c r="M129" s="102">
        <f t="shared" si="10"/>
        <v>8</v>
      </c>
      <c r="N129">
        <v>1</v>
      </c>
      <c r="O129">
        <f t="shared" si="11"/>
        <v>9</v>
      </c>
    </row>
    <row r="130" spans="5:15">
      <c r="J130" s="34"/>
      <c r="K130" s="104" t="s">
        <v>2516</v>
      </c>
      <c r="O130">
        <f>SUM(O127:O129)+K123+L123</f>
        <v>29</v>
      </c>
    </row>
    <row r="131" spans="5:15">
      <c r="E131" t="s">
        <v>2523</v>
      </c>
      <c r="J131" s="34" t="str" cm="1">
        <f t="array" ref="J131:K133">_xlfn.LET(_xlpm.rngBus,UPPER(TRIM($B$2:$B$80)),_xlpm.rngE,UPPER(TRIM($G$2:$G$80)),_xlpm.num,IFERROR(VALUE(_xlfn.TEXTBEFORE(_xlpm.rngE,"E")),0),_xlpm.den,IFERROR(VALUE(_xlfn.TEXTAFTER(_xlpm.rngE,"/")),1),_xlpm.is72E,(_xlpm.num=72)*(_xlpm.den=1),_xlpm.buses,_xlfn._xlws.SORT(_xlfn.UNIQUE(_xlfn._xlws.FILTER(_xlpm.rngBus,_xlpm.rngBus&lt;&gt;""))),_xlpm.counts,_xlfn.MAP(_xlpm.buses,_xlfn.LAMBDA(_xlpm.b,SUMPRODUCT((_xlpm.rngBus=_xlpm.b)*_xlpm.is72E))),_xlfn.HSTACK(_xlpm.buses,_xlpm.counts))</f>
        <v>A</v>
      </c>
      <c r="K131" s="106">
        <v>4</v>
      </c>
      <c r="L131" s="106">
        <v>1</v>
      </c>
      <c r="M131">
        <f>SUM(K131:L131)</f>
        <v>5</v>
      </c>
    </row>
    <row r="132" spans="5:15">
      <c r="E132" t="s">
        <v>2524</v>
      </c>
      <c r="J132" s="34" t="str">
        <v>B</v>
      </c>
      <c r="K132" s="34">
        <v>0</v>
      </c>
      <c r="M132">
        <f t="shared" ref="M132:M137" si="12">SUM(K132:L132)</f>
        <v>0</v>
      </c>
    </row>
    <row r="133" spans="5:15">
      <c r="E133" t="s">
        <v>2525</v>
      </c>
      <c r="J133" s="34" t="str">
        <v>C</v>
      </c>
      <c r="K133" s="34">
        <v>5</v>
      </c>
      <c r="M133">
        <f t="shared" si="12"/>
        <v>5</v>
      </c>
    </row>
    <row r="134" spans="5:15">
      <c r="E134" t="s">
        <v>2526</v>
      </c>
      <c r="K134" s="10" t="s">
        <v>2527</v>
      </c>
    </row>
    <row r="135" spans="5:15">
      <c r="E135" t="s">
        <v>2528</v>
      </c>
      <c r="J135" t="s">
        <v>15</v>
      </c>
      <c r="K135">
        <f>K127-K131</f>
        <v>2</v>
      </c>
      <c r="M135">
        <f t="shared" si="12"/>
        <v>2</v>
      </c>
    </row>
    <row r="136" spans="5:15">
      <c r="E136" t="s">
        <v>2529</v>
      </c>
      <c r="J136" t="s">
        <v>321</v>
      </c>
      <c r="K136" s="106">
        <f>K128-K132</f>
        <v>2</v>
      </c>
      <c r="L136" s="106">
        <v>1</v>
      </c>
      <c r="M136">
        <f t="shared" si="12"/>
        <v>3</v>
      </c>
    </row>
    <row r="137" spans="5:15">
      <c r="E137" t="s">
        <v>2530</v>
      </c>
      <c r="J137" t="s">
        <v>311</v>
      </c>
      <c r="K137">
        <f>K129-K133</f>
        <v>3</v>
      </c>
      <c r="M137">
        <f t="shared" si="12"/>
        <v>3</v>
      </c>
    </row>
    <row r="138" spans="5:15">
      <c r="E138" t="s">
        <v>2531</v>
      </c>
    </row>
    <row r="153" spans="5:7">
      <c r="E153" t="s">
        <v>16</v>
      </c>
      <c r="F153" t="s">
        <v>17</v>
      </c>
      <c r="G153" t="s">
        <v>32</v>
      </c>
    </row>
    <row r="154" spans="5:7">
      <c r="E154" t="s">
        <v>20</v>
      </c>
      <c r="F154" t="s">
        <v>21</v>
      </c>
      <c r="G154" t="s">
        <v>288</v>
      </c>
    </row>
    <row r="155" spans="5:7">
      <c r="E155" t="s">
        <v>24</v>
      </c>
      <c r="F155" t="s">
        <v>25</v>
      </c>
      <c r="G155" t="s">
        <v>288</v>
      </c>
    </row>
    <row r="156" spans="5:7">
      <c r="E156" t="s">
        <v>24</v>
      </c>
      <c r="F156" t="s">
        <v>25</v>
      </c>
      <c r="G156" t="s">
        <v>22</v>
      </c>
    </row>
    <row r="157" spans="5:7">
      <c r="E157" t="s">
        <v>20</v>
      </c>
      <c r="F157" t="s">
        <v>2515</v>
      </c>
      <c r="G157" t="s">
        <v>2516</v>
      </c>
    </row>
    <row r="158" spans="5:7">
      <c r="E158" t="s">
        <v>36</v>
      </c>
      <c r="F158" t="s">
        <v>37</v>
      </c>
      <c r="G158" t="s">
        <v>22</v>
      </c>
    </row>
    <row r="159" spans="5:7">
      <c r="E159" t="s">
        <v>43</v>
      </c>
      <c r="F159" t="s">
        <v>44</v>
      </c>
      <c r="G159" t="s">
        <v>288</v>
      </c>
    </row>
    <row r="160" spans="5:7">
      <c r="E160" t="s">
        <v>20</v>
      </c>
      <c r="F160" t="s">
        <v>21</v>
      </c>
      <c r="G160" t="s">
        <v>22</v>
      </c>
    </row>
    <row r="161" spans="5:7">
      <c r="E161" t="s">
        <v>43</v>
      </c>
      <c r="F161" t="s">
        <v>44</v>
      </c>
      <c r="G161" t="s">
        <v>2516</v>
      </c>
    </row>
    <row r="162" spans="5:7">
      <c r="E162" t="s">
        <v>20</v>
      </c>
      <c r="F162" t="s">
        <v>31</v>
      </c>
      <c r="G162" t="s">
        <v>22</v>
      </c>
    </row>
    <row r="163" spans="5:7">
      <c r="E163" t="s">
        <v>16</v>
      </c>
      <c r="F163" t="s">
        <v>17</v>
      </c>
      <c r="G163" t="s">
        <v>22</v>
      </c>
    </row>
    <row r="164" spans="5:7">
      <c r="E164" t="s">
        <v>41</v>
      </c>
      <c r="F164" t="s">
        <v>17</v>
      </c>
      <c r="G164" t="s">
        <v>288</v>
      </c>
    </row>
    <row r="165" spans="5:7">
      <c r="E165" t="s">
        <v>41</v>
      </c>
      <c r="F165" t="s">
        <v>17</v>
      </c>
      <c r="G165" t="s">
        <v>22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C425C-0FA8-48DC-99F3-E4B3FEA09C60}">
  <dimension ref="A1:Y227"/>
  <sheetViews>
    <sheetView topLeftCell="A171" zoomScale="70" zoomScaleNormal="70" workbookViewId="0">
      <selection activeCell="N212" sqref="N212"/>
    </sheetView>
  </sheetViews>
  <sheetFormatPr defaultRowHeight="13.2"/>
  <cols>
    <col min="1" max="1" width="20.44140625" bestFit="1" customWidth="1"/>
    <col min="3" max="3" width="16.33203125" customWidth="1"/>
    <col min="4" max="4" width="22.109375" customWidth="1"/>
    <col min="5" max="5" width="13.6640625" customWidth="1"/>
    <col min="6" max="6" width="54.33203125" customWidth="1"/>
    <col min="7" max="7" width="15.88671875" customWidth="1"/>
    <col min="8" max="9" width="14.44140625" customWidth="1"/>
    <col min="14" max="14" width="63.5546875" customWidth="1"/>
    <col min="16" max="16" width="11.44140625" customWidth="1"/>
  </cols>
  <sheetData>
    <row r="1" spans="1:17">
      <c r="A1" s="23" t="s">
        <v>4</v>
      </c>
      <c r="B1" s="24" t="s">
        <v>5</v>
      </c>
      <c r="C1" s="24" t="s">
        <v>6</v>
      </c>
      <c r="D1" s="24" t="s">
        <v>7</v>
      </c>
      <c r="E1" s="24" t="s">
        <v>8</v>
      </c>
      <c r="F1" s="24" t="s">
        <v>9</v>
      </c>
      <c r="G1" s="25" t="s">
        <v>10</v>
      </c>
      <c r="H1" s="24" t="s">
        <v>2510</v>
      </c>
      <c r="I1" s="24" t="s">
        <v>2511</v>
      </c>
      <c r="J1" s="10"/>
    </row>
    <row r="2" spans="1:17">
      <c r="A2" t="s">
        <v>1156</v>
      </c>
      <c r="B2" s="97" t="s">
        <v>15</v>
      </c>
      <c r="C2">
        <v>15</v>
      </c>
      <c r="D2" s="28">
        <v>22.924201864882196</v>
      </c>
      <c r="E2" t="s">
        <v>41</v>
      </c>
      <c r="F2" s="27" t="str">
        <f>_xlfn.LET(
  _xlpm.tag, A2,
  _xlpm.p, N(C2),
  _xlpm.i, N(D2),
  _xlpm.st, UPPER(TRIM(E2)),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f>
        <v>400V DOL Motor Starter Cubicle</v>
      </c>
      <c r="G2" s="27" t="str" cm="1">
        <f t="array" ref="G2">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2" s="10"/>
      <c r="I2" s="10"/>
      <c r="J2" s="10"/>
      <c r="P2" s="10"/>
      <c r="Q2" s="10"/>
    </row>
    <row r="3" spans="1:17">
      <c r="A3" s="26" t="s">
        <v>1159</v>
      </c>
      <c r="B3" s="98" t="s">
        <v>321</v>
      </c>
      <c r="C3" s="26">
        <v>15</v>
      </c>
      <c r="D3" s="31">
        <v>22.924201864882196</v>
      </c>
      <c r="E3" t="s">
        <v>41</v>
      </c>
      <c r="F3" s="27" t="str">
        <f t="shared" ref="F3:F66" si="0">_xlfn.LET(
  _xlpm.tag, A3,
  _xlpm.p, N(C3),
  _xlpm.i, N(D3),
  _xlpm.st, UPPER(TRIM(E3)),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f>
        <v>400V DOL Motor Starter Cubicle</v>
      </c>
      <c r="G3" s="27" t="str" cm="1">
        <f t="array" ref="G3">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3" s="10"/>
      <c r="I3" s="10"/>
      <c r="M3" s="10"/>
      <c r="Q3" s="10"/>
    </row>
    <row r="4" spans="1:17">
      <c r="A4" t="s">
        <v>1161</v>
      </c>
      <c r="B4" s="98" t="s">
        <v>15</v>
      </c>
      <c r="C4">
        <v>30</v>
      </c>
      <c r="D4" s="28">
        <v>45.848403729764392</v>
      </c>
      <c r="E4" s="10" t="s">
        <v>36</v>
      </c>
      <c r="F4" s="27" t="str">
        <f t="shared" si="0"/>
        <v>400V SCR-Controlled Heater Feeder Cubicle (per Dwg LV8)</v>
      </c>
      <c r="G4" s="27" t="str" cm="1">
        <f t="array" ref="G4">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4" s="10"/>
      <c r="I4" s="10"/>
      <c r="Q4" s="10"/>
    </row>
    <row r="5" spans="1:17">
      <c r="A5" t="s">
        <v>1163</v>
      </c>
      <c r="B5" s="98" t="s">
        <v>15</v>
      </c>
      <c r="C5">
        <v>5</v>
      </c>
      <c r="D5" s="28">
        <v>7.6414006216273993</v>
      </c>
      <c r="E5" t="s">
        <v>41</v>
      </c>
      <c r="F5" s="27" t="str">
        <f t="shared" si="0"/>
        <v>400V DOL Motor Starter Cubicle</v>
      </c>
      <c r="G5" s="27" t="str" cm="1">
        <f t="array" ref="G5">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5" s="10"/>
      <c r="I5" s="10"/>
      <c r="Q5" s="10"/>
    </row>
    <row r="6" spans="1:17">
      <c r="A6" t="s">
        <v>1165</v>
      </c>
      <c r="B6" s="97" t="s">
        <v>321</v>
      </c>
      <c r="C6">
        <v>5</v>
      </c>
      <c r="D6" s="28">
        <v>7.6414006216273993</v>
      </c>
      <c r="E6" t="s">
        <v>41</v>
      </c>
      <c r="F6" s="27" t="str">
        <f t="shared" si="0"/>
        <v>400V DOL Motor Starter Cubicle</v>
      </c>
      <c r="G6" s="27" t="str" cm="1">
        <f t="array" ref="G6">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6" s="10"/>
      <c r="I6" s="10"/>
      <c r="N6" s="10"/>
      <c r="Q6" s="10"/>
    </row>
    <row r="7" spans="1:17">
      <c r="A7" t="s">
        <v>1167</v>
      </c>
      <c r="B7" s="98" t="s">
        <v>15</v>
      </c>
      <c r="C7">
        <v>5</v>
      </c>
      <c r="D7" s="28">
        <v>7.6414006216273993</v>
      </c>
      <c r="E7" t="s">
        <v>41</v>
      </c>
      <c r="F7" s="27" t="str">
        <f t="shared" si="0"/>
        <v>400V DOL Motor Starter Cubicle</v>
      </c>
      <c r="G7" s="27" t="str" cm="1">
        <f t="array" ref="G7">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7" s="10"/>
      <c r="I7" s="10"/>
      <c r="N7" s="10"/>
      <c r="Q7" s="10"/>
    </row>
    <row r="8" spans="1:17" ht="39.6">
      <c r="A8" s="11" t="s">
        <v>1169</v>
      </c>
      <c r="B8" s="99" t="s">
        <v>321</v>
      </c>
      <c r="C8" s="12">
        <v>1</v>
      </c>
      <c r="D8" s="28">
        <v>1.5282801243254798</v>
      </c>
      <c r="E8" t="s">
        <v>41</v>
      </c>
      <c r="F8" s="27" t="str">
        <f t="shared" si="0"/>
        <v>400V DOL Motor Starter Cubicle</v>
      </c>
      <c r="G8" s="27" t="str" cm="1">
        <f t="array" ref="G8">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8" s="10"/>
      <c r="I8" s="10"/>
      <c r="N8" s="10"/>
      <c r="Q8" s="10"/>
    </row>
    <row r="9" spans="1:17">
      <c r="A9" t="s">
        <v>1171</v>
      </c>
      <c r="B9" s="97" t="s">
        <v>15</v>
      </c>
      <c r="C9">
        <v>15</v>
      </c>
      <c r="D9" s="28">
        <v>22.924201864882196</v>
      </c>
      <c r="E9" t="s">
        <v>20</v>
      </c>
      <c r="F9" s="27" t="str">
        <f t="shared" si="0"/>
        <v>400V MCCB Feeder Cubicle (I &lt; 160A, per Dwg LV4)</v>
      </c>
      <c r="G9" s="27" t="str" cm="1">
        <f t="array" ref="G9">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9" s="10"/>
      <c r="I9" s="10"/>
      <c r="Q9" s="10"/>
    </row>
    <row r="10" spans="1:17">
      <c r="A10" s="26" t="s">
        <v>1173</v>
      </c>
      <c r="B10" s="98" t="s">
        <v>15</v>
      </c>
      <c r="C10" s="26">
        <v>15</v>
      </c>
      <c r="D10" s="31">
        <v>22.924201864882196</v>
      </c>
      <c r="E10" t="s">
        <v>41</v>
      </c>
      <c r="F10" s="27" t="str">
        <f t="shared" si="0"/>
        <v>400V DOL Motor Starter Cubicle</v>
      </c>
      <c r="G10" s="27" t="str" cm="1">
        <f t="array" ref="G10">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0" s="10"/>
      <c r="I10" s="10"/>
      <c r="Q10" s="10"/>
    </row>
    <row r="11" spans="1:17">
      <c r="A11" t="s">
        <v>1174</v>
      </c>
      <c r="B11" s="97" t="s">
        <v>321</v>
      </c>
      <c r="C11">
        <v>15</v>
      </c>
      <c r="D11" s="28">
        <v>22.924201864882196</v>
      </c>
      <c r="E11" t="s">
        <v>41</v>
      </c>
      <c r="F11" s="27" t="str">
        <f t="shared" si="0"/>
        <v>400V DOL Motor Starter Cubicle</v>
      </c>
      <c r="G11" s="27" t="str" cm="1">
        <f t="array" ref="G11">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1" s="10"/>
      <c r="I11" s="10"/>
    </row>
    <row r="12" spans="1:17">
      <c r="A12" t="s">
        <v>1175</v>
      </c>
      <c r="B12" s="98" t="s">
        <v>15</v>
      </c>
      <c r="C12">
        <v>30</v>
      </c>
      <c r="D12" s="28">
        <v>45.848403729764392</v>
      </c>
      <c r="E12" s="10" t="s">
        <v>36</v>
      </c>
      <c r="F12" s="27" t="str">
        <f t="shared" si="0"/>
        <v>400V SCR-Controlled Heater Feeder Cubicle (per Dwg LV8)</v>
      </c>
      <c r="G12" s="27" t="str" cm="1">
        <f t="array" ref="G12">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12" s="10"/>
      <c r="I12" s="10"/>
      <c r="M12" s="10"/>
      <c r="Q12" s="10"/>
    </row>
    <row r="13" spans="1:17">
      <c r="A13" s="26" t="s">
        <v>1176</v>
      </c>
      <c r="B13" s="98" t="s">
        <v>15</v>
      </c>
      <c r="C13" s="26">
        <v>5</v>
      </c>
      <c r="D13" s="31">
        <v>7.6414006216273993</v>
      </c>
      <c r="E13" t="s">
        <v>41</v>
      </c>
      <c r="F13" s="27" t="str">
        <f t="shared" si="0"/>
        <v>400V DOL Motor Starter Cubicle</v>
      </c>
      <c r="G13" s="27" t="str" cm="1">
        <f t="array" ref="G13">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3" s="10"/>
      <c r="I13" s="10"/>
      <c r="Q13" s="10"/>
    </row>
    <row r="14" spans="1:17">
      <c r="A14" t="s">
        <v>1177</v>
      </c>
      <c r="B14" s="98" t="s">
        <v>321</v>
      </c>
      <c r="C14">
        <v>5</v>
      </c>
      <c r="D14" s="28">
        <v>7.6414006216273993</v>
      </c>
      <c r="E14" t="s">
        <v>41</v>
      </c>
      <c r="F14" s="27" t="str">
        <f t="shared" si="0"/>
        <v>400V DOL Motor Starter Cubicle</v>
      </c>
      <c r="G14" s="27" t="str" cm="1">
        <f t="array" ref="G14">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4" s="10"/>
      <c r="I14" s="10"/>
      <c r="Q14" s="10"/>
    </row>
    <row r="15" spans="1:17" ht="26.4">
      <c r="A15" s="11" t="s">
        <v>1178</v>
      </c>
      <c r="B15" s="99" t="s">
        <v>15</v>
      </c>
      <c r="C15" s="13">
        <v>5</v>
      </c>
      <c r="D15" s="32">
        <v>7.6414006216273993</v>
      </c>
      <c r="E15" t="s">
        <v>41</v>
      </c>
      <c r="F15" s="27" t="str">
        <f t="shared" si="0"/>
        <v>400V DOL Motor Starter Cubicle</v>
      </c>
      <c r="G15" s="27" t="str" cm="1">
        <f t="array" ref="G15">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5" s="10"/>
      <c r="I15" s="10"/>
      <c r="N15" s="10"/>
      <c r="Q15" s="10"/>
    </row>
    <row r="16" spans="1:17" ht="39.6">
      <c r="A16" s="27" t="s">
        <v>1179</v>
      </c>
      <c r="B16" s="98" t="s">
        <v>321</v>
      </c>
      <c r="C16">
        <v>1</v>
      </c>
      <c r="D16" s="28">
        <v>1.5282801243254798</v>
      </c>
      <c r="E16" t="s">
        <v>41</v>
      </c>
      <c r="F16" s="27" t="str">
        <f t="shared" si="0"/>
        <v>400V DOL Motor Starter Cubicle</v>
      </c>
      <c r="G16" s="27" t="str" cm="1">
        <f t="array" ref="G16">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6" s="10"/>
      <c r="I16" s="10"/>
      <c r="N16" s="10"/>
      <c r="Q16" s="10"/>
    </row>
    <row r="17" spans="1:25" ht="26.4">
      <c r="A17" s="27" t="s">
        <v>1180</v>
      </c>
      <c r="B17" s="97" t="s">
        <v>15</v>
      </c>
      <c r="C17">
        <v>15</v>
      </c>
      <c r="D17" s="28">
        <v>22.924201864882196</v>
      </c>
      <c r="E17" t="s">
        <v>20</v>
      </c>
      <c r="F17" s="27" t="str">
        <f t="shared" si="0"/>
        <v>400V MCCB Feeder Cubicle (I &lt; 160A, per Dwg LV4)</v>
      </c>
      <c r="G17" s="27" t="str" cm="1">
        <f t="array" ref="G17">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7" s="10"/>
      <c r="I17" s="10"/>
      <c r="N17" s="10"/>
      <c r="Q17" s="10"/>
    </row>
    <row r="18" spans="1:25" ht="39.6">
      <c r="A18" s="27" t="s">
        <v>1181</v>
      </c>
      <c r="B18" s="97" t="s">
        <v>15</v>
      </c>
      <c r="C18">
        <v>5.5</v>
      </c>
      <c r="D18" s="28">
        <v>8.4055406837901394</v>
      </c>
      <c r="E18" t="s">
        <v>41</v>
      </c>
      <c r="F18" s="27" t="str">
        <f t="shared" si="0"/>
        <v>400V DOL Motor Starter Cubicle</v>
      </c>
      <c r="G18" s="27" t="str" cm="1">
        <f t="array" ref="G18">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8" s="10"/>
      <c r="I18" s="10"/>
      <c r="Q18" s="10"/>
    </row>
    <row r="19" spans="1:25" ht="26.4">
      <c r="A19" s="27" t="s">
        <v>1183</v>
      </c>
      <c r="B19" s="97" t="s">
        <v>321</v>
      </c>
      <c r="C19">
        <v>7.5</v>
      </c>
      <c r="D19" s="28">
        <v>11.462100932441098</v>
      </c>
      <c r="E19" t="s">
        <v>41</v>
      </c>
      <c r="F19" s="27" t="str">
        <f t="shared" si="0"/>
        <v>400V DOL Motor Starter Cubicle</v>
      </c>
      <c r="G19" s="27" t="str" cm="1">
        <f t="array" ref="G19">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9" s="10"/>
      <c r="I19" s="10"/>
      <c r="Q19" s="10"/>
    </row>
    <row r="20" spans="1:25" ht="26.4">
      <c r="A20" s="27" t="s">
        <v>1185</v>
      </c>
      <c r="B20" s="97" t="s">
        <v>15</v>
      </c>
      <c r="C20">
        <v>7.5</v>
      </c>
      <c r="D20" s="28">
        <v>11.462100932441098</v>
      </c>
      <c r="E20" t="s">
        <v>41</v>
      </c>
      <c r="F20" s="27" t="str">
        <f t="shared" si="0"/>
        <v>400V DOL Motor Starter Cubicle</v>
      </c>
      <c r="G20" s="27" t="str" cm="1">
        <f t="array" ref="G20">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20" s="10"/>
      <c r="I20" s="10"/>
    </row>
    <row r="21" spans="1:25" ht="26.4">
      <c r="A21" s="27" t="s">
        <v>1187</v>
      </c>
      <c r="B21" s="97" t="s">
        <v>15</v>
      </c>
      <c r="C21">
        <v>3</v>
      </c>
      <c r="D21" s="28">
        <v>4.5848403729764398</v>
      </c>
      <c r="E21" s="10" t="s">
        <v>36</v>
      </c>
      <c r="F21" s="27" t="str">
        <f t="shared" si="0"/>
        <v>400V SCR-Controlled Heater Feeder Cubicle (per Dwg LV8)</v>
      </c>
      <c r="G21" s="27" t="str" cm="1">
        <f t="array" ref="G21">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21" s="10"/>
      <c r="I21" s="10"/>
    </row>
    <row r="22" spans="1:25" ht="26.4">
      <c r="A22" s="27" t="s">
        <v>1189</v>
      </c>
      <c r="B22" s="97" t="s">
        <v>321</v>
      </c>
      <c r="C22">
        <v>30</v>
      </c>
      <c r="D22" s="28">
        <v>45.848403729764392</v>
      </c>
      <c r="E22" s="10" t="s">
        <v>36</v>
      </c>
      <c r="F22" s="27" t="str">
        <f t="shared" si="0"/>
        <v>400V SCR-Controlled Heater Feeder Cubicle (per Dwg LV8)</v>
      </c>
      <c r="G22" s="27" t="str" cm="1">
        <f t="array" ref="G22">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22" s="10"/>
      <c r="I22" s="10"/>
    </row>
    <row r="23" spans="1:25" ht="39.6">
      <c r="A23" s="27" t="s">
        <v>1191</v>
      </c>
      <c r="B23" s="98" t="s">
        <v>15</v>
      </c>
      <c r="C23">
        <v>1.5</v>
      </c>
      <c r="D23" s="28">
        <v>2.2924201864882199</v>
      </c>
      <c r="E23" t="s">
        <v>41</v>
      </c>
      <c r="F23" s="27" t="str">
        <f t="shared" si="0"/>
        <v>400V DOL Motor Starter Cubicle</v>
      </c>
      <c r="G23" s="27" t="str" cm="1">
        <f t="array" ref="G23">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23" s="10"/>
      <c r="I23" s="10"/>
    </row>
    <row r="24" spans="1:25" ht="26.4">
      <c r="A24" s="27" t="s">
        <v>1193</v>
      </c>
      <c r="B24" s="98" t="s">
        <v>15</v>
      </c>
      <c r="C24">
        <v>7.5</v>
      </c>
      <c r="D24" s="28">
        <v>11.462100932441098</v>
      </c>
      <c r="E24" t="s">
        <v>41</v>
      </c>
      <c r="F24" s="27" t="str">
        <f t="shared" si="0"/>
        <v>400V DOL Motor Starter Cubicle</v>
      </c>
      <c r="G24" s="27" t="str" cm="1">
        <f t="array" ref="G24">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24" s="10"/>
      <c r="I24" s="10"/>
    </row>
    <row r="25" spans="1:25" ht="26.4">
      <c r="A25" s="27" t="s">
        <v>1195</v>
      </c>
      <c r="B25" s="98" t="s">
        <v>321</v>
      </c>
      <c r="C25">
        <v>7.5</v>
      </c>
      <c r="D25" s="28">
        <v>11.462100932441098</v>
      </c>
      <c r="E25" t="s">
        <v>41</v>
      </c>
      <c r="F25" s="27" t="str">
        <f t="shared" si="0"/>
        <v>400V DOL Motor Starter Cubicle</v>
      </c>
      <c r="G25" s="27" t="str" cm="1">
        <f t="array" ref="G25">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25" s="10"/>
      <c r="I25" s="10"/>
      <c r="P25" s="10" t="s">
        <v>12</v>
      </c>
      <c r="Q25" s="10" t="s">
        <v>2514</v>
      </c>
      <c r="W25" t="s">
        <v>41</v>
      </c>
      <c r="X25" t="s">
        <v>17</v>
      </c>
      <c r="Y25" t="s">
        <v>288</v>
      </c>
    </row>
    <row r="26" spans="1:25" ht="39.6">
      <c r="A26" s="27" t="s">
        <v>1196</v>
      </c>
      <c r="B26" s="98" t="s">
        <v>15</v>
      </c>
      <c r="C26">
        <v>11</v>
      </c>
      <c r="D26" s="28">
        <v>16.811081367580279</v>
      </c>
      <c r="E26" t="s">
        <v>41</v>
      </c>
      <c r="F26" s="27" t="str">
        <f t="shared" si="0"/>
        <v>400V DOL Motor Starter Cubicle</v>
      </c>
      <c r="G26" s="27" t="str" cm="1">
        <f t="array" ref="G26">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26" s="10"/>
      <c r="I26" s="10"/>
      <c r="M26" s="29"/>
      <c r="N26" s="29"/>
      <c r="O26" s="29"/>
      <c r="P26">
        <f>SUM(P27:P39)</f>
        <v>141</v>
      </c>
      <c r="Q26">
        <f>SUM(Q27:Q39)</f>
        <v>45</v>
      </c>
      <c r="W26" t="s">
        <v>36</v>
      </c>
      <c r="X26" t="s">
        <v>37</v>
      </c>
      <c r="Y26" t="s">
        <v>22</v>
      </c>
    </row>
    <row r="27" spans="1:25" ht="39.6">
      <c r="A27" s="27" t="s">
        <v>1198</v>
      </c>
      <c r="B27" s="98" t="s">
        <v>15</v>
      </c>
      <c r="C27">
        <v>11</v>
      </c>
      <c r="D27" s="28">
        <v>16.811081367580279</v>
      </c>
      <c r="E27" s="10" t="s">
        <v>41</v>
      </c>
      <c r="F27" s="27" t="str">
        <f t="shared" si="0"/>
        <v>400V DOL Motor Starter Cubicle</v>
      </c>
      <c r="G27" s="27" t="str" cm="1">
        <f t="array" ref="G27">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27" s="10"/>
      <c r="I27" s="10"/>
      <c r="M27" t="s">
        <v>41</v>
      </c>
      <c r="N27" t="s">
        <v>17</v>
      </c>
      <c r="O27" t="s">
        <v>288</v>
      </c>
      <c r="P27">
        <f>COUNTIFS($E$2:$E$142,M27,$F$2:$F$142,N27,$G$2:$G$142,O27)</f>
        <v>70</v>
      </c>
      <c r="Q27">
        <f>ROUNDUP(P27*0.3,0)</f>
        <v>21</v>
      </c>
      <c r="W27" t="s">
        <v>20</v>
      </c>
      <c r="X27" t="s">
        <v>21</v>
      </c>
      <c r="Y27" t="s">
        <v>288</v>
      </c>
    </row>
    <row r="28" spans="1:25" ht="26.4">
      <c r="A28" s="27" t="s">
        <v>1200</v>
      </c>
      <c r="B28" s="98" t="s">
        <v>15</v>
      </c>
      <c r="C28">
        <v>5</v>
      </c>
      <c r="D28" s="28">
        <v>7.6414006216273993</v>
      </c>
      <c r="E28" s="10" t="s">
        <v>41</v>
      </c>
      <c r="F28" s="27" t="str">
        <f t="shared" si="0"/>
        <v>400V DOL Motor Starter Cubicle</v>
      </c>
      <c r="G28" s="27" t="str" cm="1">
        <f t="array" ref="G28">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28" s="10"/>
      <c r="I28" s="10"/>
      <c r="M28" t="s">
        <v>36</v>
      </c>
      <c r="N28" t="s">
        <v>37</v>
      </c>
      <c r="O28" t="s">
        <v>22</v>
      </c>
      <c r="P28">
        <f t="shared" ref="P28:P35" si="1">COUNTIFS($E$2:$E$142,M28,$F$2:$F$142,N28,$G$2:$G$142,O28)</f>
        <v>5</v>
      </c>
      <c r="Q28">
        <f t="shared" ref="Q28:Q35" si="2">ROUNDUP(P28*0.3,0)</f>
        <v>2</v>
      </c>
      <c r="W28" t="s">
        <v>36</v>
      </c>
      <c r="X28" t="s">
        <v>37</v>
      </c>
      <c r="Y28" t="s">
        <v>288</v>
      </c>
    </row>
    <row r="29" spans="1:25" ht="26.4">
      <c r="A29" s="27" t="s">
        <v>1202</v>
      </c>
      <c r="B29" s="97" t="s">
        <v>321</v>
      </c>
      <c r="C29">
        <v>5</v>
      </c>
      <c r="D29" s="28">
        <v>7.6414006216273993</v>
      </c>
      <c r="E29" s="10" t="s">
        <v>41</v>
      </c>
      <c r="F29" s="27" t="str">
        <f t="shared" si="0"/>
        <v>400V DOL Motor Starter Cubicle</v>
      </c>
      <c r="G29" s="27" t="str" cm="1">
        <f t="array" ref="G29">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29" s="10"/>
      <c r="I29" s="10"/>
      <c r="M29" t="s">
        <v>20</v>
      </c>
      <c r="N29" t="s">
        <v>21</v>
      </c>
      <c r="O29" t="s">
        <v>288</v>
      </c>
      <c r="P29">
        <f t="shared" si="1"/>
        <v>40</v>
      </c>
      <c r="Q29">
        <f t="shared" si="2"/>
        <v>12</v>
      </c>
      <c r="W29" t="s">
        <v>20</v>
      </c>
      <c r="X29" t="s">
        <v>21</v>
      </c>
      <c r="Y29" t="s">
        <v>32</v>
      </c>
    </row>
    <row r="30" spans="1:25" ht="26.4">
      <c r="A30" s="27" t="s">
        <v>1204</v>
      </c>
      <c r="B30" s="97" t="s">
        <v>321</v>
      </c>
      <c r="C30">
        <v>5</v>
      </c>
      <c r="D30" s="28">
        <v>7.6414006216273993</v>
      </c>
      <c r="E30" s="10" t="s">
        <v>41</v>
      </c>
      <c r="F30" s="27" t="str">
        <f t="shared" si="0"/>
        <v>400V DOL Motor Starter Cubicle</v>
      </c>
      <c r="G30" s="27" t="str" cm="1">
        <f t="array" ref="G30">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30" s="10"/>
      <c r="I30" s="10"/>
      <c r="M30" t="s">
        <v>36</v>
      </c>
      <c r="N30" t="s">
        <v>37</v>
      </c>
      <c r="O30" t="s">
        <v>288</v>
      </c>
      <c r="P30">
        <f t="shared" si="1"/>
        <v>5</v>
      </c>
      <c r="Q30">
        <f t="shared" si="2"/>
        <v>2</v>
      </c>
      <c r="W30" t="s">
        <v>43</v>
      </c>
      <c r="X30" t="s">
        <v>44</v>
      </c>
      <c r="Y30" t="s">
        <v>288</v>
      </c>
    </row>
    <row r="31" spans="1:25">
      <c r="A31" s="27" t="s">
        <v>870</v>
      </c>
      <c r="B31" s="98" t="s">
        <v>321</v>
      </c>
      <c r="C31">
        <v>5</v>
      </c>
      <c r="D31" s="28">
        <v>6.4527383027075809</v>
      </c>
      <c r="E31" t="s">
        <v>20</v>
      </c>
      <c r="F31" s="27" t="str">
        <f t="shared" si="0"/>
        <v>400V MCCB Feeder Cubicle (I &lt; 160A, per Dwg LV4)</v>
      </c>
      <c r="G31" s="27" t="str" cm="1">
        <f t="array" ref="G31">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31" s="10"/>
      <c r="I31" s="10"/>
      <c r="M31" t="s">
        <v>20</v>
      </c>
      <c r="N31" t="s">
        <v>21</v>
      </c>
      <c r="O31" t="s">
        <v>22</v>
      </c>
      <c r="P31">
        <f t="shared" si="1"/>
        <v>3</v>
      </c>
      <c r="Q31">
        <f t="shared" si="2"/>
        <v>1</v>
      </c>
      <c r="W31" t="s">
        <v>43</v>
      </c>
      <c r="X31" t="s">
        <v>44</v>
      </c>
      <c r="Y31" t="s">
        <v>22</v>
      </c>
    </row>
    <row r="32" spans="1:25" ht="26.4">
      <c r="A32" s="27" t="s">
        <v>1206</v>
      </c>
      <c r="B32" s="97" t="s">
        <v>15</v>
      </c>
      <c r="C32">
        <v>75</v>
      </c>
      <c r="D32" s="28">
        <v>110.37578675684021</v>
      </c>
      <c r="E32" t="s">
        <v>20</v>
      </c>
      <c r="F32" s="27" t="str">
        <f t="shared" si="0"/>
        <v>400V MCCB Feeder Cubicle (I &lt; 160A, per Dwg LV4)</v>
      </c>
      <c r="G32" s="27" t="str" cm="1">
        <f t="array" ref="G32">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32" s="10"/>
      <c r="I32" s="10"/>
      <c r="M32" t="s">
        <v>43</v>
      </c>
      <c r="N32" t="s">
        <v>44</v>
      </c>
      <c r="O32" t="s">
        <v>288</v>
      </c>
      <c r="P32">
        <f t="shared" si="1"/>
        <v>2</v>
      </c>
      <c r="Q32">
        <f t="shared" si="2"/>
        <v>1</v>
      </c>
      <c r="W32" t="s">
        <v>43</v>
      </c>
      <c r="X32" t="s">
        <v>44</v>
      </c>
      <c r="Y32" t="s">
        <v>27</v>
      </c>
    </row>
    <row r="33" spans="1:25" ht="26.4">
      <c r="A33" s="27" t="s">
        <v>1208</v>
      </c>
      <c r="B33" s="97" t="s">
        <v>321</v>
      </c>
      <c r="C33">
        <v>75</v>
      </c>
      <c r="D33" s="28">
        <v>110.37578675684021</v>
      </c>
      <c r="E33" t="s">
        <v>20</v>
      </c>
      <c r="F33" s="27" t="str">
        <f t="shared" si="0"/>
        <v>400V MCCB Feeder Cubicle (I &lt; 160A, per Dwg LV4)</v>
      </c>
      <c r="G33" s="27" t="str" cm="1">
        <f t="array" ref="G33">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33" s="10"/>
      <c r="I33" s="10"/>
      <c r="M33" t="s">
        <v>43</v>
      </c>
      <c r="N33" t="s">
        <v>44</v>
      </c>
      <c r="O33" t="s">
        <v>22</v>
      </c>
      <c r="P33">
        <f t="shared" si="1"/>
        <v>12</v>
      </c>
      <c r="Q33">
        <f t="shared" si="2"/>
        <v>4</v>
      </c>
      <c r="W33" t="s">
        <v>43</v>
      </c>
      <c r="X33" t="s">
        <v>44</v>
      </c>
      <c r="Y33" t="s">
        <v>39</v>
      </c>
    </row>
    <row r="34" spans="1:25">
      <c r="A34" s="27" t="s">
        <v>1210</v>
      </c>
      <c r="B34" s="98" t="s">
        <v>15</v>
      </c>
      <c r="C34">
        <v>3.7</v>
      </c>
      <c r="D34" s="28">
        <v>2.6403213530013376</v>
      </c>
      <c r="E34" t="s">
        <v>41</v>
      </c>
      <c r="F34" s="27" t="str">
        <f t="shared" si="0"/>
        <v>400V DOL Motor Starter Cubicle</v>
      </c>
      <c r="G34" s="27" t="str" cm="1">
        <f t="array" ref="G34">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34" s="10"/>
      <c r="I34" s="10"/>
      <c r="M34" t="s">
        <v>16</v>
      </c>
      <c r="N34" t="s">
        <v>17</v>
      </c>
      <c r="O34" t="s">
        <v>32</v>
      </c>
      <c r="P34">
        <f t="shared" si="1"/>
        <v>2</v>
      </c>
      <c r="Q34">
        <f t="shared" si="2"/>
        <v>1</v>
      </c>
      <c r="W34" t="s">
        <v>43</v>
      </c>
      <c r="X34" t="s">
        <v>44</v>
      </c>
      <c r="Y34" t="s">
        <v>32</v>
      </c>
    </row>
    <row r="35" spans="1:25" ht="26.4">
      <c r="A35" s="27" t="s">
        <v>1212</v>
      </c>
      <c r="B35" s="98" t="s">
        <v>15</v>
      </c>
      <c r="C35">
        <v>0.55000000000000004</v>
      </c>
      <c r="D35" s="28">
        <v>0.70408569413369004</v>
      </c>
      <c r="E35" t="s">
        <v>41</v>
      </c>
      <c r="F35" s="27" t="str">
        <f t="shared" si="0"/>
        <v>400V DOL Motor Starter Cubicle</v>
      </c>
      <c r="G35" s="27" t="str" cm="1">
        <f t="array" ref="G35">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35" s="10"/>
      <c r="I35" s="10"/>
      <c r="M35" t="s">
        <v>41</v>
      </c>
      <c r="N35" t="s">
        <v>17</v>
      </c>
      <c r="O35" t="s">
        <v>22</v>
      </c>
      <c r="P35">
        <f t="shared" si="1"/>
        <v>2</v>
      </c>
      <c r="Q35">
        <f t="shared" si="2"/>
        <v>1</v>
      </c>
      <c r="W35" t="s">
        <v>16</v>
      </c>
      <c r="X35" t="s">
        <v>17</v>
      </c>
      <c r="Y35" t="s">
        <v>27</v>
      </c>
    </row>
    <row r="36" spans="1:25">
      <c r="A36" s="27" t="s">
        <v>1214</v>
      </c>
      <c r="B36" s="97" t="s">
        <v>321</v>
      </c>
      <c r="C36">
        <v>3.7</v>
      </c>
      <c r="D36" s="28">
        <v>2.6403213530013376</v>
      </c>
      <c r="E36" t="s">
        <v>41</v>
      </c>
      <c r="F36" s="27" t="str">
        <f t="shared" si="0"/>
        <v>400V DOL Motor Starter Cubicle</v>
      </c>
      <c r="G36" s="27" t="str" cm="1">
        <f t="array" ref="G36">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36" s="10"/>
      <c r="I36" s="10"/>
      <c r="W36" t="s">
        <v>41</v>
      </c>
      <c r="X36" t="s">
        <v>17</v>
      </c>
      <c r="Y36" t="s">
        <v>22</v>
      </c>
    </row>
    <row r="37" spans="1:25" ht="26.4">
      <c r="A37" s="27" t="s">
        <v>1215</v>
      </c>
      <c r="B37" s="98" t="s">
        <v>321</v>
      </c>
      <c r="C37">
        <v>0.55000000000000004</v>
      </c>
      <c r="D37" s="28">
        <v>0.70408569413369004</v>
      </c>
      <c r="E37" t="s">
        <v>41</v>
      </c>
      <c r="F37" s="27" t="str">
        <f t="shared" si="0"/>
        <v>400V DOL Motor Starter Cubicle</v>
      </c>
      <c r="G37" s="27" t="str" cm="1">
        <f t="array" ref="G37">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37" s="10"/>
      <c r="I37" s="10"/>
    </row>
    <row r="38" spans="1:25">
      <c r="A38" s="27" t="s">
        <v>1216</v>
      </c>
      <c r="B38" s="97" t="s">
        <v>15</v>
      </c>
      <c r="C38">
        <v>7.5</v>
      </c>
      <c r="D38" s="28">
        <v>10.861401939129834</v>
      </c>
      <c r="E38" t="s">
        <v>41</v>
      </c>
      <c r="F38" s="27" t="str">
        <f t="shared" si="0"/>
        <v>400V DOL Motor Starter Cubicle</v>
      </c>
      <c r="G38" s="27" t="str" cm="1">
        <f t="array" ref="G38">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38" s="10"/>
      <c r="I38" s="10"/>
    </row>
    <row r="39" spans="1:25">
      <c r="A39" s="27" t="s">
        <v>1218</v>
      </c>
      <c r="B39" s="98" t="s">
        <v>321</v>
      </c>
      <c r="C39">
        <v>7.5</v>
      </c>
      <c r="D39" s="28">
        <v>10.861401939129834</v>
      </c>
      <c r="E39" t="s">
        <v>41</v>
      </c>
      <c r="F39" s="27" t="str">
        <f t="shared" si="0"/>
        <v>400V DOL Motor Starter Cubicle</v>
      </c>
      <c r="G39" s="27" t="str" cm="1">
        <f t="array" ref="G39">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39" s="10"/>
      <c r="I39" s="10"/>
    </row>
    <row r="40" spans="1:25">
      <c r="A40" s="27" t="s">
        <v>1219</v>
      </c>
      <c r="B40" s="97" t="s">
        <v>15</v>
      </c>
      <c r="C40">
        <v>15</v>
      </c>
      <c r="D40" s="28">
        <v>20.56810333988042</v>
      </c>
      <c r="E40" s="10" t="s">
        <v>41</v>
      </c>
      <c r="F40" s="27" t="str">
        <f t="shared" si="0"/>
        <v>400V DOL Motor Starter Cubicle</v>
      </c>
      <c r="G40" s="27" t="str" cm="1">
        <f t="array" ref="G40">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40" s="10"/>
      <c r="I40" s="10"/>
    </row>
    <row r="41" spans="1:25">
      <c r="A41" s="27" t="s">
        <v>1221</v>
      </c>
      <c r="B41" s="98" t="s">
        <v>321</v>
      </c>
      <c r="C41">
        <v>15</v>
      </c>
      <c r="D41" s="28">
        <v>20.56810333988042</v>
      </c>
      <c r="E41" t="s">
        <v>41</v>
      </c>
      <c r="F41" s="27" t="str">
        <f t="shared" si="0"/>
        <v>400V DOL Motor Starter Cubicle</v>
      </c>
      <c r="G41" s="27" t="str" cm="1">
        <f t="array" ref="G41">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41" s="10"/>
      <c r="I41" s="10"/>
    </row>
    <row r="42" spans="1:25">
      <c r="A42" s="27" t="s">
        <v>307</v>
      </c>
      <c r="B42" s="97" t="s">
        <v>15</v>
      </c>
      <c r="C42">
        <v>0.75</v>
      </c>
      <c r="D42" s="28">
        <v>5.7735026918962574E-2</v>
      </c>
      <c r="E42" t="s">
        <v>41</v>
      </c>
      <c r="F42" s="27" t="str">
        <f t="shared" si="0"/>
        <v>400V DOL Motor Starter Cubicle</v>
      </c>
      <c r="G42" s="27" t="str" cm="1">
        <f t="array" ref="G42">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42" s="10"/>
      <c r="I42" s="10"/>
    </row>
    <row r="43" spans="1:25">
      <c r="A43" s="27" t="s">
        <v>1223</v>
      </c>
      <c r="B43" s="97" t="s">
        <v>15</v>
      </c>
      <c r="C43">
        <v>11</v>
      </c>
      <c r="D43" s="28">
        <v>15.40187455917447</v>
      </c>
      <c r="E43" t="s">
        <v>41</v>
      </c>
      <c r="F43" s="27" t="str">
        <f t="shared" si="0"/>
        <v>400V DOL Motor Starter Cubicle</v>
      </c>
      <c r="G43" s="27" t="str" cm="1">
        <f t="array" ref="G43">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43" s="10"/>
      <c r="I43" s="10"/>
    </row>
    <row r="44" spans="1:25">
      <c r="A44" s="27" t="s">
        <v>1225</v>
      </c>
      <c r="B44" s="98" t="s">
        <v>321</v>
      </c>
      <c r="C44">
        <v>11</v>
      </c>
      <c r="D44" s="28">
        <v>15.40187455917447</v>
      </c>
      <c r="E44" t="s">
        <v>41</v>
      </c>
      <c r="F44" s="27" t="str">
        <f t="shared" si="0"/>
        <v>400V DOL Motor Starter Cubicle</v>
      </c>
      <c r="G44" s="27" t="str" cm="1">
        <f t="array" ref="G44">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44" s="10"/>
      <c r="I44" s="10"/>
    </row>
    <row r="45" spans="1:25">
      <c r="A45" s="27" t="s">
        <v>1226</v>
      </c>
      <c r="B45" s="97" t="s">
        <v>15</v>
      </c>
      <c r="C45">
        <v>5.5</v>
      </c>
      <c r="D45" s="28">
        <v>9.9232077516966921</v>
      </c>
      <c r="E45" t="s">
        <v>41</v>
      </c>
      <c r="F45" s="27" t="str">
        <f t="shared" si="0"/>
        <v>400V DOL Motor Starter Cubicle</v>
      </c>
      <c r="G45" s="27" t="str" cm="1">
        <f t="array" ref="G45">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45" s="10"/>
      <c r="I45" s="10"/>
    </row>
    <row r="46" spans="1:25">
      <c r="A46" s="27" t="s">
        <v>1228</v>
      </c>
      <c r="B46" s="98" t="s">
        <v>321</v>
      </c>
      <c r="C46">
        <v>5.5</v>
      </c>
      <c r="D46" s="28">
        <v>9.9232077516966921</v>
      </c>
      <c r="E46" t="s">
        <v>41</v>
      </c>
      <c r="F46" s="27" t="str">
        <f t="shared" si="0"/>
        <v>400V DOL Motor Starter Cubicle</v>
      </c>
      <c r="G46" s="27" t="str" cm="1">
        <f t="array" ref="G46">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46" s="10"/>
      <c r="I46" s="10"/>
    </row>
    <row r="47" spans="1:25">
      <c r="A47" s="27" t="s">
        <v>1230</v>
      </c>
      <c r="B47" s="98" t="s">
        <v>15</v>
      </c>
      <c r="C47">
        <v>15</v>
      </c>
      <c r="D47" s="28">
        <v>26.403213530013375</v>
      </c>
      <c r="E47" t="s">
        <v>41</v>
      </c>
      <c r="F47" s="27" t="str">
        <f t="shared" si="0"/>
        <v>400V DOL Motor Starter Cubicle</v>
      </c>
      <c r="G47" s="27" t="str" cm="1">
        <f t="array" ref="G47">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47" s="10"/>
      <c r="I47" s="10"/>
    </row>
    <row r="48" spans="1:25">
      <c r="A48" s="27" t="s">
        <v>1232</v>
      </c>
      <c r="B48" s="97" t="s">
        <v>321</v>
      </c>
      <c r="C48">
        <v>15</v>
      </c>
      <c r="D48" s="28">
        <v>26.403213530013375</v>
      </c>
      <c r="E48" t="s">
        <v>41</v>
      </c>
      <c r="F48" s="27" t="str">
        <f t="shared" si="0"/>
        <v>400V DOL Motor Starter Cubicle</v>
      </c>
      <c r="G48" s="27" t="str" cm="1">
        <f t="array" ref="G48">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48" s="10"/>
      <c r="I48" s="10"/>
    </row>
    <row r="49" spans="1:9">
      <c r="A49" s="27" t="s">
        <v>1234</v>
      </c>
      <c r="B49" s="97" t="s">
        <v>15</v>
      </c>
      <c r="C49">
        <v>4</v>
      </c>
      <c r="D49" s="28">
        <v>7.2168783648703219</v>
      </c>
      <c r="E49" t="s">
        <v>41</v>
      </c>
      <c r="F49" s="27" t="str">
        <f t="shared" si="0"/>
        <v>400V DOL Motor Starter Cubicle</v>
      </c>
      <c r="G49" s="27" t="str" cm="1">
        <f t="array" ref="G49">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49" s="10"/>
      <c r="I49" s="10"/>
    </row>
    <row r="50" spans="1:9">
      <c r="A50" s="27" t="s">
        <v>1236</v>
      </c>
      <c r="B50" s="98" t="s">
        <v>321</v>
      </c>
      <c r="C50">
        <v>4</v>
      </c>
      <c r="D50" s="28">
        <v>7.2168783648703219</v>
      </c>
      <c r="E50" t="s">
        <v>41</v>
      </c>
      <c r="F50" s="27" t="str">
        <f t="shared" si="0"/>
        <v>400V DOL Motor Starter Cubicle</v>
      </c>
      <c r="G50" s="27" t="str" cm="1">
        <f t="array" ref="G50">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50" s="10"/>
      <c r="I50" s="10"/>
    </row>
    <row r="51" spans="1:9">
      <c r="A51" s="27" t="s">
        <v>1238</v>
      </c>
      <c r="B51" s="97" t="s">
        <v>15</v>
      </c>
      <c r="C51">
        <v>7.5</v>
      </c>
      <c r="D51" s="28">
        <v>4.5105489780439516</v>
      </c>
      <c r="E51" t="s">
        <v>41</v>
      </c>
      <c r="F51" s="27" t="str">
        <f t="shared" si="0"/>
        <v>400V DOL Motor Starter Cubicle</v>
      </c>
      <c r="G51" s="27" t="str" cm="1">
        <f t="array" ref="G51">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51" s="10"/>
      <c r="I51" s="10"/>
    </row>
    <row r="52" spans="1:9">
      <c r="A52" s="27" t="s">
        <v>1240</v>
      </c>
      <c r="B52" s="98" t="s">
        <v>321</v>
      </c>
      <c r="C52">
        <v>7.5</v>
      </c>
      <c r="D52" s="28">
        <v>4.5105489780439516</v>
      </c>
      <c r="E52" t="s">
        <v>41</v>
      </c>
      <c r="F52" s="27" t="str">
        <f t="shared" si="0"/>
        <v>400V DOL Motor Starter Cubicle</v>
      </c>
      <c r="G52" s="27" t="str" cm="1">
        <f t="array" ref="G52">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52" s="10"/>
      <c r="I52" s="10"/>
    </row>
    <row r="53" spans="1:9">
      <c r="A53" s="27" t="s">
        <v>1241</v>
      </c>
      <c r="B53" s="97" t="s">
        <v>321</v>
      </c>
      <c r="C53">
        <v>7.5</v>
      </c>
      <c r="D53" s="28">
        <v>6.5493171161198172</v>
      </c>
      <c r="E53" t="s">
        <v>41</v>
      </c>
      <c r="F53" s="27" t="str">
        <f t="shared" si="0"/>
        <v>400V DOL Motor Starter Cubicle</v>
      </c>
      <c r="G53" s="27" t="str" cm="1">
        <f t="array" ref="G53">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53" s="10"/>
      <c r="I53" s="10"/>
    </row>
    <row r="54" spans="1:9">
      <c r="A54" s="27" t="s">
        <v>1243</v>
      </c>
      <c r="B54" s="98" t="s">
        <v>15</v>
      </c>
      <c r="C54">
        <v>5</v>
      </c>
      <c r="D54" s="28">
        <v>3.5659869567594531</v>
      </c>
      <c r="E54" t="s">
        <v>43</v>
      </c>
      <c r="F54" s="27" t="str">
        <f t="shared" si="0"/>
        <v>400V 3Ph+N+PE Feeder Cubicle (per Dwg LV5)</v>
      </c>
      <c r="G54" s="27" t="str" cm="1">
        <f t="array" ref="G54">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54" s="10"/>
      <c r="I54" s="10"/>
    </row>
    <row r="55" spans="1:9">
      <c r="A55" s="27" t="s">
        <v>1245</v>
      </c>
      <c r="B55" s="98" t="s">
        <v>15</v>
      </c>
      <c r="C55">
        <v>5</v>
      </c>
      <c r="D55" s="28">
        <v>3.5659869567594531</v>
      </c>
      <c r="E55" t="s">
        <v>43</v>
      </c>
      <c r="F55" s="27" t="str">
        <f t="shared" si="0"/>
        <v>400V 3Ph+N+PE Feeder Cubicle (per Dwg LV5)</v>
      </c>
      <c r="G55" s="27" t="str" cm="1">
        <f t="array" ref="G55">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55" s="10"/>
      <c r="I55" s="10"/>
    </row>
    <row r="56" spans="1:9">
      <c r="A56" s="27" t="s">
        <v>1247</v>
      </c>
      <c r="B56" s="97" t="s">
        <v>15</v>
      </c>
      <c r="C56">
        <v>30</v>
      </c>
      <c r="D56" s="28">
        <v>44.999359216250241</v>
      </c>
      <c r="E56" t="s">
        <v>43</v>
      </c>
      <c r="F56" s="27" t="str">
        <f t="shared" si="0"/>
        <v>400V 3Ph+N+PE Feeder Cubicle (per Dwg LV5)</v>
      </c>
      <c r="G56" s="27" t="str" cm="1">
        <f t="array" ref="G56">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56" s="10"/>
      <c r="I56" s="10"/>
    </row>
    <row r="57" spans="1:9">
      <c r="A57" s="27" t="s">
        <v>1249</v>
      </c>
      <c r="B57" s="97" t="s">
        <v>321</v>
      </c>
      <c r="C57">
        <v>30</v>
      </c>
      <c r="D57" s="28">
        <v>49.244581783821019</v>
      </c>
      <c r="E57" t="s">
        <v>43</v>
      </c>
      <c r="F57" s="27" t="str">
        <f t="shared" si="0"/>
        <v>400V 3Ph+N+PE Feeder Cubicle (per Dwg LV5)</v>
      </c>
      <c r="G57" s="27" t="str" cm="1">
        <f t="array" ref="G57">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57" s="10"/>
      <c r="I57" s="10"/>
    </row>
    <row r="58" spans="1:9">
      <c r="A58" s="27" t="s">
        <v>1251</v>
      </c>
      <c r="B58" s="98" t="s">
        <v>15</v>
      </c>
      <c r="C58">
        <v>30</v>
      </c>
      <c r="D58" s="28">
        <v>41.603181162193614</v>
      </c>
      <c r="E58" t="s">
        <v>43</v>
      </c>
      <c r="F58" s="27" t="str">
        <f t="shared" si="0"/>
        <v>400V 3Ph+N+PE Feeder Cubicle (per Dwg LV5)</v>
      </c>
      <c r="G58" s="27" t="str" cm="1">
        <f t="array" ref="G58">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58" s="10"/>
      <c r="I58" s="10"/>
    </row>
    <row r="59" spans="1:9">
      <c r="A59" s="27" t="s">
        <v>1253</v>
      </c>
      <c r="B59" s="98" t="s">
        <v>321</v>
      </c>
      <c r="C59">
        <v>30</v>
      </c>
      <c r="D59" s="28">
        <v>44.150314702736082</v>
      </c>
      <c r="E59" t="s">
        <v>43</v>
      </c>
      <c r="F59" s="27" t="str">
        <f t="shared" si="0"/>
        <v>400V 3Ph+N+PE Feeder Cubicle (per Dwg LV5)</v>
      </c>
      <c r="G59" s="27" t="str" cm="1">
        <f t="array" ref="G59">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59" s="10"/>
      <c r="I59" s="10"/>
    </row>
    <row r="60" spans="1:9">
      <c r="A60" s="27" t="s">
        <v>1255</v>
      </c>
      <c r="B60" s="97" t="s">
        <v>321</v>
      </c>
      <c r="C60">
        <v>30</v>
      </c>
      <c r="D60" s="28">
        <v>40.754136648679463</v>
      </c>
      <c r="E60" t="s">
        <v>43</v>
      </c>
      <c r="F60" s="27" t="str">
        <f t="shared" si="0"/>
        <v>400V 3Ph+N+PE Feeder Cubicle (per Dwg LV5)</v>
      </c>
      <c r="G60" s="27" t="str" cm="1">
        <f t="array" ref="G60">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60" s="10"/>
      <c r="I60" s="10"/>
    </row>
    <row r="61" spans="1:9">
      <c r="A61" s="27" t="s">
        <v>1257</v>
      </c>
      <c r="B61" s="98" t="s">
        <v>15</v>
      </c>
      <c r="C61">
        <v>50</v>
      </c>
      <c r="D61" s="28">
        <v>67.923561081132434</v>
      </c>
      <c r="E61" t="s">
        <v>43</v>
      </c>
      <c r="F61" s="27" t="str">
        <f t="shared" si="0"/>
        <v>400V 3Ph+N+PE Feeder Cubicle (per Dwg LV5)</v>
      </c>
      <c r="G61" s="27" t="str" cm="1">
        <f t="array" ref="G61">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61" s="10"/>
      <c r="I61" s="10"/>
    </row>
    <row r="62" spans="1:9">
      <c r="A62" s="27" t="s">
        <v>1259</v>
      </c>
      <c r="B62" s="97" t="s">
        <v>15</v>
      </c>
      <c r="C62">
        <v>30</v>
      </c>
      <c r="D62" s="28">
        <v>39.056047621651153</v>
      </c>
      <c r="E62" t="s">
        <v>43</v>
      </c>
      <c r="F62" s="27" t="str">
        <f t="shared" si="0"/>
        <v>400V 3Ph+N+PE Feeder Cubicle (per Dwg LV5)</v>
      </c>
      <c r="G62" s="27" t="str" cm="1">
        <f t="array" ref="G62">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62" s="10"/>
      <c r="I62" s="10"/>
    </row>
    <row r="63" spans="1:9">
      <c r="A63" s="27" t="s">
        <v>1261</v>
      </c>
      <c r="B63" s="98" t="s">
        <v>321</v>
      </c>
      <c r="C63">
        <v>30</v>
      </c>
      <c r="D63" s="28">
        <v>40.754136648679463</v>
      </c>
      <c r="E63" s="10" t="s">
        <v>43</v>
      </c>
      <c r="F63" s="27" t="str">
        <f t="shared" si="0"/>
        <v>400V 3Ph+N+PE Feeder Cubicle (per Dwg LV5)</v>
      </c>
      <c r="G63" s="27" t="str" cm="1">
        <f t="array" ref="G63">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63" s="10"/>
      <c r="I63" s="10"/>
    </row>
    <row r="64" spans="1:9">
      <c r="A64" s="27" t="s">
        <v>1263</v>
      </c>
      <c r="B64" s="98" t="s">
        <v>15</v>
      </c>
      <c r="C64">
        <v>30</v>
      </c>
      <c r="D64" s="28">
        <v>47.546492756792702</v>
      </c>
      <c r="E64" t="s">
        <v>43</v>
      </c>
      <c r="F64" s="27" t="str">
        <f t="shared" si="0"/>
        <v>400V 3Ph+N+PE Feeder Cubicle (per Dwg LV5)</v>
      </c>
      <c r="G64" s="27" t="str" cm="1">
        <f t="array" ref="G64">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64" s="10"/>
      <c r="I64" s="10"/>
    </row>
    <row r="65" spans="1:9">
      <c r="A65" s="27" t="s">
        <v>1265</v>
      </c>
      <c r="B65" s="98" t="s">
        <v>321</v>
      </c>
      <c r="C65">
        <v>30</v>
      </c>
      <c r="D65" s="28">
        <v>42.452225675707773</v>
      </c>
      <c r="E65" t="s">
        <v>43</v>
      </c>
      <c r="F65" s="27" t="str">
        <f t="shared" si="0"/>
        <v>400V 3Ph+N+PE Feeder Cubicle (per Dwg LV5)</v>
      </c>
      <c r="G65" s="27" t="str" cm="1">
        <f t="array" ref="G65">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65" s="10"/>
      <c r="I65" s="10"/>
    </row>
    <row r="66" spans="1:9">
      <c r="A66" s="27" t="s">
        <v>1267</v>
      </c>
      <c r="B66" s="97" t="s">
        <v>15</v>
      </c>
      <c r="C66" s="95"/>
      <c r="D66" s="100">
        <v>125</v>
      </c>
      <c r="E66" t="s">
        <v>20</v>
      </c>
      <c r="F66" s="27" t="str">
        <f t="shared" si="0"/>
        <v>400V MCCB Feeder Cubicle (I &lt; 160A, per Dwg LV4)</v>
      </c>
      <c r="G66" s="27" t="str" cm="1">
        <f t="array" ref="G66">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66" s="10"/>
      <c r="I66" s="10"/>
    </row>
    <row r="67" spans="1:9">
      <c r="A67" s="27" t="s">
        <v>1269</v>
      </c>
      <c r="B67" s="98" t="s">
        <v>321</v>
      </c>
      <c r="C67" s="95">
        <v>170</v>
      </c>
      <c r="D67" s="100">
        <v>400</v>
      </c>
      <c r="E67" t="s">
        <v>43</v>
      </c>
      <c r="F67" s="27" t="str">
        <f t="shared" ref="F67:F130" si="3">_xlfn.LET(
  _xlpm.tag, A67,
  _xlpm.p, N(C67),
  _xlpm.i, N(D67),
  _xlpm.st, UPPER(TRIM(E67)),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f>
        <v>400V 3Ph+N+PE Feeder Cubicle (per Dwg LV5)</v>
      </c>
      <c r="G67" s="27" t="str" cm="1">
        <f t="array" ref="G67">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67" s="10"/>
      <c r="I67" s="10"/>
    </row>
    <row r="68" spans="1:9">
      <c r="A68" s="27" t="s">
        <v>1271</v>
      </c>
      <c r="B68" s="98" t="s">
        <v>321</v>
      </c>
      <c r="C68">
        <v>12.6</v>
      </c>
      <c r="D68" s="100">
        <v>125</v>
      </c>
      <c r="E68" t="s">
        <v>43</v>
      </c>
      <c r="F68" s="27" t="str">
        <f t="shared" si="3"/>
        <v>400V 3Ph+N+PE Feeder Cubicle (per Dwg LV5)</v>
      </c>
      <c r="G68" s="27" t="str" cm="1">
        <f t="array" ref="G68">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68" s="10"/>
      <c r="I68" s="10"/>
    </row>
    <row r="69" spans="1:9">
      <c r="A69" s="27" t="s">
        <v>1273</v>
      </c>
      <c r="B69" s="98" t="s">
        <v>15</v>
      </c>
      <c r="C69">
        <v>2.2000000000000002</v>
      </c>
      <c r="D69" s="28">
        <v>3.9692831006786773</v>
      </c>
      <c r="E69" s="34" t="s">
        <v>41</v>
      </c>
      <c r="F69" s="27" t="str">
        <f t="shared" si="3"/>
        <v>400V DOL Motor Starter Cubicle</v>
      </c>
      <c r="G69" s="27" t="str" cm="1">
        <f t="array" ref="G69">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69" s="10"/>
      <c r="I69" s="10"/>
    </row>
    <row r="70" spans="1:9">
      <c r="A70" s="27" t="s">
        <v>1274</v>
      </c>
      <c r="B70" s="97" t="s">
        <v>321</v>
      </c>
      <c r="C70">
        <v>2.2000000000000002</v>
      </c>
      <c r="D70" s="28">
        <v>3.9692831006786773</v>
      </c>
      <c r="E70" s="34" t="s">
        <v>41</v>
      </c>
      <c r="F70" s="27" t="str">
        <f t="shared" si="3"/>
        <v>400V DOL Motor Starter Cubicle</v>
      </c>
      <c r="G70" s="27" t="str" cm="1">
        <f t="array" ref="G70">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70" s="10"/>
      <c r="I70" s="10"/>
    </row>
    <row r="71" spans="1:9">
      <c r="A71" s="27" t="s">
        <v>1275</v>
      </c>
      <c r="B71" s="98" t="s">
        <v>15</v>
      </c>
      <c r="C71">
        <v>90</v>
      </c>
      <c r="D71" s="28">
        <v>134.48865094064223</v>
      </c>
      <c r="E71" t="s">
        <v>16</v>
      </c>
      <c r="F71" s="27" t="str">
        <f t="shared" si="3"/>
        <v>400V DOL Motor Starter Cubicle</v>
      </c>
      <c r="G71" s="27" t="str" cm="1">
        <f t="array" ref="G71">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16E</v>
      </c>
      <c r="H71" s="10"/>
      <c r="I71" s="10"/>
    </row>
    <row r="72" spans="1:9">
      <c r="A72" s="27" t="s">
        <v>1277</v>
      </c>
      <c r="B72" s="97" t="s">
        <v>321</v>
      </c>
      <c r="C72">
        <v>90</v>
      </c>
      <c r="D72" s="28">
        <v>134.48865094064223</v>
      </c>
      <c r="E72" s="84" t="s">
        <v>16</v>
      </c>
      <c r="F72" s="27" t="str">
        <f t="shared" si="3"/>
        <v>400V DOL Motor Starter Cubicle</v>
      </c>
      <c r="G72" s="27" t="str" cm="1">
        <f t="array" ref="G72">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16E</v>
      </c>
      <c r="H72" s="10"/>
      <c r="I72" s="10"/>
    </row>
    <row r="73" spans="1:9" ht="26.4">
      <c r="A73" s="27" t="s">
        <v>1278</v>
      </c>
      <c r="B73" s="98" t="s">
        <v>15</v>
      </c>
      <c r="C73">
        <v>11</v>
      </c>
      <c r="D73" s="28">
        <v>16.980890270283108</v>
      </c>
      <c r="E73" s="84" t="s">
        <v>20</v>
      </c>
      <c r="F73" s="27" t="str">
        <f t="shared" si="3"/>
        <v>400V MCCB Feeder Cubicle (I &lt; 160A, per Dwg LV4)</v>
      </c>
      <c r="G73" s="27" t="str" cm="1">
        <f t="array" ref="G73">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73" s="10"/>
      <c r="I73" s="10"/>
    </row>
    <row r="74" spans="1:9" ht="26.4">
      <c r="A74" s="27" t="s">
        <v>1280</v>
      </c>
      <c r="B74" s="98" t="s">
        <v>321</v>
      </c>
      <c r="C74">
        <v>11</v>
      </c>
      <c r="D74" s="28">
        <v>16.980890270283108</v>
      </c>
      <c r="E74" s="10" t="s">
        <v>20</v>
      </c>
      <c r="F74" s="27" t="str">
        <f t="shared" si="3"/>
        <v>400V MCCB Feeder Cubicle (I &lt; 160A, per Dwg LV4)</v>
      </c>
      <c r="G74" s="27" t="str" cm="1">
        <f t="array" ref="G74">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74" s="10"/>
      <c r="I74" s="10"/>
    </row>
    <row r="75" spans="1:9" ht="26.4">
      <c r="A75" s="27" t="s">
        <v>1282</v>
      </c>
      <c r="B75" s="97" t="s">
        <v>321</v>
      </c>
      <c r="C75">
        <v>25</v>
      </c>
      <c r="D75" s="28">
        <v>33.961780540566217</v>
      </c>
      <c r="E75" s="10" t="s">
        <v>36</v>
      </c>
      <c r="F75" s="27" t="str">
        <f t="shared" si="3"/>
        <v>400V SCR-Controlled Heater Feeder Cubicle (per Dwg LV8)</v>
      </c>
      <c r="G75" s="27" t="str" cm="1">
        <f t="array" ref="G75">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75" s="10"/>
      <c r="I75" s="10"/>
    </row>
    <row r="76" spans="1:9" ht="26.4">
      <c r="A76" s="27" t="s">
        <v>1284</v>
      </c>
      <c r="B76" s="98" t="s">
        <v>321</v>
      </c>
      <c r="C76">
        <v>25</v>
      </c>
      <c r="D76" s="28">
        <v>33.961780540566217</v>
      </c>
      <c r="E76" s="10" t="s">
        <v>36</v>
      </c>
      <c r="F76" s="27" t="str">
        <f t="shared" si="3"/>
        <v>400V SCR-Controlled Heater Feeder Cubicle (per Dwg LV8)</v>
      </c>
      <c r="G76" s="27" t="str" cm="1">
        <f t="array" ref="G76">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76" s="10"/>
      <c r="I76" s="10"/>
    </row>
    <row r="77" spans="1:9" ht="26.4">
      <c r="A77" s="27" t="s">
        <v>1285</v>
      </c>
      <c r="B77" s="97" t="s">
        <v>15</v>
      </c>
      <c r="C77">
        <v>1.5</v>
      </c>
      <c r="D77" s="28">
        <v>2.4282673086504847</v>
      </c>
      <c r="E77" s="10" t="s">
        <v>41</v>
      </c>
      <c r="F77" s="27" t="str">
        <f t="shared" si="3"/>
        <v>400V DOL Motor Starter Cubicle</v>
      </c>
      <c r="G77" s="27" t="str" cm="1">
        <f t="array" ref="G77">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77" s="10"/>
      <c r="I77" s="10"/>
    </row>
    <row r="78" spans="1:9" ht="26.4">
      <c r="A78" s="27" t="s">
        <v>1287</v>
      </c>
      <c r="B78" s="98" t="s">
        <v>15</v>
      </c>
      <c r="C78">
        <v>1.5</v>
      </c>
      <c r="D78" s="28">
        <v>2.4282673086504847</v>
      </c>
      <c r="E78" s="10" t="s">
        <v>41</v>
      </c>
      <c r="F78" s="27" t="str">
        <f t="shared" si="3"/>
        <v>400V DOL Motor Starter Cubicle</v>
      </c>
      <c r="G78" s="27" t="str" cm="1">
        <f t="array" ref="G78">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78" s="10"/>
      <c r="I78" s="10"/>
    </row>
    <row r="79" spans="1:9">
      <c r="A79" s="27" t="s">
        <v>1288</v>
      </c>
      <c r="B79" s="98" t="s">
        <v>15</v>
      </c>
      <c r="C79">
        <v>4</v>
      </c>
      <c r="D79" s="28">
        <v>6.4527383027075809</v>
      </c>
      <c r="E79" s="10" t="s">
        <v>41</v>
      </c>
      <c r="F79" s="27" t="str">
        <f t="shared" si="3"/>
        <v>400V DOL Motor Starter Cubicle</v>
      </c>
      <c r="G79" s="27" t="str" cm="1">
        <f t="array" ref="G79">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79" s="10"/>
      <c r="I79" s="10"/>
    </row>
    <row r="80" spans="1:9" ht="26.4">
      <c r="A80" s="27" t="s">
        <v>1290</v>
      </c>
      <c r="B80" s="97" t="s">
        <v>15</v>
      </c>
      <c r="C80">
        <v>2.2000000000000002</v>
      </c>
      <c r="D80" s="28">
        <v>3.5490060664891696</v>
      </c>
      <c r="E80" s="10" t="s">
        <v>41</v>
      </c>
      <c r="F80" s="27" t="str">
        <f t="shared" si="3"/>
        <v>400V DOL Motor Starter Cubicle</v>
      </c>
      <c r="G80" s="27" t="str" cm="1">
        <f t="array" ref="G80">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80" s="10"/>
      <c r="I80" s="10"/>
    </row>
    <row r="81" spans="1:9" ht="26.4">
      <c r="A81" s="27" t="s">
        <v>1292</v>
      </c>
      <c r="B81" s="98" t="s">
        <v>321</v>
      </c>
      <c r="C81">
        <v>0.25</v>
      </c>
      <c r="D81" s="28">
        <v>0.40754136648679462</v>
      </c>
      <c r="E81" t="s">
        <v>41</v>
      </c>
      <c r="F81" s="27" t="str">
        <f t="shared" si="3"/>
        <v>400V DOL Motor Starter Cubicle</v>
      </c>
      <c r="G81" s="27" t="str" cm="1">
        <f t="array" ref="G81">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81" s="10"/>
      <c r="I81" s="10"/>
    </row>
    <row r="82" spans="1:9" ht="26.4">
      <c r="A82" s="27" t="s">
        <v>1294</v>
      </c>
      <c r="B82" s="97" t="s">
        <v>321</v>
      </c>
      <c r="C82">
        <v>0.25</v>
      </c>
      <c r="D82" s="28">
        <v>0.40754136648679462</v>
      </c>
      <c r="E82" s="84" t="s">
        <v>41</v>
      </c>
      <c r="F82" s="27" t="str">
        <f t="shared" si="3"/>
        <v>400V DOL Motor Starter Cubicle</v>
      </c>
      <c r="G82" s="27" t="str" cm="1">
        <f t="array" ref="G82">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82" s="10"/>
      <c r="I82" s="10"/>
    </row>
    <row r="83" spans="1:9">
      <c r="A83" s="27" t="s">
        <v>1295</v>
      </c>
      <c r="B83" s="98" t="s">
        <v>321</v>
      </c>
      <c r="C83">
        <v>0.37</v>
      </c>
      <c r="D83" s="28">
        <v>0.59433115945990878</v>
      </c>
      <c r="E83" s="84" t="s">
        <v>41</v>
      </c>
      <c r="F83" s="27" t="str">
        <f t="shared" si="3"/>
        <v>400V DOL Motor Starter Cubicle</v>
      </c>
      <c r="G83" s="27" t="str" cm="1">
        <f t="array" ref="G83">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83" s="10"/>
      <c r="I83" s="10"/>
    </row>
    <row r="84" spans="1:9" ht="26.4">
      <c r="A84" s="27" t="s">
        <v>1296</v>
      </c>
      <c r="B84" s="98" t="s">
        <v>321</v>
      </c>
      <c r="C84">
        <v>0.75</v>
      </c>
      <c r="D84" s="28">
        <v>1.2056432091901006</v>
      </c>
      <c r="E84" t="s">
        <v>41</v>
      </c>
      <c r="F84" s="27" t="str">
        <f t="shared" si="3"/>
        <v>400V DOL Motor Starter Cubicle</v>
      </c>
      <c r="G84" s="27" t="str" cm="1">
        <f t="array" ref="G84">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84" s="10"/>
      <c r="I84" s="10"/>
    </row>
    <row r="85" spans="1:9" ht="26.4">
      <c r="A85" s="27" t="s">
        <v>1297</v>
      </c>
      <c r="B85" s="97" t="s">
        <v>321</v>
      </c>
      <c r="C85">
        <v>22</v>
      </c>
      <c r="D85" s="28">
        <v>35.490060664891693</v>
      </c>
      <c r="E85" t="s">
        <v>41</v>
      </c>
      <c r="F85" s="27" t="str">
        <f t="shared" si="3"/>
        <v>400V DOL Motor Starter Cubicle</v>
      </c>
      <c r="G85" s="27" t="str" cm="1">
        <f t="array" ref="G85">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85" s="10"/>
      <c r="I85" s="10"/>
    </row>
    <row r="86" spans="1:9" ht="26.4">
      <c r="A86" s="27" t="s">
        <v>1299</v>
      </c>
      <c r="B86" s="98" t="s">
        <v>321</v>
      </c>
      <c r="C86">
        <v>22</v>
      </c>
      <c r="D86" s="28">
        <v>35.490060664891693</v>
      </c>
      <c r="E86" t="s">
        <v>41</v>
      </c>
      <c r="F86" s="27" t="str">
        <f t="shared" si="3"/>
        <v>400V DOL Motor Starter Cubicle</v>
      </c>
      <c r="G86" s="27" t="str" cm="1">
        <f t="array" ref="G86">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86" s="10"/>
      <c r="I86" s="10"/>
    </row>
    <row r="87" spans="1:9">
      <c r="A87" s="27" t="s">
        <v>957</v>
      </c>
      <c r="B87" s="98" t="s">
        <v>15</v>
      </c>
      <c r="C87">
        <v>11</v>
      </c>
      <c r="D87" s="28">
        <v>10.209242564938505</v>
      </c>
      <c r="E87" t="s">
        <v>41</v>
      </c>
      <c r="F87" s="27" t="str">
        <f t="shared" si="3"/>
        <v>400V DOL Motor Starter Cubicle</v>
      </c>
      <c r="G87" s="27" t="str" cm="1">
        <f t="array" ref="G87">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87" s="10"/>
      <c r="I87" s="10"/>
    </row>
    <row r="88" spans="1:9">
      <c r="A88" s="27" t="s">
        <v>960</v>
      </c>
      <c r="B88" s="97" t="s">
        <v>321</v>
      </c>
      <c r="C88">
        <v>11</v>
      </c>
      <c r="D88" s="28">
        <v>10.209242564938505</v>
      </c>
      <c r="E88" t="s">
        <v>41</v>
      </c>
      <c r="F88" s="27" t="str">
        <f t="shared" si="3"/>
        <v>400V DOL Motor Starter Cubicle</v>
      </c>
      <c r="G88" s="27" t="str" cm="1">
        <f t="array" ref="G88">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88" s="10"/>
      <c r="I88" s="10"/>
    </row>
    <row r="89" spans="1:9">
      <c r="A89" s="27" t="s">
        <v>1302</v>
      </c>
      <c r="B89" s="97" t="s">
        <v>15</v>
      </c>
      <c r="C89">
        <v>15</v>
      </c>
      <c r="D89" s="28">
        <v>19.890420859276745</v>
      </c>
      <c r="E89" t="s">
        <v>41</v>
      </c>
      <c r="F89" s="27" t="str">
        <f t="shared" si="3"/>
        <v>400V DOL Motor Starter Cubicle</v>
      </c>
      <c r="G89" s="27" t="str" cm="1">
        <f t="array" ref="G89">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89" s="10"/>
      <c r="I89" s="10"/>
    </row>
    <row r="90" spans="1:9">
      <c r="A90" s="27" t="s">
        <v>1304</v>
      </c>
      <c r="B90" s="98" t="s">
        <v>321</v>
      </c>
      <c r="C90">
        <v>15</v>
      </c>
      <c r="D90" s="28">
        <v>19.890420859276745</v>
      </c>
      <c r="E90" t="s">
        <v>41</v>
      </c>
      <c r="F90" s="27" t="str">
        <f t="shared" si="3"/>
        <v>400V DOL Motor Starter Cubicle</v>
      </c>
      <c r="G90" s="27" t="str" cm="1">
        <f t="array" ref="G90">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90" s="10"/>
      <c r="I90" s="10"/>
    </row>
    <row r="91" spans="1:9" ht="39.6">
      <c r="A91" s="27" t="s">
        <v>1305</v>
      </c>
      <c r="B91" s="98" t="s">
        <v>15</v>
      </c>
      <c r="C91">
        <v>15</v>
      </c>
      <c r="D91" s="28">
        <v>23.762892177012038</v>
      </c>
      <c r="E91" t="s">
        <v>41</v>
      </c>
      <c r="F91" s="27" t="str">
        <f t="shared" si="3"/>
        <v>400V DOL Motor Starter Cubicle</v>
      </c>
      <c r="G91" s="27" t="str" cm="1">
        <f t="array" ref="G91">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91" s="10"/>
      <c r="I91" s="10"/>
    </row>
    <row r="92" spans="1:9" ht="26.4">
      <c r="A92" s="27" t="s">
        <v>1307</v>
      </c>
      <c r="B92" s="98" t="s">
        <v>321</v>
      </c>
      <c r="C92">
        <v>15</v>
      </c>
      <c r="D92" s="28">
        <v>23.762892177012038</v>
      </c>
      <c r="E92" t="s">
        <v>41</v>
      </c>
      <c r="F92" s="27" t="str">
        <f t="shared" si="3"/>
        <v>400V DOL Motor Starter Cubicle</v>
      </c>
      <c r="G92" s="27" t="str" cm="1">
        <f t="array" ref="G92">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92" s="10"/>
      <c r="I92" s="10"/>
    </row>
    <row r="93" spans="1:9" ht="39.6">
      <c r="A93" s="27" t="s">
        <v>1309</v>
      </c>
      <c r="B93" s="98" t="s">
        <v>15</v>
      </c>
      <c r="C93">
        <v>3</v>
      </c>
      <c r="D93" s="28">
        <v>4.7525784354024081</v>
      </c>
      <c r="E93" s="10" t="s">
        <v>36</v>
      </c>
      <c r="F93" s="27" t="str">
        <f t="shared" si="3"/>
        <v>400V SCR-Controlled Heater Feeder Cubicle (per Dwg LV8)</v>
      </c>
      <c r="G93" s="27" t="str" cm="1">
        <f t="array" ref="G93">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93" s="10"/>
      <c r="I93" s="10"/>
    </row>
    <row r="94" spans="1:9" ht="39.6">
      <c r="A94" s="27" t="s">
        <v>1311</v>
      </c>
      <c r="B94" s="98" t="s">
        <v>321</v>
      </c>
      <c r="C94">
        <v>3</v>
      </c>
      <c r="D94" s="28">
        <v>4.7525784354024081</v>
      </c>
      <c r="E94" s="10" t="s">
        <v>36</v>
      </c>
      <c r="F94" s="27" t="str">
        <f t="shared" si="3"/>
        <v>400V SCR-Controlled Heater Feeder Cubicle (per Dwg LV8)</v>
      </c>
      <c r="G94" s="27" t="str" cm="1">
        <f t="array" ref="G94">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94" s="10"/>
      <c r="I94" s="10"/>
    </row>
    <row r="95" spans="1:9" ht="39.6">
      <c r="A95" s="27" t="s">
        <v>1313</v>
      </c>
      <c r="B95" s="98" t="s">
        <v>15</v>
      </c>
      <c r="C95">
        <v>15</v>
      </c>
      <c r="D95" s="28">
        <v>23.762892177012038</v>
      </c>
      <c r="E95" t="s">
        <v>41</v>
      </c>
      <c r="F95" s="27" t="str">
        <f t="shared" si="3"/>
        <v>400V DOL Motor Starter Cubicle</v>
      </c>
      <c r="G95" s="27" t="str" cm="1">
        <f t="array" ref="G95">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95" s="10"/>
      <c r="I95" s="10"/>
    </row>
    <row r="96" spans="1:9" ht="26.4">
      <c r="A96" s="27" t="s">
        <v>1314</v>
      </c>
      <c r="B96" s="98" t="s">
        <v>321</v>
      </c>
      <c r="C96">
        <v>15</v>
      </c>
      <c r="D96" s="28">
        <v>23.762892177012038</v>
      </c>
      <c r="E96" t="s">
        <v>41</v>
      </c>
      <c r="F96" s="27" t="str">
        <f t="shared" si="3"/>
        <v>400V DOL Motor Starter Cubicle</v>
      </c>
      <c r="G96" s="27" t="str" cm="1">
        <f t="array" ref="G96">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96" s="10"/>
      <c r="I96" s="10"/>
    </row>
    <row r="97" spans="1:9" ht="39.6">
      <c r="A97" s="27" t="s">
        <v>1315</v>
      </c>
      <c r="B97" s="98" t="s">
        <v>15</v>
      </c>
      <c r="C97">
        <v>3</v>
      </c>
      <c r="D97" s="28">
        <v>4.7525784354024081</v>
      </c>
      <c r="E97" s="10" t="s">
        <v>36</v>
      </c>
      <c r="F97" s="27" t="str">
        <f t="shared" si="3"/>
        <v>400V SCR-Controlled Heater Feeder Cubicle (per Dwg LV8)</v>
      </c>
      <c r="G97" s="27" t="str" cm="1">
        <f t="array" ref="G97">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97" s="10"/>
      <c r="I97" s="10"/>
    </row>
    <row r="98" spans="1:9" ht="39.6">
      <c r="A98" s="27" t="s">
        <v>1317</v>
      </c>
      <c r="B98" s="98" t="s">
        <v>321</v>
      </c>
      <c r="C98">
        <v>3</v>
      </c>
      <c r="D98" s="28">
        <v>4.7525784354024081</v>
      </c>
      <c r="E98" s="10" t="s">
        <v>36</v>
      </c>
      <c r="F98" s="27" t="str">
        <f t="shared" si="3"/>
        <v>400V SCR-Controlled Heater Feeder Cubicle (per Dwg LV8)</v>
      </c>
      <c r="G98" s="27" t="str" cm="1">
        <f t="array" ref="G98">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98" s="10"/>
      <c r="I98" s="10"/>
    </row>
    <row r="99" spans="1:9" ht="26.4">
      <c r="A99" s="27" t="s">
        <v>1319</v>
      </c>
      <c r="B99" s="98" t="s">
        <v>15</v>
      </c>
      <c r="C99">
        <v>1</v>
      </c>
      <c r="D99" s="28">
        <v>1.4081713882673801</v>
      </c>
      <c r="E99" t="s">
        <v>20</v>
      </c>
      <c r="F99" s="27" t="str">
        <f t="shared" si="3"/>
        <v>400V MCCB Feeder Cubicle (I &lt; 160A, per Dwg LV4)</v>
      </c>
      <c r="G99" s="27" t="str" cm="1">
        <f t="array" ref="G99">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99" s="10"/>
      <c r="I99" s="10"/>
    </row>
    <row r="100" spans="1:9" ht="26.4">
      <c r="A100" s="27" t="s">
        <v>1321</v>
      </c>
      <c r="B100" s="98" t="s">
        <v>15</v>
      </c>
      <c r="C100">
        <v>0.75</v>
      </c>
      <c r="D100" s="28">
        <v>1.056128541200535</v>
      </c>
      <c r="E100" s="84" t="s">
        <v>41</v>
      </c>
      <c r="F100" s="27" t="str">
        <f t="shared" si="3"/>
        <v>400V DOL Motor Starter Cubicle</v>
      </c>
      <c r="G100" s="27" t="str" cm="1">
        <f t="array" ref="G100">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00" s="10"/>
      <c r="I100" s="10"/>
    </row>
    <row r="101" spans="1:9" ht="26.4">
      <c r="A101" s="27" t="s">
        <v>1323</v>
      </c>
      <c r="B101" s="98" t="s">
        <v>321</v>
      </c>
      <c r="C101">
        <v>0.75</v>
      </c>
      <c r="D101" s="28">
        <v>1.056128541200535</v>
      </c>
      <c r="E101" s="84" t="s">
        <v>41</v>
      </c>
      <c r="F101" s="27" t="str">
        <f t="shared" si="3"/>
        <v>400V DOL Motor Starter Cubicle</v>
      </c>
      <c r="G101" s="27" t="str" cm="1">
        <f t="array" ref="G101">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01" s="10"/>
      <c r="I101" s="10"/>
    </row>
    <row r="102" spans="1:9" ht="26.4">
      <c r="A102" s="27" t="s">
        <v>1325</v>
      </c>
      <c r="B102" s="98" t="s">
        <v>15</v>
      </c>
      <c r="C102">
        <v>0.75</v>
      </c>
      <c r="D102" s="28">
        <v>1.056128541200535</v>
      </c>
      <c r="E102" t="s">
        <v>41</v>
      </c>
      <c r="F102" s="27" t="str">
        <f t="shared" si="3"/>
        <v>400V DOL Motor Starter Cubicle</v>
      </c>
      <c r="G102" s="27" t="str" cm="1">
        <f t="array" ref="G102">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02" s="10"/>
      <c r="I102" s="10"/>
    </row>
    <row r="103" spans="1:9" ht="26.4">
      <c r="A103" s="27" t="s">
        <v>1327</v>
      </c>
      <c r="B103" s="98" t="s">
        <v>321</v>
      </c>
      <c r="C103">
        <v>0.75</v>
      </c>
      <c r="D103" s="28">
        <v>1.056128541200535</v>
      </c>
      <c r="E103" t="s">
        <v>41</v>
      </c>
      <c r="F103" s="27" t="str">
        <f t="shared" si="3"/>
        <v>400V DOL Motor Starter Cubicle</v>
      </c>
      <c r="G103" s="27" t="str" cm="1">
        <f t="array" ref="G103">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03" s="10"/>
      <c r="I103" s="10"/>
    </row>
    <row r="104" spans="1:9" ht="26.4">
      <c r="A104" s="27" t="s">
        <v>1329</v>
      </c>
      <c r="B104" s="98" t="s">
        <v>15</v>
      </c>
      <c r="C104">
        <v>0.75</v>
      </c>
      <c r="D104" s="28">
        <v>1.056128541200535</v>
      </c>
      <c r="E104" s="84" t="s">
        <v>41</v>
      </c>
      <c r="F104" s="27" t="str">
        <f t="shared" si="3"/>
        <v>400V DOL Motor Starter Cubicle</v>
      </c>
      <c r="G104" s="27" t="str" cm="1">
        <f t="array" ref="G104">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04" s="10"/>
      <c r="I104" s="10"/>
    </row>
    <row r="105" spans="1:9" ht="26.4">
      <c r="A105" s="27" t="s">
        <v>1331</v>
      </c>
      <c r="B105" s="98" t="s">
        <v>321</v>
      </c>
      <c r="C105">
        <v>2.2000000000000002</v>
      </c>
      <c r="D105" s="28">
        <v>3.0979770541882359</v>
      </c>
      <c r="E105" s="84" t="s">
        <v>41</v>
      </c>
      <c r="F105" s="27" t="str">
        <f t="shared" si="3"/>
        <v>400V DOL Motor Starter Cubicle</v>
      </c>
      <c r="G105" s="27" t="str" cm="1">
        <f t="array" ref="G105">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05" s="10"/>
      <c r="I105" s="10"/>
    </row>
    <row r="106" spans="1:9" ht="26.4">
      <c r="A106" s="27" t="s">
        <v>1333</v>
      </c>
      <c r="B106" s="98" t="s">
        <v>15</v>
      </c>
      <c r="C106">
        <v>0.4</v>
      </c>
      <c r="D106" s="28">
        <v>0.56326855530695197</v>
      </c>
      <c r="E106" t="s">
        <v>41</v>
      </c>
      <c r="F106" s="27" t="str">
        <f t="shared" si="3"/>
        <v>400V DOL Motor Starter Cubicle</v>
      </c>
      <c r="G106" s="27" t="str" cm="1">
        <f t="array" ref="G106">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06" s="10"/>
      <c r="I106" s="10"/>
    </row>
    <row r="107" spans="1:9" ht="26.4">
      <c r="A107" s="27" t="s">
        <v>1335</v>
      </c>
      <c r="B107" s="98" t="s">
        <v>321</v>
      </c>
      <c r="C107">
        <v>0.4</v>
      </c>
      <c r="D107" s="28">
        <v>0.56326855530695197</v>
      </c>
      <c r="E107" t="s">
        <v>41</v>
      </c>
      <c r="F107" s="27" t="str">
        <f t="shared" si="3"/>
        <v>400V DOL Motor Starter Cubicle</v>
      </c>
      <c r="G107" s="27" t="str" cm="1">
        <f t="array" ref="G107">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07" s="10"/>
      <c r="I107" s="10"/>
    </row>
    <row r="108" spans="1:9" ht="26.4">
      <c r="A108" s="27" t="s">
        <v>1337</v>
      </c>
      <c r="B108" s="98" t="s">
        <v>15</v>
      </c>
      <c r="C108">
        <v>0.75</v>
      </c>
      <c r="D108" s="28">
        <v>1.056128541200535</v>
      </c>
      <c r="E108" t="s">
        <v>41</v>
      </c>
      <c r="F108" s="27" t="str">
        <f t="shared" si="3"/>
        <v>400V DOL Motor Starter Cubicle</v>
      </c>
      <c r="G108" s="27" t="str" cm="1">
        <f t="array" ref="G108">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08" s="10"/>
      <c r="I108" s="10"/>
    </row>
    <row r="109" spans="1:9">
      <c r="A109" s="27" t="s">
        <v>1339</v>
      </c>
      <c r="B109" s="98" t="s">
        <v>321</v>
      </c>
      <c r="C109">
        <v>10</v>
      </c>
      <c r="D109" s="28">
        <v>15.841928118008026</v>
      </c>
      <c r="E109" t="s">
        <v>20</v>
      </c>
      <c r="F109" s="27" t="str">
        <f t="shared" si="3"/>
        <v>400V MCCB Feeder Cubicle (I &lt; 160A, per Dwg LV4)</v>
      </c>
      <c r="G109" s="27" t="str" cm="1">
        <f t="array" ref="G109">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09" s="10"/>
      <c r="I109" s="10"/>
    </row>
    <row r="110" spans="1:9">
      <c r="A110" s="27" t="s">
        <v>1341</v>
      </c>
      <c r="B110" s="98" t="s">
        <v>15</v>
      </c>
      <c r="C110">
        <v>10</v>
      </c>
      <c r="D110" s="28">
        <v>15.841928118008026</v>
      </c>
      <c r="E110" t="s">
        <v>20</v>
      </c>
      <c r="F110" s="27" t="str">
        <f t="shared" si="3"/>
        <v>400V MCCB Feeder Cubicle (I &lt; 160A, per Dwg LV4)</v>
      </c>
      <c r="G110" s="27" t="str" cm="1">
        <f t="array" ref="G110">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10" s="10"/>
      <c r="I110" s="10"/>
    </row>
    <row r="111" spans="1:9">
      <c r="A111" s="27" t="s">
        <v>1343</v>
      </c>
      <c r="B111" s="98" t="s">
        <v>15</v>
      </c>
      <c r="C111">
        <v>5</v>
      </c>
      <c r="D111" s="28">
        <v>7.9209640590040129</v>
      </c>
      <c r="E111" t="s">
        <v>20</v>
      </c>
      <c r="F111" s="27" t="str">
        <f t="shared" si="3"/>
        <v>400V MCCB Feeder Cubicle (I &lt; 160A, per Dwg LV4)</v>
      </c>
      <c r="G111" s="27" t="str" cm="1">
        <f t="array" ref="G111">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11" s="10"/>
      <c r="I111" s="10"/>
    </row>
    <row r="112" spans="1:9">
      <c r="A112" s="27" t="s">
        <v>1345</v>
      </c>
      <c r="B112" s="98" t="s">
        <v>321</v>
      </c>
      <c r="C112">
        <v>5</v>
      </c>
      <c r="D112" s="28">
        <v>7.9209640590040129</v>
      </c>
      <c r="E112" t="s">
        <v>20</v>
      </c>
      <c r="F112" s="27" t="str">
        <f t="shared" si="3"/>
        <v>400V MCCB Feeder Cubicle (I &lt; 160A, per Dwg LV4)</v>
      </c>
      <c r="G112" s="27" t="str" cm="1">
        <f t="array" ref="G112">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12" s="10"/>
      <c r="I112" s="10"/>
    </row>
    <row r="113" spans="1:9">
      <c r="A113" s="27" t="s">
        <v>1346</v>
      </c>
      <c r="B113" s="98" t="s">
        <v>15</v>
      </c>
      <c r="C113">
        <v>5</v>
      </c>
      <c r="D113" s="28">
        <v>7.9209640590040129</v>
      </c>
      <c r="E113" t="s">
        <v>20</v>
      </c>
      <c r="F113" s="27" t="str">
        <f t="shared" si="3"/>
        <v>400V MCCB Feeder Cubicle (I &lt; 160A, per Dwg LV4)</v>
      </c>
      <c r="G113" s="27" t="str" cm="1">
        <f t="array" ref="G113">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13" s="10"/>
      <c r="I113" s="10"/>
    </row>
    <row r="114" spans="1:9">
      <c r="A114" s="27" t="s">
        <v>1347</v>
      </c>
      <c r="B114" s="98" t="s">
        <v>321</v>
      </c>
      <c r="C114">
        <v>5</v>
      </c>
      <c r="D114" s="28">
        <v>7.9209640590040129</v>
      </c>
      <c r="E114" t="s">
        <v>20</v>
      </c>
      <c r="F114" s="27" t="str">
        <f t="shared" si="3"/>
        <v>400V MCCB Feeder Cubicle (I &lt; 160A, per Dwg LV4)</v>
      </c>
      <c r="G114" s="27" t="str" cm="1">
        <f t="array" ref="G114">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14" s="10"/>
      <c r="I114" s="10"/>
    </row>
    <row r="115" spans="1:9">
      <c r="A115" s="27" t="s">
        <v>1348</v>
      </c>
      <c r="B115" s="98" t="s">
        <v>321</v>
      </c>
      <c r="C115">
        <v>18</v>
      </c>
      <c r="D115" s="28">
        <v>26.755256377080219</v>
      </c>
      <c r="E115" t="s">
        <v>20</v>
      </c>
      <c r="F115" s="27" t="str">
        <f t="shared" si="3"/>
        <v>400V MCCB Feeder Cubicle (I &lt; 160A, per Dwg LV4)</v>
      </c>
      <c r="G115" s="27" t="str" cm="1">
        <f t="array" ref="G115">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15" s="10"/>
      <c r="I115" s="10"/>
    </row>
    <row r="116" spans="1:9" ht="26.4">
      <c r="A116" s="27" t="s">
        <v>1350</v>
      </c>
      <c r="B116" s="98" t="s">
        <v>15</v>
      </c>
      <c r="C116">
        <v>1.7899999999999991</v>
      </c>
      <c r="D116" s="28">
        <v>5.4796234456491506</v>
      </c>
      <c r="E116" t="s">
        <v>20</v>
      </c>
      <c r="F116" s="27" t="str">
        <f t="shared" si="3"/>
        <v>400V MCCB Feeder Cubicle (I &lt; 160A, per Dwg LV4)</v>
      </c>
      <c r="G116" s="27" t="str" cm="1">
        <f t="array" ref="G116">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16" s="10"/>
      <c r="I116" s="10"/>
    </row>
    <row r="117" spans="1:9" ht="26.4">
      <c r="A117" s="27" t="s">
        <v>1352</v>
      </c>
      <c r="B117" s="98" t="s">
        <v>321</v>
      </c>
      <c r="C117">
        <v>1.7899999999999991</v>
      </c>
      <c r="D117" s="28">
        <v>5.4796234456491506</v>
      </c>
      <c r="E117" t="s">
        <v>20</v>
      </c>
      <c r="F117" s="27" t="str">
        <f t="shared" si="3"/>
        <v>400V MCCB Feeder Cubicle (I &lt; 160A, per Dwg LV4)</v>
      </c>
      <c r="G117" s="27" t="str" cm="1">
        <f t="array" ref="G117">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17" s="10"/>
      <c r="I117" s="10"/>
    </row>
    <row r="118" spans="1:9">
      <c r="A118" s="27" t="s">
        <v>1354</v>
      </c>
      <c r="B118" s="98" t="s">
        <v>15</v>
      </c>
      <c r="C118">
        <v>2.4</v>
      </c>
      <c r="D118" s="28">
        <v>7.35</v>
      </c>
      <c r="E118" t="s">
        <v>20</v>
      </c>
      <c r="F118" s="27" t="str">
        <f t="shared" si="3"/>
        <v>400V MCCB Feeder Cubicle (I &lt; 160A, per Dwg LV4)</v>
      </c>
      <c r="G118" s="27" t="str" cm="1">
        <f t="array" ref="G118">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18" s="10"/>
      <c r="I118" s="10"/>
    </row>
    <row r="119" spans="1:9">
      <c r="A119" s="27" t="s">
        <v>1356</v>
      </c>
      <c r="B119" s="98" t="s">
        <v>321</v>
      </c>
      <c r="C119">
        <v>2.4</v>
      </c>
      <c r="D119" s="28">
        <v>7.35</v>
      </c>
      <c r="E119" t="s">
        <v>20</v>
      </c>
      <c r="F119" s="27" t="str">
        <f t="shared" si="3"/>
        <v>400V MCCB Feeder Cubicle (I &lt; 160A, per Dwg LV4)</v>
      </c>
      <c r="G119" s="27" t="str" cm="1">
        <f t="array" ref="G119">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19" s="10"/>
      <c r="I119" s="10"/>
    </row>
    <row r="120" spans="1:9">
      <c r="A120" s="27" t="s">
        <v>1358</v>
      </c>
      <c r="B120" s="98" t="s">
        <v>15</v>
      </c>
      <c r="C120">
        <v>2.4</v>
      </c>
      <c r="D120" s="28">
        <v>7.35</v>
      </c>
      <c r="E120" t="s">
        <v>20</v>
      </c>
      <c r="F120" s="27" t="str">
        <f t="shared" si="3"/>
        <v>400V MCCB Feeder Cubicle (I &lt; 160A, per Dwg LV4)</v>
      </c>
      <c r="G120" s="27" t="str" cm="1">
        <f t="array" ref="G120">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20" s="10"/>
      <c r="I120" s="10"/>
    </row>
    <row r="121" spans="1:9">
      <c r="A121" s="27" t="s">
        <v>1360</v>
      </c>
      <c r="B121" s="98" t="s">
        <v>321</v>
      </c>
      <c r="C121">
        <v>2.4</v>
      </c>
      <c r="D121" s="28">
        <v>7.35</v>
      </c>
      <c r="E121" t="s">
        <v>20</v>
      </c>
      <c r="F121" s="27" t="str">
        <f t="shared" si="3"/>
        <v>400V MCCB Feeder Cubicle (I &lt; 160A, per Dwg LV4)</v>
      </c>
      <c r="G121" s="27" t="str" cm="1">
        <f t="array" ref="G121">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21" s="10"/>
      <c r="I121" s="10"/>
    </row>
    <row r="122" spans="1:9">
      <c r="A122" s="27" t="s">
        <v>1362</v>
      </c>
      <c r="B122" s="98" t="s">
        <v>15</v>
      </c>
      <c r="C122">
        <v>2</v>
      </c>
      <c r="D122" s="28">
        <v>3.2075014954979211</v>
      </c>
      <c r="E122" t="s">
        <v>20</v>
      </c>
      <c r="F122" s="27" t="str">
        <f t="shared" si="3"/>
        <v>400V MCCB Feeder Cubicle (I &lt; 160A, per Dwg LV4)</v>
      </c>
      <c r="G122" s="27" t="str" cm="1">
        <f t="array" ref="G122">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22" s="10"/>
      <c r="I122" s="10"/>
    </row>
    <row r="123" spans="1:9">
      <c r="A123" s="27" t="s">
        <v>1364</v>
      </c>
      <c r="B123" s="98" t="s">
        <v>321</v>
      </c>
      <c r="C123">
        <v>2</v>
      </c>
      <c r="D123" s="28">
        <v>3.2075014954979211</v>
      </c>
      <c r="E123" t="s">
        <v>20</v>
      </c>
      <c r="F123" s="27" t="str">
        <f t="shared" si="3"/>
        <v>400V MCCB Feeder Cubicle (I &lt; 160A, per Dwg LV4)</v>
      </c>
      <c r="G123" s="27" t="str" cm="1">
        <f t="array" ref="G123">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23" s="10"/>
      <c r="I123" s="10"/>
    </row>
    <row r="124" spans="1:9">
      <c r="A124" s="27" t="s">
        <v>1366</v>
      </c>
      <c r="B124" s="98" t="s">
        <v>15</v>
      </c>
      <c r="C124">
        <v>2</v>
      </c>
      <c r="D124" s="28">
        <v>3.2075014954979211</v>
      </c>
      <c r="E124" t="s">
        <v>20</v>
      </c>
      <c r="F124" s="27" t="str">
        <f t="shared" si="3"/>
        <v>400V MCCB Feeder Cubicle (I &lt; 160A, per Dwg LV4)</v>
      </c>
      <c r="G124" s="27" t="str" cm="1">
        <f t="array" ref="G124">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24" s="10"/>
      <c r="I124" s="10"/>
    </row>
    <row r="125" spans="1:9">
      <c r="A125" s="27" t="s">
        <v>1368</v>
      </c>
      <c r="B125" s="98" t="s">
        <v>321</v>
      </c>
      <c r="C125">
        <v>2</v>
      </c>
      <c r="D125" s="28">
        <v>3.2075014954979211</v>
      </c>
      <c r="E125" t="s">
        <v>20</v>
      </c>
      <c r="F125" s="27" t="str">
        <f t="shared" si="3"/>
        <v>400V MCCB Feeder Cubicle (I &lt; 160A, per Dwg LV4)</v>
      </c>
      <c r="G125" s="27" t="str" cm="1">
        <f t="array" ref="G125">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25" s="10"/>
      <c r="I125" s="10"/>
    </row>
    <row r="126" spans="1:9">
      <c r="A126" s="27" t="s">
        <v>1370</v>
      </c>
      <c r="B126" s="98" t="s">
        <v>15</v>
      </c>
      <c r="C126">
        <v>2</v>
      </c>
      <c r="D126" s="28">
        <v>3.2075014954979211</v>
      </c>
      <c r="E126" t="s">
        <v>20</v>
      </c>
      <c r="F126" s="27" t="str">
        <f t="shared" si="3"/>
        <v>400V MCCB Feeder Cubicle (I &lt; 160A, per Dwg LV4)</v>
      </c>
      <c r="G126" s="27" t="str" cm="1">
        <f t="array" ref="G126">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26" s="10"/>
      <c r="I126" s="10"/>
    </row>
    <row r="127" spans="1:9">
      <c r="A127" s="27" t="s">
        <v>1372</v>
      </c>
      <c r="B127" s="98" t="s">
        <v>321</v>
      </c>
      <c r="C127">
        <v>3</v>
      </c>
      <c r="D127" s="28">
        <v>4.8112522432468809</v>
      </c>
      <c r="E127" t="s">
        <v>20</v>
      </c>
      <c r="F127" s="27" t="str">
        <f t="shared" si="3"/>
        <v>400V MCCB Feeder Cubicle (I &lt; 160A, per Dwg LV4)</v>
      </c>
      <c r="G127" s="27" t="str" cm="1">
        <f t="array" ref="G127">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27" s="10"/>
      <c r="I127" s="10"/>
    </row>
    <row r="128" spans="1:9">
      <c r="A128" s="27" t="s">
        <v>1374</v>
      </c>
      <c r="B128" s="98" t="s">
        <v>15</v>
      </c>
      <c r="C128">
        <v>3</v>
      </c>
      <c r="D128" s="28">
        <v>4.8112522432468809</v>
      </c>
      <c r="E128" t="s">
        <v>20</v>
      </c>
      <c r="F128" s="27" t="str">
        <f t="shared" si="3"/>
        <v>400V MCCB Feeder Cubicle (I &lt; 160A, per Dwg LV4)</v>
      </c>
      <c r="G128" s="27" t="str" cm="1">
        <f t="array" ref="G128">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28" s="10"/>
      <c r="I128" s="10"/>
    </row>
    <row r="129" spans="1:9">
      <c r="A129" s="27" t="s">
        <v>1375</v>
      </c>
      <c r="B129" s="98" t="s">
        <v>321</v>
      </c>
      <c r="C129">
        <v>2</v>
      </c>
      <c r="D129" s="28">
        <v>3.2075014954979211</v>
      </c>
      <c r="E129" t="s">
        <v>20</v>
      </c>
      <c r="F129" s="27" t="str">
        <f t="shared" si="3"/>
        <v>400V MCCB Feeder Cubicle (I &lt; 160A, per Dwg LV4)</v>
      </c>
      <c r="G129" s="27" t="str" cm="1">
        <f t="array" ref="G129">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29" s="10"/>
      <c r="I129" s="10"/>
    </row>
    <row r="130" spans="1:9">
      <c r="A130" s="27" t="s">
        <v>1377</v>
      </c>
      <c r="B130" s="98" t="s">
        <v>15</v>
      </c>
      <c r="C130">
        <v>2</v>
      </c>
      <c r="D130" s="28">
        <v>3.2075014954979211</v>
      </c>
      <c r="E130" t="s">
        <v>20</v>
      </c>
      <c r="F130" s="27" t="str">
        <f t="shared" si="3"/>
        <v>400V MCCB Feeder Cubicle (I &lt; 160A, per Dwg LV4)</v>
      </c>
      <c r="G130" s="27" t="str" cm="1">
        <f t="array" ref="G130">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30" s="10"/>
      <c r="I130" s="10"/>
    </row>
    <row r="131" spans="1:9">
      <c r="A131" s="27" t="s">
        <v>1378</v>
      </c>
      <c r="B131" s="98" t="s">
        <v>321</v>
      </c>
      <c r="C131">
        <v>2</v>
      </c>
      <c r="D131" s="28">
        <v>3.2075014954979211</v>
      </c>
      <c r="E131" t="s">
        <v>20</v>
      </c>
      <c r="F131" s="27" t="str">
        <f>_xlfn.LET(
  _xlpm.tag, A131,
  _xlpm.p, N(C131),
  _xlpm.i, N(D131),
  _xlpm.st, UPPER(TRIM(E131)),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f>
        <v>400V MCCB Feeder Cubicle (I &lt; 160A, per Dwg LV4)</v>
      </c>
      <c r="G131" s="27" t="str" cm="1">
        <f t="array" ref="G131">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31" s="10"/>
      <c r="I131" s="10"/>
    </row>
    <row r="132" spans="1:9">
      <c r="A132" s="27" t="s">
        <v>1379</v>
      </c>
      <c r="B132" s="98" t="s">
        <v>15</v>
      </c>
      <c r="C132">
        <v>2</v>
      </c>
      <c r="D132" s="28">
        <v>3.2075014954979211</v>
      </c>
      <c r="E132" t="s">
        <v>20</v>
      </c>
      <c r="F132" s="27" t="str">
        <f>_xlfn.LET(
  _xlpm.tag, A132,
  _xlpm.p, N(C132),
  _xlpm.i, N(D132),
  _xlpm.st, UPPER(TRIM(E132)),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f>
        <v>400V MCCB Feeder Cubicle (I &lt; 160A, per Dwg LV4)</v>
      </c>
      <c r="G132" s="27" t="str" cm="1">
        <f t="array" ref="G132">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32" s="10"/>
      <c r="I132" s="10"/>
    </row>
    <row r="133" spans="1:9">
      <c r="A133" s="27" t="s">
        <v>1380</v>
      </c>
      <c r="B133" s="98" t="s">
        <v>321</v>
      </c>
      <c r="C133">
        <v>3</v>
      </c>
      <c r="D133" s="28">
        <v>4.8112522432468809</v>
      </c>
      <c r="E133" t="s">
        <v>20</v>
      </c>
      <c r="F133" s="27" t="str">
        <f>_xlfn.LET(
  _xlpm.tag, A133,
  _xlpm.p, N(C133),
  _xlpm.i, N(D133),
  _xlpm.st, UPPER(TRIM(E133)),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f>
        <v>400V MCCB Feeder Cubicle (I &lt; 160A, per Dwg LV4)</v>
      </c>
      <c r="G133" s="27" t="str" cm="1">
        <f t="array" ref="G133">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33" s="10"/>
      <c r="I133" s="10"/>
    </row>
    <row r="134" spans="1:9">
      <c r="A134" s="27" t="s">
        <v>1382</v>
      </c>
      <c r="B134" s="98" t="s">
        <v>15</v>
      </c>
      <c r="C134">
        <v>3</v>
      </c>
      <c r="D134" s="28">
        <v>4.8112522432468809</v>
      </c>
      <c r="E134" t="s">
        <v>20</v>
      </c>
      <c r="F134" s="27" t="str">
        <f>_xlfn.LET(
  _xlpm.tag, A134,
  _xlpm.p, N(C134),
  _xlpm.i, N(D134),
  _xlpm.st, UPPER(TRIM(E134)),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f>
        <v>400V MCCB Feeder Cubicle (I &lt; 160A, per Dwg LV4)</v>
      </c>
      <c r="G134" s="27" t="str" cm="1">
        <f t="array" ref="G134">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34" s="10"/>
      <c r="I134" s="10"/>
    </row>
    <row r="135" spans="1:9">
      <c r="A135" s="27" t="s">
        <v>1383</v>
      </c>
      <c r="B135" s="98" t="s">
        <v>321</v>
      </c>
      <c r="C135">
        <v>3</v>
      </c>
      <c r="D135" s="28">
        <v>4.8112522432468809</v>
      </c>
      <c r="E135" t="s">
        <v>20</v>
      </c>
      <c r="F135" s="27" t="str">
        <f>_xlfn.LET(
  _xlpm.tag, A135,
  _xlpm.p, N(C135),
  _xlpm.i, N(D135),
  _xlpm.st, UPPER(TRIM(E135)),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f>
        <v>400V MCCB Feeder Cubicle (I &lt; 160A, per Dwg LV4)</v>
      </c>
      <c r="G135" s="27" t="str" cm="1">
        <f t="array" ref="G135">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35" s="10"/>
      <c r="I135" s="10"/>
    </row>
    <row r="136" spans="1:9">
      <c r="A136" s="96" t="s">
        <v>1385</v>
      </c>
      <c r="B136" s="96" t="s">
        <v>15</v>
      </c>
      <c r="C136" s="96">
        <v>3</v>
      </c>
      <c r="D136" s="96">
        <v>4.8112522432468809</v>
      </c>
      <c r="E136" s="96" t="s">
        <v>20</v>
      </c>
      <c r="F136" s="27" t="str">
        <f t="shared" ref="F136:F142" si="4">_xlfn.LET(
  _xlpm.tag, A136,
  _xlpm.p, N(C136),
  _xlpm.i, N(D136),
  _xlpm.st, UPPER(TRIM(E136)),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f>
        <v>400V MCCB Feeder Cubicle (I &lt; 160A, per Dwg LV4)</v>
      </c>
      <c r="G136" s="27" t="str" cm="1">
        <f t="array" ref="G136">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36" s="10"/>
      <c r="I136" s="10"/>
    </row>
    <row r="137" spans="1:9">
      <c r="A137" s="96" t="s">
        <v>1386</v>
      </c>
      <c r="B137" s="96" t="s">
        <v>321</v>
      </c>
      <c r="C137" s="96">
        <v>3</v>
      </c>
      <c r="D137" s="96">
        <v>4.8112522432468809</v>
      </c>
      <c r="E137" s="96" t="s">
        <v>20</v>
      </c>
      <c r="F137" s="27" t="str">
        <f t="shared" si="4"/>
        <v>400V MCCB Feeder Cubicle (I &lt; 160A, per Dwg LV4)</v>
      </c>
      <c r="G137" s="27" t="str" cm="1">
        <f t="array" ref="G137">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37" s="10"/>
      <c r="I137" s="10"/>
    </row>
    <row r="138" spans="1:9">
      <c r="A138" s="96" t="s">
        <v>1388</v>
      </c>
      <c r="B138" s="96" t="s">
        <v>15</v>
      </c>
      <c r="C138" s="96">
        <v>3</v>
      </c>
      <c r="D138" s="96">
        <v>4.8112522432468809</v>
      </c>
      <c r="E138" s="96" t="s">
        <v>20</v>
      </c>
      <c r="F138" s="27" t="str">
        <f t="shared" si="4"/>
        <v>400V MCCB Feeder Cubicle (I &lt; 160A, per Dwg LV4)</v>
      </c>
      <c r="G138" s="27" t="str" cm="1">
        <f t="array" ref="G138">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38" s="10"/>
      <c r="I138" s="10"/>
    </row>
    <row r="139" spans="1:9">
      <c r="A139" s="96" t="s">
        <v>1389</v>
      </c>
      <c r="B139" s="96" t="s">
        <v>321</v>
      </c>
      <c r="C139" s="96">
        <v>3</v>
      </c>
      <c r="D139" s="96">
        <v>4.8112522432468809</v>
      </c>
      <c r="E139" s="96" t="s">
        <v>20</v>
      </c>
      <c r="F139" s="27" t="str">
        <f t="shared" si="4"/>
        <v>400V MCCB Feeder Cubicle (I &lt; 160A, per Dwg LV4)</v>
      </c>
      <c r="G139" s="27" t="str" cm="1">
        <f t="array" ref="G139">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39" s="10"/>
      <c r="I139" s="10"/>
    </row>
    <row r="140" spans="1:9">
      <c r="A140" s="96" t="s">
        <v>1391</v>
      </c>
      <c r="B140" s="96" t="s">
        <v>15</v>
      </c>
      <c r="C140" s="96">
        <v>3</v>
      </c>
      <c r="D140" s="96">
        <v>4.8112522432468809</v>
      </c>
      <c r="E140" s="96" t="s">
        <v>20</v>
      </c>
      <c r="F140" s="27" t="str">
        <f t="shared" si="4"/>
        <v>400V MCCB Feeder Cubicle (I &lt; 160A, per Dwg LV4)</v>
      </c>
      <c r="G140" s="27" t="str" cm="1">
        <f t="array" ref="G140">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40" s="10"/>
      <c r="I140" s="10"/>
    </row>
    <row r="141" spans="1:9">
      <c r="A141" s="96" t="s">
        <v>1392</v>
      </c>
      <c r="B141" s="96" t="s">
        <v>321</v>
      </c>
      <c r="C141" s="96">
        <v>2</v>
      </c>
      <c r="D141" s="96">
        <v>3.2075014954979211</v>
      </c>
      <c r="E141" s="96" t="s">
        <v>20</v>
      </c>
      <c r="F141" s="27" t="str">
        <f t="shared" si="4"/>
        <v>400V MCCB Feeder Cubicle (I &lt; 160A, per Dwg LV4)</v>
      </c>
      <c r="G141" s="27" t="str" cm="1">
        <f t="array" ref="G141">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41" s="10"/>
      <c r="I141" s="10"/>
    </row>
    <row r="142" spans="1:9">
      <c r="A142" s="96" t="s">
        <v>1394</v>
      </c>
      <c r="B142" s="96" t="s">
        <v>15</v>
      </c>
      <c r="C142" s="96">
        <v>2</v>
      </c>
      <c r="D142" s="96">
        <v>3.2075014954979211</v>
      </c>
      <c r="E142" s="96" t="s">
        <v>20</v>
      </c>
      <c r="F142" s="27" t="str">
        <f t="shared" si="4"/>
        <v>400V MCCB Feeder Cubicle (I &lt; 160A, per Dwg LV4)</v>
      </c>
      <c r="G142" s="27" t="str" cm="1">
        <f t="array" ref="G142">_xlfn.LET(_xlpm.c,UPPER(TRIM(_70IK610002[[#This Row],[Starter Type]])),_xlpm.kw,N(_70IK610002[[#This Row],[RATED POWER]]),_xlpm.flc,N(_70IK610002[[#This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42" s="10"/>
      <c r="I142" s="10"/>
    </row>
    <row r="143" spans="1:9">
      <c r="A143" s="85" t="s">
        <v>1082</v>
      </c>
      <c r="B143" s="86"/>
      <c r="C143" s="87"/>
      <c r="D143" s="88"/>
      <c r="E143" s="87"/>
      <c r="F143" s="85"/>
      <c r="G143" s="85"/>
      <c r="H143" s="10"/>
      <c r="I143" s="10"/>
    </row>
    <row r="144" spans="1:9">
      <c r="A144" s="85" t="s">
        <v>1083</v>
      </c>
      <c r="B144" s="86"/>
      <c r="C144" s="87"/>
      <c r="D144" s="88"/>
      <c r="E144" s="87"/>
      <c r="F144" s="85"/>
      <c r="G144" s="85"/>
      <c r="H144" s="10"/>
      <c r="I144" s="10"/>
    </row>
    <row r="145" spans="1:9">
      <c r="A145" s="85" t="s">
        <v>1085</v>
      </c>
      <c r="B145" s="86"/>
      <c r="C145" s="87"/>
      <c r="D145" s="88"/>
      <c r="E145" s="87"/>
      <c r="F145" s="85"/>
      <c r="G145" s="85"/>
      <c r="H145" s="10"/>
      <c r="I145" s="10"/>
    </row>
    <row r="146" spans="1:9" ht="26.4">
      <c r="A146" s="85" t="s">
        <v>1062</v>
      </c>
      <c r="B146" s="86"/>
      <c r="C146" s="87"/>
      <c r="D146" s="88"/>
      <c r="E146" s="87"/>
      <c r="F146" s="85"/>
      <c r="G146" s="85"/>
      <c r="H146" s="10"/>
      <c r="I146" s="10"/>
    </row>
    <row r="147" spans="1:9" ht="26.4">
      <c r="A147" s="85" t="s">
        <v>1063</v>
      </c>
      <c r="B147" s="86"/>
      <c r="C147" s="87"/>
      <c r="D147" s="88"/>
      <c r="E147" s="87"/>
      <c r="F147" s="85"/>
      <c r="G147" s="85"/>
      <c r="H147" s="10"/>
      <c r="I147" s="10"/>
    </row>
    <row r="148" spans="1:9" ht="26.4">
      <c r="A148" s="85" t="s">
        <v>2532</v>
      </c>
      <c r="B148" s="86"/>
      <c r="C148" s="87"/>
      <c r="D148" s="88"/>
      <c r="E148" s="87"/>
      <c r="F148" s="85"/>
      <c r="G148" s="85"/>
      <c r="H148" s="10"/>
      <c r="I148" s="10"/>
    </row>
    <row r="149" spans="1:9" ht="26.4">
      <c r="A149" s="85" t="s">
        <v>2533</v>
      </c>
      <c r="B149" s="86"/>
      <c r="C149" s="87"/>
      <c r="D149" s="88"/>
      <c r="E149" s="87"/>
      <c r="F149" s="85"/>
      <c r="G149" s="85"/>
      <c r="H149" s="10"/>
      <c r="I149" s="10"/>
    </row>
    <row r="150" spans="1:9" ht="26.4">
      <c r="A150" s="85" t="s">
        <v>2534</v>
      </c>
      <c r="B150" s="86"/>
      <c r="C150" s="87"/>
      <c r="D150" s="88"/>
      <c r="E150" s="87"/>
      <c r="F150" s="85"/>
      <c r="G150" s="85"/>
      <c r="H150" s="10"/>
      <c r="I150" s="10"/>
    </row>
    <row r="151" spans="1:9" ht="26.4">
      <c r="A151" s="85" t="s">
        <v>2535</v>
      </c>
      <c r="B151" s="86"/>
      <c r="C151" s="87"/>
      <c r="D151" s="88"/>
      <c r="E151" s="87"/>
      <c r="F151" s="85"/>
      <c r="G151" s="85"/>
      <c r="H151" s="10"/>
      <c r="I151" s="10"/>
    </row>
    <row r="152" spans="1:9" ht="26.4">
      <c r="A152" s="85" t="s">
        <v>2536</v>
      </c>
      <c r="B152" s="86"/>
      <c r="C152" s="87"/>
      <c r="D152" s="88"/>
      <c r="E152" s="87"/>
      <c r="F152" s="85"/>
      <c r="G152" s="85"/>
      <c r="H152" s="10"/>
      <c r="I152" s="10"/>
    </row>
    <row r="153" spans="1:9" ht="26.4">
      <c r="A153" s="85" t="s">
        <v>2537</v>
      </c>
      <c r="B153" s="86"/>
      <c r="C153" s="87"/>
      <c r="D153" s="88"/>
      <c r="E153" s="87"/>
      <c r="F153" s="85"/>
      <c r="G153" s="85"/>
      <c r="H153" s="10"/>
      <c r="I153" s="10"/>
    </row>
    <row r="154" spans="1:9" ht="39.6">
      <c r="A154" s="85" t="s">
        <v>2538</v>
      </c>
      <c r="B154" s="86"/>
      <c r="C154" s="87"/>
      <c r="D154" s="88"/>
      <c r="E154" s="87"/>
      <c r="F154" s="85"/>
      <c r="G154" s="85"/>
      <c r="H154" s="10"/>
      <c r="I154" s="10"/>
    </row>
    <row r="155" spans="1:9" ht="39.6">
      <c r="A155" s="85" t="s">
        <v>2539</v>
      </c>
      <c r="B155" s="86"/>
      <c r="C155" s="87"/>
      <c r="D155" s="88"/>
      <c r="E155" s="87"/>
      <c r="F155" s="85"/>
      <c r="G155" s="85"/>
      <c r="H155" s="10"/>
      <c r="I155" s="10"/>
    </row>
    <row r="156" spans="1:9" ht="39.6">
      <c r="A156" s="85" t="s">
        <v>2540</v>
      </c>
      <c r="B156" s="86"/>
      <c r="C156" s="87"/>
      <c r="D156" s="88"/>
      <c r="E156" s="87"/>
      <c r="F156" s="85"/>
      <c r="G156" s="85"/>
      <c r="H156" s="10"/>
      <c r="I156" s="10"/>
    </row>
    <row r="157" spans="1:9" ht="39.6">
      <c r="A157" s="85" t="s">
        <v>1068</v>
      </c>
      <c r="B157" s="86"/>
      <c r="C157" s="87"/>
      <c r="D157" s="88"/>
      <c r="E157" s="87"/>
      <c r="F157" s="85"/>
      <c r="G157" s="85"/>
      <c r="H157" s="10"/>
      <c r="I157" s="10"/>
    </row>
    <row r="158" spans="1:9" ht="39.6">
      <c r="A158" s="85" t="s">
        <v>1070</v>
      </c>
      <c r="B158" s="86"/>
      <c r="C158" s="87"/>
      <c r="D158" s="88"/>
      <c r="E158" s="87"/>
      <c r="F158" s="85"/>
      <c r="G158" s="85"/>
      <c r="H158" s="10"/>
      <c r="I158" s="10"/>
    </row>
    <row r="159" spans="1:9" ht="39.6">
      <c r="A159" s="85" t="s">
        <v>2541</v>
      </c>
      <c r="B159" s="86"/>
      <c r="C159" s="87"/>
      <c r="D159" s="88"/>
      <c r="E159" s="87"/>
      <c r="F159" s="85"/>
      <c r="G159" s="85"/>
      <c r="H159" s="10"/>
      <c r="I159" s="10"/>
    </row>
    <row r="160" spans="1:9" ht="39.6">
      <c r="A160" s="85" t="s">
        <v>2542</v>
      </c>
      <c r="B160" s="86"/>
      <c r="C160" s="87"/>
      <c r="D160" s="88"/>
      <c r="E160" s="87"/>
      <c r="F160" s="85"/>
      <c r="G160" s="85"/>
      <c r="H160" s="10"/>
      <c r="I160" s="10"/>
    </row>
    <row r="161" spans="1:9" ht="39.6">
      <c r="A161" s="85" t="s">
        <v>2543</v>
      </c>
      <c r="B161" s="86"/>
      <c r="C161" s="87"/>
      <c r="D161" s="88"/>
      <c r="E161" s="87"/>
      <c r="F161" s="85"/>
      <c r="G161" s="85"/>
      <c r="H161" s="10"/>
      <c r="I161" s="10"/>
    </row>
    <row r="162" spans="1:9" ht="39.6">
      <c r="A162" s="85" t="s">
        <v>1074</v>
      </c>
      <c r="B162" s="86"/>
      <c r="C162" s="87"/>
      <c r="D162" s="88"/>
      <c r="E162" s="87"/>
      <c r="F162" s="85"/>
      <c r="G162" s="85"/>
      <c r="H162" s="10"/>
      <c r="I162" s="10"/>
    </row>
    <row r="163" spans="1:9" ht="39.6">
      <c r="A163" s="85" t="s">
        <v>1075</v>
      </c>
      <c r="B163" s="86"/>
      <c r="C163" s="87"/>
      <c r="D163" s="88"/>
      <c r="E163" s="87"/>
      <c r="F163" s="85"/>
      <c r="G163" s="85"/>
      <c r="H163" s="10"/>
      <c r="I163" s="10"/>
    </row>
    <row r="164" spans="1:9" ht="39.6">
      <c r="A164" s="85" t="s">
        <v>2544</v>
      </c>
      <c r="B164" s="87"/>
      <c r="C164" s="87"/>
      <c r="D164" s="88"/>
      <c r="E164" s="87"/>
      <c r="F164" s="85"/>
      <c r="G164" s="85"/>
    </row>
    <row r="165" spans="1:9" ht="39.6">
      <c r="A165" s="85" t="s">
        <v>2545</v>
      </c>
      <c r="B165" s="87"/>
      <c r="C165" s="87"/>
      <c r="D165" s="88"/>
      <c r="E165" s="87"/>
      <c r="F165" s="85"/>
      <c r="G165" s="85"/>
    </row>
    <row r="166" spans="1:9" ht="39.6">
      <c r="A166" s="85" t="s">
        <v>2546</v>
      </c>
      <c r="B166" s="87"/>
      <c r="C166" s="87"/>
      <c r="D166" s="88"/>
      <c r="E166" s="87"/>
      <c r="F166" s="85"/>
      <c r="G166" s="85"/>
    </row>
    <row r="167" spans="1:9" ht="39.6">
      <c r="A167" s="85" t="s">
        <v>1078</v>
      </c>
      <c r="B167" s="87"/>
      <c r="C167" s="87"/>
      <c r="D167" s="88"/>
      <c r="E167" s="87"/>
      <c r="F167" s="85"/>
      <c r="G167" s="85"/>
    </row>
    <row r="168" spans="1:9" ht="39.6">
      <c r="A168" s="85" t="s">
        <v>1079</v>
      </c>
      <c r="B168" s="87"/>
      <c r="C168" s="87"/>
      <c r="D168" s="88"/>
      <c r="E168" s="87"/>
      <c r="F168" s="85"/>
      <c r="G168" s="85"/>
    </row>
    <row r="169" spans="1:9" ht="39.6">
      <c r="A169" s="85" t="s">
        <v>1313</v>
      </c>
      <c r="B169" s="87"/>
      <c r="C169" s="87"/>
      <c r="D169" s="88"/>
      <c r="E169" s="87"/>
      <c r="F169" s="85"/>
      <c r="G169" s="85"/>
    </row>
    <row r="170" spans="1:9" ht="26.4">
      <c r="A170" s="85" t="s">
        <v>1314</v>
      </c>
      <c r="B170" s="87"/>
      <c r="C170" s="87"/>
      <c r="D170" s="88"/>
      <c r="E170" s="87"/>
      <c r="F170" s="85"/>
      <c r="G170" s="85"/>
    </row>
    <row r="171" spans="1:9" ht="39.6">
      <c r="A171" s="85" t="s">
        <v>1315</v>
      </c>
      <c r="B171" s="87"/>
      <c r="C171" s="87"/>
      <c r="D171" s="88"/>
      <c r="E171" s="89"/>
      <c r="F171" s="85"/>
      <c r="G171" s="85"/>
    </row>
    <row r="172" spans="1:9" ht="39.6">
      <c r="A172" s="85" t="s">
        <v>1317</v>
      </c>
      <c r="B172" s="87"/>
      <c r="C172" s="87"/>
      <c r="D172" s="88"/>
      <c r="E172" s="89"/>
      <c r="F172" s="85"/>
      <c r="G172" s="85"/>
    </row>
    <row r="173" spans="1:9" ht="26.4">
      <c r="A173" s="85" t="s">
        <v>1319</v>
      </c>
      <c r="B173" s="87"/>
      <c r="C173" s="87"/>
      <c r="D173" s="88"/>
      <c r="E173" s="89"/>
      <c r="F173" s="85"/>
      <c r="G173" s="85"/>
    </row>
    <row r="174" spans="1:9">
      <c r="A174" s="85" t="s">
        <v>2547</v>
      </c>
      <c r="B174" s="87"/>
      <c r="C174" s="87"/>
      <c r="D174" s="88"/>
      <c r="E174" s="89"/>
      <c r="F174" s="85"/>
      <c r="G174" s="85"/>
    </row>
    <row r="175" spans="1:9">
      <c r="A175" s="85" t="s">
        <v>1339</v>
      </c>
      <c r="B175" s="87"/>
      <c r="C175" s="87"/>
      <c r="D175" s="88"/>
      <c r="E175" s="89"/>
      <c r="F175" s="85"/>
      <c r="G175" s="85"/>
    </row>
    <row r="176" spans="1:9">
      <c r="A176" s="85" t="s">
        <v>1341</v>
      </c>
      <c r="B176" s="87"/>
      <c r="C176" s="87"/>
      <c r="D176" s="88"/>
      <c r="E176" s="89"/>
      <c r="F176" s="85"/>
      <c r="G176" s="85"/>
    </row>
    <row r="177" spans="1:8">
      <c r="A177" s="85" t="s">
        <v>2548</v>
      </c>
      <c r="B177" s="87"/>
      <c r="C177" s="87"/>
      <c r="D177" s="88"/>
      <c r="E177" s="87"/>
      <c r="F177" s="85"/>
      <c r="G177" s="85"/>
    </row>
    <row r="178" spans="1:8">
      <c r="A178" s="85" t="s">
        <v>1343</v>
      </c>
      <c r="B178" s="87"/>
      <c r="C178" s="87"/>
      <c r="D178" s="88"/>
      <c r="E178" s="87"/>
      <c r="F178" s="85"/>
      <c r="G178" s="85"/>
    </row>
    <row r="179" spans="1:8">
      <c r="A179" s="85" t="s">
        <v>1345</v>
      </c>
      <c r="B179" s="87"/>
      <c r="C179" s="87"/>
      <c r="D179" s="88"/>
      <c r="E179" s="87"/>
      <c r="F179" s="85"/>
      <c r="G179" s="85"/>
    </row>
    <row r="180" spans="1:8">
      <c r="A180" s="85" t="s">
        <v>1346</v>
      </c>
      <c r="B180" s="87"/>
      <c r="C180" s="87"/>
      <c r="D180" s="88"/>
      <c r="E180" s="87"/>
      <c r="F180" s="85"/>
      <c r="G180" s="85"/>
    </row>
    <row r="181" spans="1:8">
      <c r="A181" s="85" t="s">
        <v>1347</v>
      </c>
      <c r="B181" s="87"/>
      <c r="C181" s="87"/>
      <c r="D181" s="88"/>
      <c r="E181" s="87"/>
      <c r="F181" s="85"/>
      <c r="G181" s="85"/>
    </row>
    <row r="182" spans="1:8">
      <c r="A182" s="27"/>
      <c r="B182" s="10"/>
      <c r="D182" s="28"/>
      <c r="E182" t="s">
        <v>41</v>
      </c>
      <c r="F182" s="29" t="s">
        <v>17</v>
      </c>
      <c r="G182" s="27" t="s">
        <v>288</v>
      </c>
      <c r="H182">
        <v>21</v>
      </c>
    </row>
    <row r="183" spans="1:8">
      <c r="A183" s="27"/>
      <c r="B183" s="10"/>
      <c r="D183" s="28"/>
      <c r="E183" s="29" t="s">
        <v>36</v>
      </c>
      <c r="F183" s="29" t="s">
        <v>37</v>
      </c>
      <c r="G183" s="27" t="s">
        <v>22</v>
      </c>
      <c r="H183">
        <v>2</v>
      </c>
    </row>
    <row r="184" spans="1:8">
      <c r="A184" s="27"/>
      <c r="B184" s="10"/>
      <c r="D184" s="28"/>
      <c r="E184" s="29" t="s">
        <v>20</v>
      </c>
      <c r="F184" s="29" t="s">
        <v>21</v>
      </c>
      <c r="G184" s="27" t="s">
        <v>288</v>
      </c>
      <c r="H184">
        <v>12</v>
      </c>
    </row>
    <row r="185" spans="1:8">
      <c r="A185" s="27"/>
      <c r="B185" s="10"/>
      <c r="D185" s="28"/>
      <c r="E185" s="29" t="s">
        <v>36</v>
      </c>
      <c r="F185" s="29" t="s">
        <v>37</v>
      </c>
      <c r="G185" s="27" t="s">
        <v>288</v>
      </c>
      <c r="H185">
        <v>2</v>
      </c>
    </row>
    <row r="186" spans="1:8">
      <c r="A186" s="27"/>
      <c r="B186" s="10"/>
      <c r="D186" s="28"/>
      <c r="E186" s="29" t="s">
        <v>20</v>
      </c>
      <c r="F186" s="29" t="s">
        <v>21</v>
      </c>
      <c r="G186" s="27" t="s">
        <v>22</v>
      </c>
      <c r="H186">
        <v>1</v>
      </c>
    </row>
    <row r="187" spans="1:8">
      <c r="A187" s="27"/>
      <c r="B187" s="10"/>
      <c r="D187" s="28"/>
      <c r="E187" s="29" t="s">
        <v>43</v>
      </c>
      <c r="F187" s="29" t="s">
        <v>44</v>
      </c>
      <c r="G187" s="27" t="s">
        <v>288</v>
      </c>
      <c r="H187">
        <v>1</v>
      </c>
    </row>
    <row r="188" spans="1:8">
      <c r="A188" s="27"/>
      <c r="B188" s="10"/>
      <c r="D188" s="28"/>
      <c r="E188" s="29" t="s">
        <v>43</v>
      </c>
      <c r="F188" s="29" t="s">
        <v>44</v>
      </c>
      <c r="G188" s="27" t="s">
        <v>22</v>
      </c>
      <c r="H188">
        <v>4</v>
      </c>
    </row>
    <row r="189" spans="1:8">
      <c r="A189" s="27"/>
      <c r="B189" s="10"/>
      <c r="D189" s="28"/>
      <c r="E189" s="29" t="s">
        <v>16</v>
      </c>
      <c r="F189" s="29" t="s">
        <v>17</v>
      </c>
      <c r="G189" s="27" t="s">
        <v>32</v>
      </c>
      <c r="H189">
        <v>1</v>
      </c>
    </row>
    <row r="190" spans="1:8">
      <c r="A190" s="27"/>
      <c r="B190" s="10"/>
      <c r="D190" s="28"/>
      <c r="E190" s="10" t="s">
        <v>41</v>
      </c>
      <c r="F190" s="27" t="s">
        <v>17</v>
      </c>
      <c r="G190" s="27" t="s">
        <v>22</v>
      </c>
      <c r="H190">
        <v>1</v>
      </c>
    </row>
    <row r="191" spans="1:8">
      <c r="A191" s="27"/>
      <c r="B191" s="10"/>
      <c r="D191" s="28"/>
      <c r="E191" s="10"/>
      <c r="F191" s="27"/>
      <c r="G191" s="27"/>
    </row>
    <row r="192" spans="1:8">
      <c r="A192" s="27"/>
      <c r="B192" s="10"/>
      <c r="D192" s="28"/>
      <c r="E192" s="29"/>
      <c r="F192" s="29"/>
      <c r="G192" s="9"/>
    </row>
    <row r="193" spans="1:14">
      <c r="A193" s="27"/>
      <c r="B193" s="10"/>
      <c r="D193" s="28"/>
      <c r="E193" s="29"/>
      <c r="F193" s="29"/>
      <c r="G193" s="9"/>
    </row>
    <row r="194" spans="1:14">
      <c r="A194" s="27"/>
      <c r="B194" s="10"/>
      <c r="D194" s="28"/>
      <c r="E194" s="29"/>
      <c r="F194" s="29" t="s">
        <v>2515</v>
      </c>
      <c r="G194" s="9"/>
      <c r="H194" s="101"/>
    </row>
    <row r="195" spans="1:14">
      <c r="A195" s="27"/>
      <c r="B195" s="10"/>
      <c r="D195" s="28"/>
      <c r="G195" s="9"/>
    </row>
    <row r="196" spans="1:14">
      <c r="A196" s="27"/>
      <c r="B196" s="10"/>
      <c r="D196" s="28"/>
      <c r="G196" s="9"/>
    </row>
    <row r="197" spans="1:14">
      <c r="A197" s="27"/>
      <c r="B197" s="10"/>
      <c r="D197" s="28"/>
      <c r="E197" s="29"/>
      <c r="F197" s="29"/>
      <c r="G197" s="9"/>
    </row>
    <row r="198" spans="1:14">
      <c r="A198" s="27"/>
      <c r="B198" s="10"/>
      <c r="D198" s="28"/>
      <c r="F198" s="10"/>
      <c r="G198" s="27"/>
    </row>
    <row r="199" spans="1:14">
      <c r="A199" s="27"/>
      <c r="B199" s="10"/>
      <c r="D199" s="28"/>
      <c r="G199" s="9"/>
    </row>
    <row r="202" spans="1:14">
      <c r="M202">
        <v>16600</v>
      </c>
    </row>
    <row r="203" spans="1:14">
      <c r="M203">
        <f>M202-M205</f>
        <v>2500</v>
      </c>
    </row>
    <row r="204" spans="1:14">
      <c r="J204" s="10" t="s">
        <v>2549</v>
      </c>
      <c r="K204" s="10" t="s">
        <v>51</v>
      </c>
      <c r="L204" s="10" t="s">
        <v>52</v>
      </c>
      <c r="N204" s="10" t="s">
        <v>2522</v>
      </c>
    </row>
    <row r="205" spans="1:14">
      <c r="J205">
        <f>(J206+J207)*1000</f>
        <v>10000</v>
      </c>
      <c r="K205">
        <f>1000*K206</f>
        <v>3000</v>
      </c>
      <c r="L205">
        <f>400+700</f>
        <v>1100</v>
      </c>
      <c r="M205" s="34">
        <f>SUM(J205:L205)</f>
        <v>14100</v>
      </c>
    </row>
    <row r="206" spans="1:14">
      <c r="J206" cm="1">
        <f t="array" ref="J206">ROUNDUP(
  _xlfn.LET(
    _xlpm.arrange,$J$3,
    _xlpm.capE,IF(_xlpm.arrange="B2B",144,72),
    _xlpm.rng,G2:G142,
    _xlpm.totalE,SUMPRODUCT(
      IFERROR(
        VALUE(_xlfn.TEXTBEFORE(_xlpm.rng,"E")) / IFERROR(VALUE(_xlfn.TEXTAFTER(_xlpm.rng,"/")),1),
        0
      )
    ),
    CEILING((1+$K$4)*_xlpm.totalE/_xlpm.capE,1)
  ),
0)</f>
        <v>7</v>
      </c>
      <c r="K206">
        <f>2+1</f>
        <v>3</v>
      </c>
      <c r="L206" s="34">
        <v>2</v>
      </c>
      <c r="M206" s="34">
        <f>J206+K206+L206+J207</f>
        <v>15</v>
      </c>
    </row>
    <row r="207" spans="1:14">
      <c r="J207" s="9" cm="1">
        <f t="array" ref="J207">ROUNDUP(
  _xlfn.LET(
    _xlpm.arrange,UPPER(TRIM($J$3)),
    _xlpm.capE,IF(_xlpm.arrange="B2B",72,72),
    _xlpm.rng,TRIM(G182:G194),
    _xlpm.qty,H182:H194,
    _xlpm.eVal,IFERROR(VALUE(_xlfn.TEXTBEFORE(_xlpm.rng,"E"))/IFERROR(VALUE(_xlfn.TEXTAFTER(_xlpm.rng,"/")),1),0),
    _xlpm.qVal,IFERROR(VALUE(_xlpm.qty),0),
    _xlpm.totalE,SUMPRODUCT(_xlpm.eVal*_xlpm.qVal),
    CEILING((1+$K$4)*_xlpm.totalE/_xlpm.capE,1)
  ),
0
)</f>
        <v>3</v>
      </c>
    </row>
    <row r="208" spans="1:14">
      <c r="J208" t="str" cm="1">
        <f t="array" ref="J208">_xlfn.LET(
  _xlpm.arrange,UPPER(TRIM($J$3)),
  _xlpm.capE,IF(_xlpm.arrange="B2B",144,72),
  _xlpm.rng,TRIM(G175:G201),
  _xlpm.qty,N(H175:H201),
  _xlpm.eVal,IFERROR(VALUE(_xlfn.TEXTBEFORE(_xlpm.rng,"E"))/IFERROR(VALUE(_xlfn.TEXTAFTER(_xlpm.rng,"/")),1),0),
  _xlpm.totalE,SUMPRODUCT(_xlpm.eVal*_xlpm.qty),
  "arrange="&amp;_xlpm.arrange&amp;", capE="&amp;_xlpm.capE&amp;", totalE="&amp;_xlpm.totalE
)</f>
        <v>arrange=, capE=72, totalE=0</v>
      </c>
    </row>
    <row r="210" spans="5:15">
      <c r="J210" t="s">
        <v>15</v>
      </c>
      <c r="K210" cm="1">
        <f t="array" ref="K210">_xlfn.LET(_xlpm.busSel,UPPER(TRIM($J$210)),_xlpm.arrange,UPPER(TRIM($J$3)),_xlpm.capE,IF(_xlpm.arrange="B2B",144,72),_xlpm.rngE,TRIM(G2:G181),_xlpm.rngBus,UPPER(TRIM(B2:B181)),_xlpm.eVal,IFERROR(VALUE(_xlfn.TEXTBEFORE(_xlpm.rngE,"E"))/IFERROR(VALUE(_xlfn.TEXTAFTER(_xlpm.rngE,"/")),1),0),_xlpm.totalE,SUMPRODUCT((_xlpm.rngBus=_xlpm.busSel)*_xlpm.eVal),IF(OR(_xlpm.busSel="A",_xlpm.busSel="B",_xlpm.busSel="C"),ROUNDUP(CEILING((1+$K$4)*_xlpm.totalE/_xlpm.capE,1),0),"CHECK BUS NO(A/B/C)"))</f>
        <v>3</v>
      </c>
      <c r="L210">
        <v>2</v>
      </c>
      <c r="M210" s="102">
        <f>K210+L210</f>
        <v>5</v>
      </c>
      <c r="N210">
        <v>1</v>
      </c>
      <c r="O210">
        <f>M210+N210</f>
        <v>6</v>
      </c>
    </row>
    <row r="211" spans="5:15">
      <c r="J211" t="s">
        <v>321</v>
      </c>
      <c r="K211" cm="1">
        <f t="array" ref="K211">_xlfn.LET(_xlpm.busSel,UPPER(TRIM($J$210)),_xlpm.arrange,UPPER(TRIM($J$3)),_xlpm.capE,IF(_xlpm.arrange="B2B",144,72),_xlpm.rngE,TRIM(G2:G181),_xlpm.rngBus,UPPER(TRIM(B2:B181)),_xlpm.eVal,IFERROR(VALUE(_xlfn.TEXTBEFORE(_xlpm.rngE,"E"))/IFERROR(VALUE(_xlfn.TEXTAFTER(_xlpm.rngE,"/")),1),0),_xlpm.totalE,SUMPRODUCT((_xlpm.rngBus=_xlpm.busSel)*_xlpm.eVal),IF(OR(_xlpm.busSel="A",_xlpm.busSel="B",_xlpm.busSel="C"),ROUNDUP(CEILING((1+$K$4)*_xlpm.totalE/_xlpm.capE,1),0),"CHECK BUS NO(A/B/C)"))</f>
        <v>3</v>
      </c>
      <c r="L211">
        <v>2</v>
      </c>
      <c r="M211" s="102">
        <f>K211+L211</f>
        <v>5</v>
      </c>
      <c r="N211">
        <v>1</v>
      </c>
      <c r="O211">
        <f>M211+N211</f>
        <v>6</v>
      </c>
    </row>
    <row r="212" spans="5:15">
      <c r="K212" t="s">
        <v>2516</v>
      </c>
    </row>
    <row r="213" spans="5:15">
      <c r="J213" s="34" t="str" cm="1">
        <f t="array" ref="J213:K214">_xlfn.LET(_xlpm.rngBus,UPPER(TRIM($B$2:$B$142)),_xlpm.rngE,UPPER(TRIM($G$2:$G$142)),_xlpm.num,IFERROR(VALUE(_xlfn.TEXTBEFORE(_xlpm.rngE,"E")),0),_xlpm.den,IFERROR(VALUE(_xlfn.TEXTAFTER(_xlpm.rngE,"/")),1),_xlpm.is72E,(_xlpm.num=72)*(_xlpm.den=1),_xlpm.buses,_xlfn._xlws.SORT(_xlfn.UNIQUE(_xlfn._xlws.FILTER(_xlpm.rngBus,_xlpm.rngBus&lt;&gt;""))),_xlpm.counts,_xlfn.MAP(_xlpm.buses,_xlfn.LAMBDA(_xlpm.b,SUMPRODUCT((_xlpm.rngBus=_xlpm.b)*_xlpm.is72E))),_xlfn.HSTACK(_xlpm.buses,_xlpm.counts))</f>
        <v>A</v>
      </c>
      <c r="K213" s="106">
        <v>0</v>
      </c>
    </row>
    <row r="214" spans="5:15">
      <c r="J214" s="34" t="str">
        <v>B</v>
      </c>
      <c r="K214" s="34">
        <v>0</v>
      </c>
    </row>
    <row r="219" spans="5:15">
      <c r="E219" t="s">
        <v>41</v>
      </c>
      <c r="F219" t="s">
        <v>17</v>
      </c>
      <c r="G219" t="s">
        <v>288</v>
      </c>
    </row>
    <row r="220" spans="5:15">
      <c r="E220" t="s">
        <v>36</v>
      </c>
      <c r="F220" t="s">
        <v>37</v>
      </c>
      <c r="G220" t="s">
        <v>22</v>
      </c>
    </row>
    <row r="221" spans="5:15">
      <c r="E221" t="s">
        <v>20</v>
      </c>
      <c r="F221" t="s">
        <v>21</v>
      </c>
      <c r="G221" t="s">
        <v>288</v>
      </c>
    </row>
    <row r="222" spans="5:15">
      <c r="E222" t="s">
        <v>36</v>
      </c>
      <c r="F222" t="s">
        <v>37</v>
      </c>
      <c r="G222" t="s">
        <v>288</v>
      </c>
    </row>
    <row r="223" spans="5:15">
      <c r="E223" t="s">
        <v>20</v>
      </c>
      <c r="F223" t="s">
        <v>21</v>
      </c>
      <c r="G223" t="s">
        <v>22</v>
      </c>
    </row>
    <row r="224" spans="5:15">
      <c r="E224" t="s">
        <v>43</v>
      </c>
      <c r="F224" t="s">
        <v>44</v>
      </c>
      <c r="G224" t="s">
        <v>288</v>
      </c>
    </row>
    <row r="225" spans="5:7">
      <c r="E225" t="s">
        <v>43</v>
      </c>
      <c r="F225" t="s">
        <v>44</v>
      </c>
      <c r="G225" t="s">
        <v>22</v>
      </c>
    </row>
    <row r="226" spans="5:7">
      <c r="E226" t="s">
        <v>16</v>
      </c>
      <c r="F226" t="s">
        <v>17</v>
      </c>
      <c r="G226" t="s">
        <v>32</v>
      </c>
    </row>
    <row r="227" spans="5:7">
      <c r="E227" t="s">
        <v>41</v>
      </c>
      <c r="F227" t="s">
        <v>17</v>
      </c>
      <c r="G227" t="s">
        <v>22</v>
      </c>
    </row>
  </sheetData>
  <pageMargins left="0.7" right="0.7" top="0.75" bottom="0.75" header="0.3" footer="0.3"/>
  <legacy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7D4CA-0098-4BA6-8ACC-CD411C24F239}">
  <dimension ref="A1:R97"/>
  <sheetViews>
    <sheetView topLeftCell="A40" zoomScale="85" zoomScaleNormal="85" workbookViewId="0">
      <selection activeCell="H63" sqref="H63"/>
    </sheetView>
  </sheetViews>
  <sheetFormatPr defaultRowHeight="13.2"/>
  <cols>
    <col min="1" max="1" width="20.44140625" bestFit="1" customWidth="1"/>
    <col min="3" max="3" width="19.33203125" customWidth="1"/>
    <col min="4" max="4" width="23.6640625" customWidth="1"/>
    <col min="5" max="5" width="15.44140625" customWidth="1"/>
    <col min="6" max="6" width="67.6640625" customWidth="1"/>
    <col min="7" max="7" width="17.6640625" customWidth="1"/>
    <col min="8" max="8" width="27" customWidth="1"/>
    <col min="15" max="15" width="59.33203125" bestFit="1" customWidth="1"/>
    <col min="17" max="17" width="23.6640625" customWidth="1"/>
  </cols>
  <sheetData>
    <row r="1" spans="1:18">
      <c r="A1" s="23" t="s">
        <v>4</v>
      </c>
      <c r="B1" s="24" t="s">
        <v>5</v>
      </c>
      <c r="C1" s="24" t="s">
        <v>6</v>
      </c>
      <c r="D1" s="24" t="s">
        <v>7</v>
      </c>
      <c r="E1" s="24" t="s">
        <v>8</v>
      </c>
      <c r="F1" s="24" t="s">
        <v>9</v>
      </c>
      <c r="G1" s="25" t="s">
        <v>10</v>
      </c>
      <c r="H1" s="24" t="s">
        <v>11</v>
      </c>
      <c r="I1" s="10"/>
      <c r="Q1" s="10" t="s">
        <v>12</v>
      </c>
      <c r="R1" s="10" t="s">
        <v>2514</v>
      </c>
    </row>
    <row r="2" spans="1:18">
      <c r="A2" t="s">
        <v>846</v>
      </c>
      <c r="B2" s="10" t="s">
        <v>321</v>
      </c>
      <c r="C2">
        <v>84</v>
      </c>
      <c r="D2">
        <v>56.898287398397912</v>
      </c>
      <c r="E2" s="16" t="s">
        <v>36</v>
      </c>
      <c r="F2" s="27" t="str">
        <f>_xlfn.LET(
  _xlpm.tag, A2,
  _xlpm.p, N(C2),
  _xlpm.i, N(D2),
  _xlpm.st, UPPER(TRIM(E2)),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f>
        <v>400V SCR-Controlled Heater Feeder Cubicle (per Dwg LV8)</v>
      </c>
      <c r="G2" s="27" t="str" cm="1">
        <f t="array" ref="G2">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2" s="10"/>
      <c r="I2" s="10"/>
      <c r="N2" t="s">
        <v>36</v>
      </c>
      <c r="O2" t="s">
        <v>37</v>
      </c>
      <c r="P2" t="s">
        <v>22</v>
      </c>
      <c r="Q2">
        <f>COUNTIFS($E$2:$E$45,N2,$F$2:$F$45,O2,$G$2:$G$45,P2)</f>
        <v>3</v>
      </c>
      <c r="R2">
        <f>ROUNDUP(Q2*0.3,0)</f>
        <v>1</v>
      </c>
    </row>
    <row r="3" spans="1:18">
      <c r="A3" t="s">
        <v>850</v>
      </c>
      <c r="B3" s="10" t="s">
        <v>321</v>
      </c>
      <c r="C3">
        <v>636</v>
      </c>
      <c r="D3">
        <v>443.47194589927784</v>
      </c>
      <c r="E3" s="16" t="s">
        <v>36</v>
      </c>
      <c r="F3" s="27" t="str">
        <f t="shared" ref="F3:F19" si="0">_xlfn.LET(
  _xlpm.tag, A3,
  _xlpm.p, N(C3),
  _xlpm.i, N(D3),
  _xlpm.st, UPPER(TRIM(E3)),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f>
        <v>400V SCR-Controlled Heater Feeder Cubicle (per Dwg LV8)</v>
      </c>
      <c r="G3" s="105"/>
      <c r="H3" s="10" t="s">
        <v>2550</v>
      </c>
      <c r="N3" t="s">
        <v>36</v>
      </c>
      <c r="O3" t="s">
        <v>37</v>
      </c>
      <c r="P3" t="s">
        <v>18</v>
      </c>
      <c r="Q3">
        <f t="shared" ref="Q3:Q11" si="1">COUNTIFS($E$2:$E$45,N3,$F$2:$F$45,O3,$G$2:$G$45,P3)</f>
        <v>0</v>
      </c>
      <c r="R3">
        <f t="shared" ref="R3:R11" si="2">ROUNDUP(Q3*0.3,0)</f>
        <v>0</v>
      </c>
    </row>
    <row r="4" spans="1:18">
      <c r="A4" t="s">
        <v>1090</v>
      </c>
      <c r="B4" s="10" t="s">
        <v>15</v>
      </c>
      <c r="C4">
        <v>630</v>
      </c>
      <c r="D4">
        <v>1000</v>
      </c>
      <c r="E4" s="10" t="s">
        <v>20</v>
      </c>
      <c r="F4" s="27" t="str">
        <f t="shared" si="0"/>
        <v>400V Air Circuit Breaker(ACB) Feeder Cubicle (per Dwg LV1)</v>
      </c>
      <c r="G4" s="27" t="str" cm="1">
        <f t="array" ref="G4">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72E</v>
      </c>
      <c r="H4" s="10"/>
      <c r="N4" t="s">
        <v>20</v>
      </c>
      <c r="O4" t="s">
        <v>2515</v>
      </c>
      <c r="P4" t="s">
        <v>2516</v>
      </c>
      <c r="Q4">
        <f t="shared" si="1"/>
        <v>2</v>
      </c>
      <c r="R4">
        <f t="shared" si="2"/>
        <v>1</v>
      </c>
    </row>
    <row r="5" spans="1:18">
      <c r="A5" t="s">
        <v>1092</v>
      </c>
      <c r="B5" s="10" t="s">
        <v>321</v>
      </c>
      <c r="C5">
        <v>400</v>
      </c>
      <c r="D5">
        <v>630</v>
      </c>
      <c r="E5" s="10" t="s">
        <v>20</v>
      </c>
      <c r="F5" s="27" t="str">
        <f t="shared" si="0"/>
        <v>400V Air Circuit Breaker(ACB) Feeder Cubicle (per Dwg LV1)</v>
      </c>
      <c r="G5" s="27" t="str" cm="1">
        <f t="array" ref="G5">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72E</v>
      </c>
      <c r="H5" s="10"/>
      <c r="N5" t="s">
        <v>20</v>
      </c>
      <c r="O5" t="s">
        <v>21</v>
      </c>
      <c r="P5" t="s">
        <v>22</v>
      </c>
      <c r="Q5">
        <f t="shared" si="1"/>
        <v>2</v>
      </c>
      <c r="R5">
        <f t="shared" si="2"/>
        <v>1</v>
      </c>
    </row>
    <row r="6" spans="1:18">
      <c r="A6" t="s">
        <v>1094</v>
      </c>
      <c r="B6" s="10" t="s">
        <v>15</v>
      </c>
      <c r="C6">
        <v>63</v>
      </c>
      <c r="D6">
        <v>125</v>
      </c>
      <c r="E6" s="10" t="s">
        <v>20</v>
      </c>
      <c r="F6" s="27" t="str">
        <f t="shared" si="0"/>
        <v>400V MCCB Feeder Cubicle (I &lt; 160A, per Dwg LV4)</v>
      </c>
      <c r="G6" s="27" t="str" cm="1">
        <f t="array" ref="G6">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6" s="10"/>
      <c r="N6" t="s">
        <v>711</v>
      </c>
      <c r="O6" t="s">
        <v>2271</v>
      </c>
      <c r="P6" t="s">
        <v>39</v>
      </c>
      <c r="Q6">
        <f t="shared" si="1"/>
        <v>4</v>
      </c>
      <c r="R6">
        <f t="shared" si="2"/>
        <v>2</v>
      </c>
    </row>
    <row r="7" spans="1:18">
      <c r="A7" t="s">
        <v>1096</v>
      </c>
      <c r="B7" s="10" t="s">
        <v>321</v>
      </c>
      <c r="C7">
        <v>25</v>
      </c>
      <c r="D7">
        <v>125</v>
      </c>
      <c r="E7" s="10" t="s">
        <v>20</v>
      </c>
      <c r="F7" s="27" t="str">
        <f t="shared" si="0"/>
        <v>400V MCCB Feeder Cubicle (I &lt; 160A, per Dwg LV4)</v>
      </c>
      <c r="G7" s="27" t="str" cm="1">
        <f t="array" ref="G7">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7" s="10"/>
      <c r="N7" t="s">
        <v>29</v>
      </c>
      <c r="O7" t="s">
        <v>17</v>
      </c>
      <c r="P7" t="s">
        <v>32</v>
      </c>
      <c r="Q7">
        <f t="shared" si="1"/>
        <v>4</v>
      </c>
      <c r="R7">
        <f t="shared" si="2"/>
        <v>2</v>
      </c>
    </row>
    <row r="8" spans="1:18">
      <c r="A8" t="s">
        <v>709</v>
      </c>
      <c r="B8" s="10" t="s">
        <v>15</v>
      </c>
      <c r="C8">
        <v>355</v>
      </c>
      <c r="D8">
        <v>315.0078195067012</v>
      </c>
      <c r="E8" s="16" t="s">
        <v>711</v>
      </c>
      <c r="F8" s="27" t="str">
        <f t="shared" si="0"/>
        <v>400V MCCB Feeder for VSD Cubicle (per Dwg LV9)</v>
      </c>
      <c r="G8" s="27" t="str" cm="1">
        <f t="array" ref="G8">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24E</v>
      </c>
      <c r="H8" s="10"/>
      <c r="N8" t="s">
        <v>36</v>
      </c>
      <c r="O8" t="s">
        <v>37</v>
      </c>
      <c r="P8" t="s">
        <v>288</v>
      </c>
      <c r="Q8">
        <f t="shared" si="1"/>
        <v>2</v>
      </c>
      <c r="R8">
        <f t="shared" si="2"/>
        <v>1</v>
      </c>
    </row>
    <row r="9" spans="1:18">
      <c r="A9" t="s">
        <v>854</v>
      </c>
      <c r="B9" s="10" t="s">
        <v>321</v>
      </c>
      <c r="C9">
        <v>355</v>
      </c>
      <c r="D9">
        <v>315.0078195067012</v>
      </c>
      <c r="E9" s="16" t="s">
        <v>711</v>
      </c>
      <c r="F9" s="27" t="str">
        <f t="shared" si="0"/>
        <v>400V MCCB Feeder for VSD Cubicle (per Dwg LV9)</v>
      </c>
      <c r="G9" s="27" t="str" cm="1">
        <f t="array" ref="G9">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24E</v>
      </c>
      <c r="H9" s="10"/>
      <c r="N9" t="s">
        <v>725</v>
      </c>
      <c r="O9" t="s">
        <v>17</v>
      </c>
      <c r="P9" t="s">
        <v>32</v>
      </c>
      <c r="Q9">
        <f t="shared" si="1"/>
        <v>3</v>
      </c>
      <c r="R9">
        <f t="shared" si="2"/>
        <v>1</v>
      </c>
    </row>
    <row r="10" spans="1:18">
      <c r="A10" t="s">
        <v>1100</v>
      </c>
      <c r="B10" s="10" t="s">
        <v>15</v>
      </c>
      <c r="C10">
        <v>250</v>
      </c>
      <c r="D10">
        <v>217.55227534681549</v>
      </c>
      <c r="E10" t="s">
        <v>29</v>
      </c>
      <c r="F10" s="27" t="str">
        <f t="shared" si="0"/>
        <v>400V DOL Motor Starter Cubicle</v>
      </c>
      <c r="G10" s="27" t="str" cm="1">
        <f t="array" ref="G10">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16E</v>
      </c>
      <c r="H10" s="10"/>
      <c r="N10" t="s">
        <v>16</v>
      </c>
      <c r="O10" t="s">
        <v>17</v>
      </c>
      <c r="P10" t="s">
        <v>22</v>
      </c>
      <c r="Q10">
        <f t="shared" si="1"/>
        <v>15</v>
      </c>
      <c r="R10">
        <f t="shared" si="2"/>
        <v>5</v>
      </c>
    </row>
    <row r="11" spans="1:18">
      <c r="A11" t="s">
        <v>1102</v>
      </c>
      <c r="B11" s="10" t="s">
        <v>321</v>
      </c>
      <c r="C11">
        <v>250</v>
      </c>
      <c r="D11">
        <v>217.55227534681549</v>
      </c>
      <c r="E11" t="s">
        <v>29</v>
      </c>
      <c r="F11" s="27" t="str">
        <f t="shared" si="0"/>
        <v>400V DOL Motor Starter Cubicle</v>
      </c>
      <c r="G11" s="27" t="str" cm="1">
        <f t="array" ref="G11">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16E</v>
      </c>
      <c r="H11" s="10"/>
      <c r="N11" t="s">
        <v>41</v>
      </c>
      <c r="O11" t="s">
        <v>17</v>
      </c>
      <c r="P11" t="s">
        <v>288</v>
      </c>
      <c r="Q11">
        <f t="shared" si="1"/>
        <v>8</v>
      </c>
      <c r="R11">
        <f t="shared" si="2"/>
        <v>3</v>
      </c>
    </row>
    <row r="12" spans="1:18">
      <c r="A12" t="s">
        <v>1103</v>
      </c>
      <c r="B12" s="10" t="s">
        <v>15</v>
      </c>
      <c r="C12">
        <v>184</v>
      </c>
      <c r="D12">
        <v>128.10482059845177</v>
      </c>
      <c r="E12" s="16" t="s">
        <v>36</v>
      </c>
      <c r="F12" s="27" t="str">
        <f t="shared" si="0"/>
        <v>400V SCR-Controlled Heater Feeder Cubicle (per Dwg LV8)</v>
      </c>
      <c r="G12" s="27" t="str" cm="1">
        <f t="array" ref="G12">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12" s="10"/>
    </row>
    <row r="13" spans="1:18">
      <c r="A13" t="s">
        <v>1105</v>
      </c>
      <c r="B13" s="10" t="s">
        <v>321</v>
      </c>
      <c r="C13">
        <v>184</v>
      </c>
      <c r="D13">
        <v>128.10482059845177</v>
      </c>
      <c r="E13" s="16" t="s">
        <v>36</v>
      </c>
      <c r="F13" s="27" t="str">
        <f t="shared" si="0"/>
        <v>400V SCR-Controlled Heater Feeder Cubicle (per Dwg LV8)</v>
      </c>
      <c r="G13" s="27" t="str" cm="1">
        <f t="array" ref="G13">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13" s="10"/>
    </row>
    <row r="14" spans="1:18">
      <c r="A14" t="s">
        <v>1106</v>
      </c>
      <c r="B14" s="10" t="s">
        <v>15</v>
      </c>
      <c r="C14">
        <v>250</v>
      </c>
      <c r="D14">
        <v>215.58347647489862</v>
      </c>
      <c r="E14" s="10" t="s">
        <v>29</v>
      </c>
      <c r="F14" s="27" t="str">
        <f t="shared" si="0"/>
        <v>400V DOL Motor Starter Cubicle</v>
      </c>
      <c r="G14" s="27" t="str" cm="1">
        <f t="array" ref="G14">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16E</v>
      </c>
      <c r="H14" s="10"/>
    </row>
    <row r="15" spans="1:18">
      <c r="A15" t="s">
        <v>1108</v>
      </c>
      <c r="B15" s="10" t="s">
        <v>321</v>
      </c>
      <c r="C15">
        <v>250</v>
      </c>
      <c r="D15">
        <v>215.58347647489862</v>
      </c>
      <c r="E15" s="10" t="s">
        <v>29</v>
      </c>
      <c r="F15" s="27" t="str">
        <f t="shared" si="0"/>
        <v>400V DOL Motor Starter Cubicle</v>
      </c>
      <c r="G15" s="27" t="str" cm="1">
        <f t="array" ref="G15">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16E</v>
      </c>
      <c r="H15" s="10"/>
    </row>
    <row r="16" spans="1:18">
      <c r="A16" t="s">
        <v>728</v>
      </c>
      <c r="B16" s="10" t="s">
        <v>15</v>
      </c>
      <c r="C16">
        <v>15</v>
      </c>
      <c r="D16">
        <v>10.040874246776102</v>
      </c>
      <c r="E16" s="10" t="s">
        <v>36</v>
      </c>
      <c r="F16" s="27" t="str">
        <f t="shared" si="0"/>
        <v>400V SCR-Controlled Heater Feeder Cubicle (per Dwg LV8)</v>
      </c>
      <c r="G16" s="27" t="str" cm="1">
        <f t="array" ref="G16">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6" s="10"/>
    </row>
    <row r="17" spans="1:8">
      <c r="A17" t="s">
        <v>732</v>
      </c>
      <c r="B17" s="10" t="s">
        <v>15</v>
      </c>
      <c r="C17">
        <v>35</v>
      </c>
      <c r="D17">
        <v>23.428706575810907</v>
      </c>
      <c r="E17" s="10" t="s">
        <v>36</v>
      </c>
      <c r="F17" s="27" t="str">
        <f t="shared" si="0"/>
        <v>400V SCR-Controlled Heater Feeder Cubicle (per Dwg LV8)</v>
      </c>
      <c r="G17" s="27" t="str" cm="1">
        <f t="array" ref="G17">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17" s="10"/>
    </row>
    <row r="18" spans="1:8">
      <c r="A18" t="s">
        <v>791</v>
      </c>
      <c r="B18" s="10" t="s">
        <v>15</v>
      </c>
      <c r="C18">
        <v>185</v>
      </c>
      <c r="D18">
        <v>163.90250608708047</v>
      </c>
      <c r="E18" t="s">
        <v>725</v>
      </c>
      <c r="F18" s="27" t="str">
        <f t="shared" si="0"/>
        <v>400V DOL Motor Starter Cubicle</v>
      </c>
      <c r="G18" s="27" t="str" cm="1">
        <f t="array" ref="G18">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16E</v>
      </c>
      <c r="H18" s="10"/>
    </row>
    <row r="19" spans="1:8">
      <c r="A19" t="s">
        <v>903</v>
      </c>
      <c r="B19" s="10" t="s">
        <v>321</v>
      </c>
      <c r="C19">
        <v>185</v>
      </c>
      <c r="D19">
        <v>163.90250608708047</v>
      </c>
      <c r="E19" t="s">
        <v>725</v>
      </c>
      <c r="F19" s="27" t="str">
        <f t="shared" si="0"/>
        <v>400V DOL Motor Starter Cubicle</v>
      </c>
      <c r="G19" s="27" t="str" cm="1">
        <f t="array" ref="G19">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16E</v>
      </c>
      <c r="H19" s="10"/>
    </row>
    <row r="20" spans="1:8">
      <c r="A20" t="s">
        <v>1112</v>
      </c>
      <c r="B20" s="10" t="s">
        <v>321</v>
      </c>
      <c r="C20">
        <v>185</v>
      </c>
      <c r="D20">
        <v>163.90250608708047</v>
      </c>
      <c r="E20" s="10" t="s">
        <v>725</v>
      </c>
      <c r="F20" s="27" t="str">
        <f>_xlfn.LET(
  _xlpm.tag, A20,
  _xlpm.p, N(C20),
  _xlpm.i, N(D20),
  _xlpm.st, UPPER(TRIM(E20)),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f>
        <v>400V DOL Motor Starter Cubicle</v>
      </c>
      <c r="G20" s="27" t="str" cm="1">
        <f t="array" ref="G20">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16E</v>
      </c>
      <c r="H20" s="10"/>
    </row>
    <row r="21" spans="1:8">
      <c r="A21" t="s">
        <v>864</v>
      </c>
      <c r="B21" s="10" t="s">
        <v>321</v>
      </c>
      <c r="C21">
        <v>355</v>
      </c>
      <c r="D21">
        <v>315.0078195067012</v>
      </c>
      <c r="E21" s="10" t="s">
        <v>711</v>
      </c>
      <c r="F21" s="27" t="str">
        <f t="shared" ref="F21:F41" si="3">_xlfn.LET(
  _xlpm.tag, A21,
  _xlpm.p, N(C21),
  _xlpm.i, N(D21),
  _xlpm.st, UPPER(TRIM(E21)),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f>
        <v>400V MCCB Feeder for VSD Cubicle (per Dwg LV9)</v>
      </c>
      <c r="G21" s="27" t="str" cm="1">
        <f t="array" ref="G21">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24E</v>
      </c>
      <c r="H21" s="10"/>
    </row>
    <row r="22" spans="1:8">
      <c r="A22" t="s">
        <v>738</v>
      </c>
      <c r="B22" s="10" t="s">
        <v>15</v>
      </c>
      <c r="C22">
        <v>355</v>
      </c>
      <c r="D22">
        <v>315.0078195067012</v>
      </c>
      <c r="E22" s="10" t="s">
        <v>711</v>
      </c>
      <c r="F22" s="27" t="str">
        <f t="shared" si="3"/>
        <v>400V MCCB Feeder for VSD Cubicle (per Dwg LV9)</v>
      </c>
      <c r="G22" s="27" t="str" cm="1">
        <f t="array" ref="G22">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24E</v>
      </c>
      <c r="H22" s="10"/>
    </row>
    <row r="23" spans="1:8">
      <c r="A23" t="s">
        <v>1115</v>
      </c>
      <c r="B23" s="10" t="s">
        <v>15</v>
      </c>
      <c r="C23">
        <v>22</v>
      </c>
      <c r="D23">
        <v>19.224600691998148</v>
      </c>
      <c r="E23" s="10" t="s">
        <v>16</v>
      </c>
      <c r="F23" s="27" t="str">
        <f t="shared" si="3"/>
        <v>400V DOL Motor Starter Cubicle</v>
      </c>
      <c r="G23" s="27" t="str" cm="1">
        <f t="array" ref="G23">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23" s="10"/>
    </row>
    <row r="24" spans="1:8">
      <c r="A24" t="s">
        <v>1117</v>
      </c>
      <c r="B24" s="10" t="s">
        <v>15</v>
      </c>
      <c r="C24">
        <v>22</v>
      </c>
      <c r="D24">
        <v>19.224600691998148</v>
      </c>
      <c r="E24" s="10" t="s">
        <v>16</v>
      </c>
      <c r="F24" s="27" t="str">
        <f t="shared" si="3"/>
        <v>400V DOL Motor Starter Cubicle</v>
      </c>
      <c r="G24" s="27" t="str" cm="1">
        <f t="array" ref="G24">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24" s="10"/>
    </row>
    <row r="25" spans="1:8">
      <c r="A25" t="s">
        <v>1119</v>
      </c>
      <c r="B25" s="10" t="s">
        <v>15</v>
      </c>
      <c r="C25">
        <v>22</v>
      </c>
      <c r="D25">
        <v>19.224600691998148</v>
      </c>
      <c r="E25" s="10" t="s">
        <v>16</v>
      </c>
      <c r="F25" s="27" t="str">
        <f t="shared" si="3"/>
        <v>400V DOL Motor Starter Cubicle</v>
      </c>
      <c r="G25" s="27" t="str" cm="1">
        <f t="array" ref="G25">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25" s="10"/>
    </row>
    <row r="26" spans="1:8">
      <c r="A26" t="s">
        <v>1121</v>
      </c>
      <c r="B26" s="10" t="s">
        <v>15</v>
      </c>
      <c r="C26">
        <v>22</v>
      </c>
      <c r="D26">
        <v>19.224600691998148</v>
      </c>
      <c r="E26" s="10" t="s">
        <v>16</v>
      </c>
      <c r="F26" s="27" t="str">
        <f t="shared" si="3"/>
        <v>400V DOL Motor Starter Cubicle</v>
      </c>
      <c r="G26" s="27" t="str" cm="1">
        <f t="array" ref="G26">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26" s="10"/>
    </row>
    <row r="27" spans="1:8">
      <c r="A27" t="s">
        <v>1123</v>
      </c>
      <c r="B27" s="10" t="s">
        <v>15</v>
      </c>
      <c r="C27">
        <v>22</v>
      </c>
      <c r="D27">
        <v>19.224600691998148</v>
      </c>
      <c r="E27" s="10" t="s">
        <v>16</v>
      </c>
      <c r="F27" s="27" t="str">
        <f t="shared" si="3"/>
        <v>400V DOL Motor Starter Cubicle</v>
      </c>
      <c r="G27" s="27" t="str" cm="1">
        <f t="array" ref="G27">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27" s="10"/>
    </row>
    <row r="28" spans="1:8">
      <c r="A28" t="s">
        <v>1125</v>
      </c>
      <c r="B28" s="10" t="s">
        <v>15</v>
      </c>
      <c r="C28">
        <v>22</v>
      </c>
      <c r="D28">
        <v>19.224600691998148</v>
      </c>
      <c r="E28" s="10" t="s">
        <v>16</v>
      </c>
      <c r="F28" s="27" t="str">
        <f t="shared" si="3"/>
        <v>400V DOL Motor Starter Cubicle</v>
      </c>
      <c r="G28" s="27" t="str" cm="1">
        <f t="array" ref="G28">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28" s="10"/>
    </row>
    <row r="29" spans="1:8">
      <c r="A29" t="s">
        <v>1127</v>
      </c>
      <c r="B29" s="10" t="s">
        <v>321</v>
      </c>
      <c r="C29">
        <v>22</v>
      </c>
      <c r="D29">
        <v>19.224600691998148</v>
      </c>
      <c r="E29" s="10" t="s">
        <v>16</v>
      </c>
      <c r="F29" s="27" t="str">
        <f t="shared" si="3"/>
        <v>400V DOL Motor Starter Cubicle</v>
      </c>
      <c r="G29" s="27" t="str" cm="1">
        <f t="array" ref="G29">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29" s="10"/>
    </row>
    <row r="30" spans="1:8">
      <c r="A30" t="s">
        <v>1128</v>
      </c>
      <c r="B30" s="10" t="s">
        <v>321</v>
      </c>
      <c r="C30">
        <v>22</v>
      </c>
      <c r="D30">
        <v>19.224600691998148</v>
      </c>
      <c r="E30" s="10" t="s">
        <v>16</v>
      </c>
      <c r="F30" s="27" t="str">
        <f t="shared" si="3"/>
        <v>400V DOL Motor Starter Cubicle</v>
      </c>
      <c r="G30" s="27" t="str" cm="1">
        <f t="array" ref="G30">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30" s="10"/>
    </row>
    <row r="31" spans="1:8">
      <c r="A31" t="s">
        <v>1129</v>
      </c>
      <c r="B31" s="10" t="s">
        <v>321</v>
      </c>
      <c r="C31">
        <v>22</v>
      </c>
      <c r="D31">
        <v>19.224600691998148</v>
      </c>
      <c r="E31" s="10" t="s">
        <v>16</v>
      </c>
      <c r="F31" s="27" t="str">
        <f t="shared" si="3"/>
        <v>400V DOL Motor Starter Cubicle</v>
      </c>
      <c r="G31" s="27" t="str" cm="1">
        <f t="array" ref="G31">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31" s="10"/>
    </row>
    <row r="32" spans="1:8">
      <c r="A32" t="s">
        <v>1130</v>
      </c>
      <c r="B32" s="10" t="s">
        <v>321</v>
      </c>
      <c r="C32">
        <v>22</v>
      </c>
      <c r="D32">
        <v>19.224600691998148</v>
      </c>
      <c r="E32" s="10" t="s">
        <v>16</v>
      </c>
      <c r="F32" s="27" t="str">
        <f t="shared" si="3"/>
        <v>400V DOL Motor Starter Cubicle</v>
      </c>
      <c r="G32" s="27" t="str" cm="1">
        <f t="array" ref="G32">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32" s="10"/>
    </row>
    <row r="33" spans="1:8">
      <c r="A33" t="s">
        <v>1131</v>
      </c>
      <c r="B33" s="10" t="s">
        <v>321</v>
      </c>
      <c r="C33">
        <v>22</v>
      </c>
      <c r="D33">
        <v>19.224600691998148</v>
      </c>
      <c r="E33" s="10" t="s">
        <v>16</v>
      </c>
      <c r="F33" s="27" t="str">
        <f t="shared" si="3"/>
        <v>400V DOL Motor Starter Cubicle</v>
      </c>
      <c r="G33" s="27" t="str" cm="1">
        <f t="array" ref="G33">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33" s="10"/>
    </row>
    <row r="34" spans="1:8">
      <c r="A34" t="s">
        <v>1132</v>
      </c>
      <c r="B34" s="10" t="s">
        <v>321</v>
      </c>
      <c r="C34">
        <v>22</v>
      </c>
      <c r="D34">
        <v>19.224600691998148</v>
      </c>
      <c r="E34" s="10" t="s">
        <v>16</v>
      </c>
      <c r="F34" s="27" t="str">
        <f t="shared" si="3"/>
        <v>400V DOL Motor Starter Cubicle</v>
      </c>
      <c r="G34" s="27" t="str" cm="1">
        <f t="array" ref="G34">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34" s="10"/>
    </row>
    <row r="35" spans="1:8">
      <c r="A35" t="s">
        <v>1133</v>
      </c>
      <c r="B35" s="10" t="s">
        <v>321</v>
      </c>
      <c r="C35">
        <v>5.5</v>
      </c>
      <c r="D35">
        <v>4.6020673631057134</v>
      </c>
      <c r="E35" s="10" t="s">
        <v>41</v>
      </c>
      <c r="F35" s="27" t="str">
        <f t="shared" si="3"/>
        <v>400V DOL Motor Starter Cubicle</v>
      </c>
      <c r="G35" s="27" t="str" cm="1">
        <f t="array" ref="G35">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35" s="10"/>
    </row>
    <row r="36" spans="1:8">
      <c r="A36" t="s">
        <v>1135</v>
      </c>
      <c r="B36" s="10" t="s">
        <v>321</v>
      </c>
      <c r="C36">
        <v>5.5</v>
      </c>
      <c r="D36">
        <v>4.6020673631057134</v>
      </c>
      <c r="E36" s="10" t="s">
        <v>41</v>
      </c>
      <c r="F36" s="27" t="str">
        <f t="shared" si="3"/>
        <v>400V DOL Motor Starter Cubicle</v>
      </c>
      <c r="G36" s="27" t="str" cm="1">
        <f t="array" ref="G36">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36" s="10"/>
    </row>
    <row r="37" spans="1:8">
      <c r="A37" t="s">
        <v>1137</v>
      </c>
      <c r="B37" s="10" t="s">
        <v>15</v>
      </c>
      <c r="C37">
        <v>5.5</v>
      </c>
      <c r="D37">
        <v>4.6020673631057134</v>
      </c>
      <c r="E37" s="10" t="s">
        <v>41</v>
      </c>
      <c r="F37" s="27" t="str">
        <f t="shared" si="3"/>
        <v>400V DOL Motor Starter Cubicle</v>
      </c>
      <c r="G37" s="27" t="str" cm="1">
        <f t="array" ref="G37">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37" s="10"/>
    </row>
    <row r="38" spans="1:8">
      <c r="A38" t="s">
        <v>1139</v>
      </c>
      <c r="B38" s="10" t="s">
        <v>321</v>
      </c>
      <c r="C38">
        <v>5.5</v>
      </c>
      <c r="D38">
        <v>4.6020673631057134</v>
      </c>
      <c r="E38" s="10" t="s">
        <v>41</v>
      </c>
      <c r="F38" s="27" t="str">
        <f t="shared" si="3"/>
        <v>400V DOL Motor Starter Cubicle</v>
      </c>
      <c r="G38" s="27" t="str" cm="1">
        <f t="array" ref="G38">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38" s="10"/>
    </row>
    <row r="39" spans="1:8">
      <c r="A39" t="s">
        <v>1141</v>
      </c>
      <c r="B39" s="10" t="s">
        <v>321</v>
      </c>
      <c r="C39">
        <v>5.5</v>
      </c>
      <c r="D39">
        <v>4.6020673631057134</v>
      </c>
      <c r="E39" s="10" t="s">
        <v>41</v>
      </c>
      <c r="F39" s="27" t="str">
        <f t="shared" si="3"/>
        <v>400V DOL Motor Starter Cubicle</v>
      </c>
      <c r="G39" s="27" t="str" cm="1">
        <f t="array" ref="G39">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39" s="10"/>
    </row>
    <row r="40" spans="1:8">
      <c r="A40" t="s">
        <v>1143</v>
      </c>
      <c r="B40" s="10" t="s">
        <v>15</v>
      </c>
      <c r="C40">
        <v>5.5</v>
      </c>
      <c r="D40">
        <v>4.6020673631057134</v>
      </c>
      <c r="E40" s="10" t="s">
        <v>41</v>
      </c>
      <c r="F40" s="27" t="str">
        <f t="shared" si="3"/>
        <v>400V DOL Motor Starter Cubicle</v>
      </c>
      <c r="G40" s="27" t="str" cm="1">
        <f t="array" ref="G40">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40" s="10"/>
    </row>
    <row r="41" spans="1:8">
      <c r="A41" t="s">
        <v>1145</v>
      </c>
      <c r="B41" s="10" t="s">
        <v>321</v>
      </c>
      <c r="C41">
        <v>22</v>
      </c>
      <c r="D41">
        <v>17.959287270656446</v>
      </c>
      <c r="E41" s="10" t="s">
        <v>16</v>
      </c>
      <c r="F41" s="27" t="str">
        <f t="shared" si="3"/>
        <v>400V DOL Motor Starter Cubicle</v>
      </c>
      <c r="G41" s="27" t="str" cm="1">
        <f t="array" ref="G41">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41" s="10"/>
    </row>
    <row r="42" spans="1:8">
      <c r="A42" t="s">
        <v>1147</v>
      </c>
      <c r="B42" s="10" t="s">
        <v>321</v>
      </c>
      <c r="C42">
        <v>22</v>
      </c>
      <c r="D42">
        <v>17.959287270656446</v>
      </c>
      <c r="E42" s="10" t="s">
        <v>16</v>
      </c>
      <c r="F42" s="27" t="str">
        <f t="shared" ref="F42:F45" si="4">_xlfn.LET(
  _xlpm.tag, A42,
  _xlpm.p, N(C42),
  _xlpm.i, N(D42),
  _xlpm.st, UPPER(TRIM(E42)),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f>
        <v>400V DOL Motor Starter Cubicle</v>
      </c>
      <c r="G42" s="27" t="str" cm="1">
        <f t="array" ref="G42">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42" s="10"/>
    </row>
    <row r="43" spans="1:8">
      <c r="A43" t="s">
        <v>1149</v>
      </c>
      <c r="B43" s="10" t="s">
        <v>15</v>
      </c>
      <c r="C43">
        <v>22</v>
      </c>
      <c r="D43">
        <v>17.959287270656446</v>
      </c>
      <c r="E43" s="10" t="s">
        <v>16</v>
      </c>
      <c r="F43" s="27" t="str">
        <f t="shared" si="4"/>
        <v>400V DOL Motor Starter Cubicle</v>
      </c>
      <c r="G43" s="27" t="str" cm="1">
        <f t="array" ref="G43">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v>
      </c>
      <c r="H43" s="10"/>
    </row>
    <row r="44" spans="1:8">
      <c r="A44" t="s">
        <v>1151</v>
      </c>
      <c r="B44" s="10" t="s">
        <v>15</v>
      </c>
      <c r="C44">
        <v>10</v>
      </c>
      <c r="D44">
        <v>9.8439943595844124</v>
      </c>
      <c r="E44" s="10" t="s">
        <v>41</v>
      </c>
      <c r="F44" s="27" t="str">
        <f t="shared" si="4"/>
        <v>400V DOL Motor Starter Cubicle</v>
      </c>
      <c r="G44" s="27" t="str" cm="1">
        <f t="array" ref="G44">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44" s="10"/>
    </row>
    <row r="45" spans="1:8">
      <c r="A45" t="s">
        <v>1153</v>
      </c>
      <c r="B45" s="10" t="s">
        <v>321</v>
      </c>
      <c r="C45">
        <v>10</v>
      </c>
      <c r="D45">
        <v>9.8439943595844124</v>
      </c>
      <c r="E45" s="10" t="s">
        <v>41</v>
      </c>
      <c r="F45" s="27" t="str">
        <f t="shared" si="4"/>
        <v>400V DOL Motor Starter Cubicle</v>
      </c>
      <c r="G45" s="27" t="str" cm="1">
        <f t="array" ref="G45">_xlfn.LET(_xlpm.c,UPPER(TRIM(_70IK610003[[#This Row],[Starter Type]])),_xlpm.kw,N(_70IK610003[[#This Row],[RATED POWER]]),_xlpm.flc,N(_70IK610003[[#This Row],[FULL LOAD CURRENT]]),_xlpm.feederType,IFERROR(_xlfn.IFS(_xlpm.c="M-A1","M_A1",_xlpm.c="M-B1","M_B1",_xlpm.c="M-C1","M_C1",_xlpm.c="M-D1","M_D1",_xlpm.c="M-E1","M_E1",_xlpm.c="U","UPS",_xlpm.c="F","FEEDER",_xlpm.c="L","LIGHT",_xlpm.c="H","HEATER",ISNUMBER(SEARCH("ACB",_xlpm.c)),"ACB",ISNUMBER(SEARCH("NRDOL",_xlpm.c)),"NRDOL",ISNUMBER(SEARCH("SCR",_xlpm.c)),"SCR",ISNUMBER(SEARCH("VSD",_xlpm.c)),"MCCB_VSD",ISNUMBER(SEARCH("FVNR",_xlpm.c)),"FVNR",TRUE,"OTHER"),"OTHER"),_xlpm.isMotor,OR(_xlpm.feederType="M_A1",_xlpm.feederType="M_B1",_xlpm.feederType="M_C1",_xlpm.feederType="M_D1",_xlpm.feederType="M_E1",_xlpm.feederType="FVNR",_xlpm.feederType="MCCB_VSD",_xlpm.feederType="NRDOL"),_xlpm.MotorESize,_xlfn.LAMBDA(_xlpm.p,IF(_xlpm.p&lt;=0,"&lt;review&gt;",IF(_xlpm.p&lt;=15,"8E/4",IF(_xlpm.p&lt;=75,"8E",IF(_xlpm.p&lt;=250,"16E",IF(_xlpm.p&lt;=400,"24E","36E")))))),_xlfn.IFS(_xlpm.feederType="ACB","72E",AND(NOT(_xlpm.isMotor),_xlpm.flc&gt;=630),"72E",AND(NOT(_xlpm.isMotor),_xlpm.flc&gt;400),"36E",_xlpm.isMotor,_xlpm.MotorESize(_xlpm.kw),_xlpm.flc&lt;=0,"&lt;review&gt;",_xlpm.flc&lt;=32,"8E/4",TRUE,"8E"))</f>
        <v>8E/4</v>
      </c>
      <c r="H45" s="10"/>
    </row>
    <row r="46" spans="1:8">
      <c r="B46" s="10"/>
      <c r="E46" s="10" t="s">
        <v>36</v>
      </c>
      <c r="F46" s="27" t="s">
        <v>37</v>
      </c>
      <c r="G46" s="27" t="s">
        <v>22</v>
      </c>
      <c r="H46" s="15">
        <v>1</v>
      </c>
    </row>
    <row r="47" spans="1:8">
      <c r="B47" s="10"/>
      <c r="E47" s="10" t="s">
        <v>36</v>
      </c>
      <c r="F47" s="27" t="s">
        <v>37</v>
      </c>
      <c r="G47" s="27" t="s">
        <v>18</v>
      </c>
      <c r="H47" s="15">
        <v>1</v>
      </c>
    </row>
    <row r="48" spans="1:8">
      <c r="B48" s="10"/>
      <c r="E48" s="10" t="s">
        <v>20</v>
      </c>
      <c r="F48" s="27" t="s">
        <v>2515</v>
      </c>
      <c r="G48" s="27" t="s">
        <v>2516</v>
      </c>
      <c r="H48" s="15">
        <v>1</v>
      </c>
    </row>
    <row r="49" spans="2:8">
      <c r="B49" s="10"/>
      <c r="E49" s="10" t="s">
        <v>20</v>
      </c>
      <c r="F49" s="27" t="s">
        <v>21</v>
      </c>
      <c r="G49" s="27" t="s">
        <v>22</v>
      </c>
      <c r="H49" s="15">
        <v>1</v>
      </c>
    </row>
    <row r="50" spans="2:8">
      <c r="B50" s="10"/>
      <c r="E50" s="10" t="s">
        <v>711</v>
      </c>
      <c r="F50" s="27" t="s">
        <v>2271</v>
      </c>
      <c r="G50" s="27" t="s">
        <v>39</v>
      </c>
      <c r="H50" s="15">
        <v>2</v>
      </c>
    </row>
    <row r="51" spans="2:8">
      <c r="B51" s="10"/>
      <c r="E51" s="10" t="s">
        <v>29</v>
      </c>
      <c r="F51" t="s">
        <v>17</v>
      </c>
      <c r="G51" s="27" t="s">
        <v>32</v>
      </c>
      <c r="H51" s="15">
        <v>2</v>
      </c>
    </row>
    <row r="52" spans="2:8">
      <c r="B52" s="10"/>
      <c r="E52" s="10" t="s">
        <v>36</v>
      </c>
      <c r="F52" t="s">
        <v>37</v>
      </c>
      <c r="G52" s="27" t="s">
        <v>288</v>
      </c>
      <c r="H52" s="15">
        <v>1</v>
      </c>
    </row>
    <row r="53" spans="2:8">
      <c r="B53" s="10"/>
      <c r="E53" s="10" t="s">
        <v>725</v>
      </c>
      <c r="F53" t="s">
        <v>17</v>
      </c>
      <c r="G53" s="27" t="s">
        <v>32</v>
      </c>
      <c r="H53" s="15">
        <v>1</v>
      </c>
    </row>
    <row r="54" spans="2:8">
      <c r="B54" s="10"/>
      <c r="E54" t="s">
        <v>16</v>
      </c>
      <c r="F54" t="s">
        <v>17</v>
      </c>
      <c r="G54" s="27" t="s">
        <v>22</v>
      </c>
      <c r="H54" s="15">
        <v>5</v>
      </c>
    </row>
    <row r="55" spans="2:8">
      <c r="B55" s="10"/>
      <c r="E55" t="s">
        <v>41</v>
      </c>
      <c r="F55" t="s">
        <v>17</v>
      </c>
      <c r="G55" s="27" t="s">
        <v>288</v>
      </c>
      <c r="H55" s="15">
        <v>3</v>
      </c>
    </row>
    <row r="56" spans="2:8">
      <c r="B56" s="10"/>
      <c r="F56" s="10" t="s">
        <v>2551</v>
      </c>
      <c r="G56" s="10"/>
      <c r="H56" s="15"/>
    </row>
    <row r="70" spans="8:14">
      <c r="L70">
        <v>6600</v>
      </c>
    </row>
    <row r="71" spans="8:14">
      <c r="K71">
        <f>L71/800</f>
        <v>-9.75</v>
      </c>
      <c r="L71">
        <f>L70-L73</f>
        <v>-7800</v>
      </c>
    </row>
    <row r="72" spans="8:14">
      <c r="I72" s="10" t="s">
        <v>50</v>
      </c>
      <c r="J72" s="10" t="s">
        <v>51</v>
      </c>
      <c r="K72" s="10" t="s">
        <v>52</v>
      </c>
      <c r="L72" s="10" t="s">
        <v>53</v>
      </c>
    </row>
    <row r="73" spans="8:14">
      <c r="I73">
        <f>(I74+I75)*1000</f>
        <v>12000</v>
      </c>
      <c r="J73">
        <f>800*J74</f>
        <v>2400</v>
      </c>
      <c r="K73">
        <f>600*K74</f>
        <v>0</v>
      </c>
      <c r="L73" s="34">
        <f>I73+J73+K73</f>
        <v>14400</v>
      </c>
    </row>
    <row r="74" spans="8:14">
      <c r="I74" cm="1">
        <f t="array" ref="I74">ROUNDUP(
  _xlfn.LET(
    _xlpm.arrange,$I$3,
    _xlpm.capE,IF(_xlpm.arrange="B2B",144,72),
    _xlpm.rng,G2:G45,
    _xlpm.totalE,SUMPRODUCT(
      IFERROR(
        VALUE(_xlfn.TEXTBEFORE(_xlpm.rng,"E")) / IFERROR(VALUE(_xlfn.TEXTAFTER(_xlpm.rng,"/")),1),
        0
      )
    ),
    CEILING((1+$J$4)*_xlpm.totalE/_xlpm.capE,1)
  ),
0)</f>
        <v>8</v>
      </c>
      <c r="J74">
        <f>2+1</f>
        <v>3</v>
      </c>
      <c r="L74" s="34">
        <f>I74+J74+K74+I75+3</f>
        <v>18</v>
      </c>
    </row>
    <row r="75" spans="8:14">
      <c r="I75" cm="1">
        <f t="array" ref="I75">ROUNDUP(
  _xlfn.LET(
    _xlpm.arrange,UPPER(TRIM($I$3)),
    _xlpm.capE,IF(_xlpm.arrange="B2B",144,72),
    _xlpm.rng,TRIM(G46:G56),
    _xlpm.qty,H46:H56,
    _xlpm.eVal,IFERROR(VALUE(_xlfn.TEXTBEFORE(_xlpm.rng,"E"))/IFERROR(VALUE(_xlfn.TEXTAFTER(_xlpm.rng,"/")),1),0),
    _xlpm.qVal,IFERROR(VALUE(_xlpm.qty),0),
    _xlpm.totalE,SUMPRODUCT(_xlpm.eVal*_xlpm.qVal),
    CEILING((1+$J$4)*_xlpm.totalE/_xlpm.capE,1)
  ),
0
)</f>
        <v>4</v>
      </c>
      <c r="L75" t="s">
        <v>56</v>
      </c>
      <c r="M75" s="10" t="s">
        <v>2522</v>
      </c>
    </row>
    <row r="76" spans="8:14">
      <c r="H76" t="s">
        <v>15</v>
      </c>
      <c r="I76" cm="1">
        <f t="array" ref="I76">_xlfn.LET(_xlpm.busSel,UPPER(TRIM($H$76)),_xlpm.arrange,UPPER(TRIM($J$3)),_xlpm.capE,IF(_xlpm.arrange="B2B",144,72),_xlpm.rngE,TRIM($G$2:$G$45),_xlpm.rngBus,UPPER(TRIM($B$2:$B$45)),_xlpm.eVal,IFERROR(VALUE(_xlfn.TEXTBEFORE(_xlpm.rngE,"E"))/IFERROR(VALUE(_xlfn.TEXTAFTER(_xlpm.rngE,"/")),1),0),_xlpm.totalE,SUMPRODUCT((_xlpm.rngBus=_xlpm.busSel)*_xlpm.eVal),IF(OR(_xlpm.busSel="A",_xlpm.busSel="B",_xlpm.busSel="C"),ROUNDUP(CEILING((1+$K$4)*_xlpm.totalE/_xlpm.capE,1),0),"CHECK BUS NO(A/B/C)"))</f>
        <v>4</v>
      </c>
      <c r="L76">
        <v>2</v>
      </c>
      <c r="M76">
        <v>1</v>
      </c>
      <c r="N76">
        <f>SUM(I76:M76)</f>
        <v>7</v>
      </c>
    </row>
    <row r="77" spans="8:14">
      <c r="H77" t="s">
        <v>321</v>
      </c>
      <c r="I77" cm="1">
        <f t="array" ref="I77">_xlfn.LET(_xlpm.busSel,UPPER(TRIM($H$77)),_xlpm.arrange,UPPER(TRIM($J$3)),_xlpm.capE,IF(_xlpm.arrange="B2B",144,72),_xlpm.rngE,TRIM($G$2:$G$45),_xlpm.rngBus,UPPER(TRIM($B$2:$B$45)),_xlpm.eVal,IFERROR(VALUE(_xlfn.TEXTBEFORE(_xlpm.rngE,"E"))/IFERROR(VALUE(_xlfn.TEXTAFTER(_xlpm.rngE,"/")),1),0),_xlpm.totalE,SUMPRODUCT((_xlpm.rngBus=_xlpm.busSel)*_xlpm.eVal),IF(OR(_xlpm.busSel="A",_xlpm.busSel="B",_xlpm.busSel="C"),ROUNDUP(CEILING((1+$K$4)*_xlpm.totalE/_xlpm.capE,1),0),"CHECK BUS NO(A/B/C)"))</f>
        <v>4</v>
      </c>
      <c r="L77">
        <v>2</v>
      </c>
      <c r="M77">
        <v>1</v>
      </c>
      <c r="N77">
        <f>SUM(I77:M77)</f>
        <v>7</v>
      </c>
    </row>
    <row r="78" spans="8:14">
      <c r="I78" s="10" t="s">
        <v>2516</v>
      </c>
    </row>
    <row r="79" spans="8:14">
      <c r="H79" t="str" cm="1">
        <f t="array" ref="H79:I80">_xlfn.LET(_xlpm.rngBus,UPPER(TRIM($B$2:$B$45)),_xlpm.rngE,UPPER(TRIM($G$2:$G$45)),_xlpm.num,IFERROR(VALUE(_xlfn.TEXTBEFORE(_xlpm.rngE,"E")),0),_xlpm.den,IFERROR(VALUE(_xlfn.TEXTAFTER(_xlpm.rngE,"/")),1),_xlpm.is72E,(_xlpm.num=72)*(_xlpm.den=1),_xlpm.buses,_xlfn._xlws.SORT(_xlfn.UNIQUE(_xlfn._xlws.FILTER(_xlpm.rngBus,_xlpm.rngBus&lt;&gt;""))),_xlpm.counts,_xlfn.MAP(_xlpm.buses,_xlfn.LAMBDA(_xlpm.b,SUMPRODUCT((_xlpm.rngBus=_xlpm.b)*_xlpm.is72E))),_xlfn.HSTACK(_xlpm.buses,_xlpm.counts))</f>
        <v>A</v>
      </c>
      <c r="I79">
        <v>1</v>
      </c>
      <c r="L79">
        <v>1</v>
      </c>
    </row>
    <row r="80" spans="8:14">
      <c r="H80" t="str">
        <v>B</v>
      </c>
      <c r="I80">
        <v>1</v>
      </c>
    </row>
    <row r="81" spans="5:12">
      <c r="I81" s="10" t="s">
        <v>2527</v>
      </c>
    </row>
    <row r="82" spans="5:12">
      <c r="H82" t="s">
        <v>15</v>
      </c>
      <c r="I82">
        <f>I76-I79</f>
        <v>3</v>
      </c>
      <c r="L82">
        <v>1</v>
      </c>
    </row>
    <row r="83" spans="5:12">
      <c r="H83" t="s">
        <v>321</v>
      </c>
      <c r="I83">
        <f>I77-I80</f>
        <v>3</v>
      </c>
      <c r="L83">
        <v>2</v>
      </c>
    </row>
    <row r="88" spans="5:12">
      <c r="E88" t="s">
        <v>36</v>
      </c>
      <c r="F88" t="s">
        <v>37</v>
      </c>
      <c r="G88" t="s">
        <v>22</v>
      </c>
    </row>
    <row r="89" spans="5:12">
      <c r="E89" t="s">
        <v>36</v>
      </c>
      <c r="F89" t="s">
        <v>37</v>
      </c>
      <c r="G89" t="s">
        <v>18</v>
      </c>
    </row>
    <row r="90" spans="5:12">
      <c r="E90" t="s">
        <v>20</v>
      </c>
      <c r="F90" t="s">
        <v>2515</v>
      </c>
      <c r="G90" t="s">
        <v>2516</v>
      </c>
    </row>
    <row r="91" spans="5:12">
      <c r="E91" t="s">
        <v>20</v>
      </c>
      <c r="F91" t="s">
        <v>21</v>
      </c>
      <c r="G91" t="s">
        <v>22</v>
      </c>
    </row>
    <row r="92" spans="5:12">
      <c r="E92" t="s">
        <v>711</v>
      </c>
      <c r="F92" t="s">
        <v>2271</v>
      </c>
      <c r="G92" t="s">
        <v>39</v>
      </c>
    </row>
    <row r="93" spans="5:12">
      <c r="E93" t="s">
        <v>29</v>
      </c>
      <c r="F93" t="s">
        <v>17</v>
      </c>
      <c r="G93" t="s">
        <v>32</v>
      </c>
    </row>
    <row r="94" spans="5:12">
      <c r="E94" t="s">
        <v>36</v>
      </c>
      <c r="F94" t="s">
        <v>37</v>
      </c>
      <c r="G94" t="s">
        <v>288</v>
      </c>
    </row>
    <row r="95" spans="5:12">
      <c r="E95" t="s">
        <v>725</v>
      </c>
      <c r="F95" t="s">
        <v>17</v>
      </c>
      <c r="G95" t="s">
        <v>32</v>
      </c>
    </row>
    <row r="96" spans="5:12">
      <c r="E96" t="s">
        <v>16</v>
      </c>
      <c r="F96" t="s">
        <v>17</v>
      </c>
      <c r="G96" t="s">
        <v>22</v>
      </c>
    </row>
    <row r="97" spans="5:7">
      <c r="E97" t="s">
        <v>41</v>
      </c>
      <c r="F97" t="s">
        <v>17</v>
      </c>
      <c r="G97" t="s">
        <v>288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96F9B-286C-4ADC-A4A9-8EB01B81CCEA}">
  <dimension ref="A1:R57"/>
  <sheetViews>
    <sheetView zoomScale="55" zoomScaleNormal="55" workbookViewId="0">
      <selection activeCell="E26" sqref="E26"/>
    </sheetView>
  </sheetViews>
  <sheetFormatPr defaultRowHeight="13.2"/>
  <cols>
    <col min="1" max="1" width="20.44140625" bestFit="1" customWidth="1"/>
    <col min="3" max="3" width="19.33203125" customWidth="1"/>
    <col min="4" max="4" width="23.6640625" customWidth="1"/>
    <col min="5" max="5" width="15.44140625" customWidth="1"/>
    <col min="6" max="6" width="67.6640625" customWidth="1"/>
    <col min="7" max="7" width="17.6640625" customWidth="1"/>
    <col min="8" max="8" width="27" customWidth="1"/>
    <col min="15" max="15" width="59.33203125" bestFit="1" customWidth="1"/>
    <col min="17" max="17" width="23.6640625" customWidth="1"/>
  </cols>
  <sheetData>
    <row r="1" spans="1:18">
      <c r="A1" s="23" t="s">
        <v>4</v>
      </c>
      <c r="B1" s="24" t="s">
        <v>5</v>
      </c>
      <c r="C1" s="24" t="s">
        <v>6</v>
      </c>
      <c r="D1" s="24" t="s">
        <v>7</v>
      </c>
      <c r="E1" s="24" t="s">
        <v>8</v>
      </c>
      <c r="F1" s="24" t="s">
        <v>9</v>
      </c>
      <c r="G1" s="25" t="s">
        <v>10</v>
      </c>
      <c r="H1" s="24" t="s">
        <v>11</v>
      </c>
      <c r="I1" s="10"/>
      <c r="Q1" s="10" t="s">
        <v>12</v>
      </c>
      <c r="R1" s="10" t="s">
        <v>13</v>
      </c>
    </row>
    <row r="2" spans="1:18">
      <c r="A2" t="s">
        <v>1859</v>
      </c>
      <c r="B2" s="10" t="s">
        <v>321</v>
      </c>
      <c r="C2" s="28">
        <f>SQRT(3)*_81IK610001[[#This Row],[FULL LOAD CURRENT]]*0.4*0.8</f>
        <v>88.681001347526518</v>
      </c>
      <c r="D2">
        <v>160</v>
      </c>
      <c r="E2" t="s">
        <v>20</v>
      </c>
      <c r="F2" s="27" t="str">
        <f>_xlfn.LET(
  _xlpm.tag, A2,
  _xlpm.p, N(C2),
  _xlpm.i, N(D2),
  _xlpm.st, UPPER(TRIM(E2)),
  _xlpm.I_MCCB, 160,
  _xlpm.I_ACB, 630,
  _xlpm.tACB, "400V Air Circuit Breaker(ACB) Feeder Cubicle (per Dwg LV1)",
  _xlpm.tMCCB_HI, "400V MCCB Feeder Cubicle (I &gt; 160A, per Dwg LV3)",
  _xlpm.tMCCB_LO, "400V MCCB Feeder Cubicle (I &lt; 160A, per Dwg LV4)",
  _xlpm.tLP, "400V 3Ph+N+PE Feeder Cubicle (per Dwg LV5)",
  _xlpm.tHEAT, "400V SCR-Controlled Heater Feeder Cubicle (per Dwg LV8)",
  _xlpm.tVSD, "400V MCCB Feeder for VSD Cubicle (per Dwg LV9)",
  _xlpm.tFVNR_HI, "400V FVNR Motor Starter Cubicle (55kW &lt; P &lt; 200kW, per Dwg LV10)",
  _xlpm.tFVNR_LO, "400V FVNR Motor Starter Cubicle (P &lt;= 55kW, per Dwg LV11)",
  _xlpm.tM_HV, "HV DOL Motor Starter Cubicle",
  _xlpm.tM_LV_DOL, "400V DOL Motor Starter Cubicle",
  _xlpm.tUPS, "400V UPS Feeder Cubicle",
  _xlpm.isM_HV, _xlpm.st="M-HV",
  _xlpm.isM_LV, OR(_xlpm.st="M-A1", _xlpm.st="M-B1", _xlpm.st="M-C1", _xlpm.st="M-D1", _xlpm.st="M-E1"),
  _xlpm.isVSD_HV, _xlpm.st="VSD-HV",
  _xlpm.isVSD_LV, OR(_xlpm.st="VSD-G1", _xlpm.st="VSD-G2"),
  _xlpm.isCB, OR(_xlpm.st="F", _xlpm.st="P"),
  _xlpm.isL, _xlpm.st="L",
  _xlpm.isU, _xlpm.st="U",
  _xlpm.isH, _xlpm.st="H",
  _xlpm.isVU, OR(_xlpm.st="VU", ISNUMBER(SEARCH("VSD", _xlpm.st)), ISNUMBER(SEARCH("INVERTER", _xlpm.st))),
  _xlpm.isHRS, OR(_xlpm.st="HRS", ISNUMBER(SEARCH("SCR", _xlpm.st))),
  _xlpm.isHC, OR(_xlpm.st="HC", ISNUMBER(SEARCH("THERMO", _xlpm.st)), ISNUMBER(SEARCH("CONTACTOR", _xlpm.st))),
  _xlpm.isF, OR(_xlpm.st="F", ISNUMBER(SEARCH("FEEDER", _xlpm.st))),
  _xlpm.isFVNR, ISNUMBER(SEARCH("FVNR", _xlpm.st)),
  _xlpm.isFVR, OR(_xlpm.st="FVR", ISNUMBER(SEARCH("FORWARD/REVERSE", _xlpm.st))),
  _xlpm.isDS, OR(_xlpm.st="DS", ISNUMBER(SEARCH("DOUBLE", _xlpm.st))),
  _xlpm.isST, OR(_xlpm.st="ST", ISNUMBER(SEARCH("STAR", _xlpm.st)), ISNUMBER(SEARCH("TRIANGLE", _xlpm.st))),
  _xlpm.isSS, OR(_xlpm.st="SS", ISNUMBER(SEARCH("SOFT", _xlpm.st))),
  _xlpm.isA, OR(_xlpm.st="A", ISNUMBER(SEARCH("AUTOTRANSFORMER", _xlpm.st))),
  _xlpm.isMotorCode, OR(_xlpm.isFVNR, _xlpm.isFVR, _xlpm.isDS, _xlpm.isST, _xlpm.isSS, _xlpm.isA, _xlpm.isVU),
  _xlpm.isLightLP, OR(ISNUMBER(SEARCH("LIGHT", _xlpm.tag)), ISNUMBER(SEARCH("OUTLET", _xlpm.tag)), ISNUMBER(SEARCH("-LP", _xlpm.tag))),
  _xlpm.isHeaterTag, OR(ISNUMBER(SEARCH("-H-", _xlpm.tag)), ISNUMBER(SEARCH("HEATER", _xlpm.tag))),
  _xlpm.isHVAC, ISNUMBER(SEARCH("HVAC", _xlpm.tag)),
  _xlpm.isHoistCrane, OR(ISNUMBER(SEARCH("HOIST", _xlpm.tag)), ISNUMBER(SEARCH("CRANE", _xlpm.tag))),
  _xlpm.isMotorTag, OR(ISNUMBER(SEARCH("-MA-", _xlpm.tag)), ISNUMBER(SEARCH("-MK-", _xlpm.tag)), ISNUMBER(SEARCH("-MP-", _xlpm.tag)), ISNUMBER(SEARCH("-GT-", _xlpm.tag))),
  IF(_xlpm.isM_HV, _xlpm.tM_HV,
    IF(_xlpm.isM_LV, _xlpm.tM_LV_DOL,
      IF(OR(_xlpm.isVSD_HV, _xlpm.isVSD_LV, _xlpm.isVU), _xlpm.tVSD,
        IF(_xlpm.isL, _xlpm.tLP,
          IF(_xlpm.isU, _xlpm.tUPS,
            IF(OR(_xlpm.isH, _xlpm.isHRS, _xlpm.isHC, _xlpm.isHeaterTag), _xlpm.tHEAT,
              IF(OR(_xlpm.isCB, _xlpm.isF),
                IF(_xlpm.i &gt;= _xlpm.I_ACB, _xlpm.tACB, IF(_xlpm.i &gt; _xlpm.I_MCCB, _xlpm.tMCCB_HI, _xlpm.tMCCB_LO)),
                IF(_xlpm.isMotorCode,
                  IF(_xlpm.p &lt;= 55, _xlpm.tFVNR_LO, IF(_xlpm.p &lt; 200, _xlpm.tFVNR_HI, IF(_xlpm.i &gt;= _xlpm.I_ACB, _xlpm.tACB, _xlpm.tMCCB_HI))),
                  IF(_xlpm.isLightLP, _xlpm.tLP,
                    IF(_xlpm.isHVAC, IF(_xlpm.i &gt;= _xlpm.I_ACB, _xlpm.tACB, _xlpm.tMCCB_HI),
                      IF(_xlpm.isHoistCrane, _xlpm.tMCCB_LO,
                        IF(_xlpm.isMotorTag,
                          IF(_xlpm.p &lt;= 55, _xlpm.tFVNR_LO, IF(_xlpm.p &lt; 200, _xlpm.tFVNR_HI, IF(_xlpm.i &gt;= _xlpm.I_ACB, _xlpm.tACB, _xlpm.tMCCB_HI))),
                          IF(_xlpm.i &gt;= _xlpm.I_ACB, _xlpm.tACB, IF(_xlpm.i &gt; _xlpm.I_MCCB, _xlpm.tMCCB_HI, _xlpm.tMCCB_LO))
                        )
                      )
                    )
                  )
                )
              )
            )
          )
        )
      )
    )
  )
)</f>
        <v>400V MCCB Feeder Cubicle (I &lt; 160A, per Dwg LV4)</v>
      </c>
      <c r="G2" s="27" t="str" cm="1">
        <f t="array" ref="G2">_xlfn.LET(
  _xlpm.c, UPPER(TRIM(_81IK610001[[#This Row],[Starter Type]])),
  _xlpm.kw, N(_81IK610001[[#This Row],[RATED POWER]]),
  _xlpm.flc, N(_81IK610001[[#This Row],[FULL LOAD CURRENT]]),
  _xlpm.feederType,
    IFERROR(
      _xlfn.IFS(
        _xlpm.c="M-A1", "M_A1",
        _xlpm.c="M-B1", "M_B1",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"8E",
    _xlpm.feederType="M_B1", IF(_xlpm.kw&lt;=37, "8E", "12E"),
    _xlpm.feederType="M_C1", IF(_xlpm.kw&lt;132, "12E", "16E"),
    _xlpm.feederType="M_D1", "16E",
    _xlpm.feederType="M_E1", "24E",
    _xlpm.feederType="UPS", IF(_xlpm.flc&lt;=50, "8E", IF(_xlpm.flc&lt;=100, "12E", IF(_xlpm.flc&lt;=250, "16E", IF(_xlpm.flc&lt;=400, "24E", "36E")))),
    _xlpm.feederType="FEEDER", IF(_xlpm.flc&lt;=160, _xlpm.LowE(_xlpm.flc), _xlpm.HighE(_xlpm.flc)),
    _xlpm.feederType="LIGHT",  IF(_xlpm.flc&lt;=160, _xlpm.LowE(_xlpm.flc), _xlpm.HighE(_xlpm.flc)),
    _xlpm.feederType="HEATER", IF(_xlpm.flc&lt;=160, _xlpm.LowE(_xlpm.flc), _xlpm.HighE(_xlpm.flc)),
    TRUE, "&lt;review&gt;"
  )
)</f>
        <v>16E</v>
      </c>
      <c r="I2" s="10"/>
      <c r="N2" s="29" t="s">
        <v>16</v>
      </c>
      <c r="O2" s="29" t="s">
        <v>17</v>
      </c>
      <c r="P2" s="29" t="s">
        <v>18</v>
      </c>
      <c r="Q2">
        <f t="shared" ref="Q2:Q18" si="0">COUNTIFS($E$2:$E$11,N2,$F$2:$F$11,O2,$G$2:$G$11,P2)</f>
        <v>0</v>
      </c>
      <c r="R2">
        <f>ROUNDUP(Q2*0.2,0)</f>
        <v>0</v>
      </c>
    </row>
    <row r="3" spans="1:18">
      <c r="A3" t="s">
        <v>1540</v>
      </c>
      <c r="B3" s="10" t="s">
        <v>321</v>
      </c>
      <c r="C3" s="28">
        <f>SQRT(3)*_81IK610001[[#This Row],[FULL LOAD CURRENT]]*0.4*0.8</f>
        <v>44.340500673763259</v>
      </c>
      <c r="D3">
        <v>80</v>
      </c>
      <c r="E3" t="s">
        <v>20</v>
      </c>
      <c r="F3" s="27" t="s">
        <v>21</v>
      </c>
      <c r="G3" s="27" t="str" cm="1">
        <f t="array" ref="G3">_xlfn.LET(
  _xlpm.c, UPPER(TRIM(_81IK610001[[#This Row],[Starter Type]])),
  _xlpm.kw, N(_81IK610001[[#This Row],[RATED POWER]]),
  _xlpm.flc, N(_81IK610001[[#This Row],[FULL LOAD CURRENT]]),
  _xlpm.feederType,
    IFERROR(
      _xlfn.IFS(
        _xlpm.c="M-A1", "M_A1",
        _xlpm.c="M-B1", "M_B1",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"8E",
    _xlpm.feederType="M_B1", IF(_xlpm.kw&lt;=37, "8E", "12E"),
    _xlpm.feederType="M_C1", IF(_xlpm.kw&lt;132, "12E", "16E"),
    _xlpm.feederType="M_D1", "16E",
    _xlpm.feederType="M_E1", "24E",
    _xlpm.feederType="UPS", IF(_xlpm.flc&lt;=50, "8E", IF(_xlpm.flc&lt;=100, "12E", IF(_xlpm.flc&lt;=250, "16E", IF(_xlpm.flc&lt;=400, "24E", "36E")))),
    _xlpm.feederType="FEEDER", IF(_xlpm.flc&lt;=160, _xlpm.LowE(_xlpm.flc), _xlpm.HighE(_xlpm.flc)),
    _xlpm.feederType="LIGHT",  IF(_xlpm.flc&lt;=160, _xlpm.LowE(_xlpm.flc), _xlpm.HighE(_xlpm.flc)),
    _xlpm.feederType="HEATER", IF(_xlpm.flc&lt;=160, _xlpm.LowE(_xlpm.flc), _xlpm.HighE(_xlpm.flc)),
    TRUE, "&lt;review&gt;"
  )
)</f>
        <v>12E</v>
      </c>
      <c r="N3" s="33" t="s">
        <v>20</v>
      </c>
      <c r="O3" s="33" t="s">
        <v>21</v>
      </c>
      <c r="P3" s="33" t="s">
        <v>22</v>
      </c>
      <c r="Q3">
        <f t="shared" si="0"/>
        <v>5</v>
      </c>
      <c r="R3" s="34">
        <f t="shared" ref="R3:R18" si="1">ROUNDUP(Q3*0.2,0)</f>
        <v>1</v>
      </c>
    </row>
    <row r="4" spans="1:18">
      <c r="A4" t="s">
        <v>1868</v>
      </c>
      <c r="B4" s="10" t="s">
        <v>15</v>
      </c>
      <c r="C4" s="28">
        <f>SQRT(3)*_81IK610001[[#This Row],[FULL LOAD CURRENT]]*0.4*0.8</f>
        <v>55.425625842204084</v>
      </c>
      <c r="D4">
        <v>100</v>
      </c>
      <c r="E4" t="s">
        <v>20</v>
      </c>
      <c r="F4" s="27" t="s">
        <v>21</v>
      </c>
      <c r="G4" s="27" t="str" cm="1">
        <f t="array" ref="G4">_xlfn.LET(
  _xlpm.c, UPPER(TRIM(_81IK610001[[#This Row],[Starter Type]])),
  _xlpm.kw, N(_81IK610001[[#This Row],[RATED POWER]]),
  _xlpm.flc, N(_81IK610001[[#This Row],[FULL LOAD CURRENT]]),
  _xlpm.feederType,
    IFERROR(
      _xlfn.IFS(
        _xlpm.c="M-A1", "M_A1",
        _xlpm.c="M-B1", "M_B1",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"8E",
    _xlpm.feederType="M_B1", IF(_xlpm.kw&lt;=37, "8E", "12E"),
    _xlpm.feederType="M_C1", IF(_xlpm.kw&lt;132, "12E", "16E"),
    _xlpm.feederType="M_D1", "16E",
    _xlpm.feederType="M_E1", "24E",
    _xlpm.feederType="UPS", IF(_xlpm.flc&lt;=50, "8E", IF(_xlpm.flc&lt;=100, "12E", IF(_xlpm.flc&lt;=250, "16E", IF(_xlpm.flc&lt;=400, "24E", "36E")))),
    _xlpm.feederType="FEEDER", IF(_xlpm.flc&lt;=160, _xlpm.LowE(_xlpm.flc), _xlpm.HighE(_xlpm.flc)),
    _xlpm.feederType="LIGHT",  IF(_xlpm.flc&lt;=160, _xlpm.LowE(_xlpm.flc), _xlpm.HighE(_xlpm.flc)),
    _xlpm.feederType="HEATER", IF(_xlpm.flc&lt;=160, _xlpm.LowE(_xlpm.flc), _xlpm.HighE(_xlpm.flc)),
    TRUE, "&lt;review&gt;"
  )
)</f>
        <v>12E</v>
      </c>
      <c r="N4" s="29" t="s">
        <v>24</v>
      </c>
      <c r="O4" s="29" t="s">
        <v>25</v>
      </c>
      <c r="P4" s="29" t="s">
        <v>22</v>
      </c>
      <c r="Q4">
        <f t="shared" si="0"/>
        <v>0</v>
      </c>
      <c r="R4">
        <f t="shared" si="1"/>
        <v>0</v>
      </c>
    </row>
    <row r="5" spans="1:18">
      <c r="A5" t="s">
        <v>1871</v>
      </c>
      <c r="B5" s="10" t="s">
        <v>321</v>
      </c>
      <c r="C5" s="28">
        <f>SQRT(3)*_81IK610001[[#This Row],[FULL LOAD CURRENT]]*0.4*0.8</f>
        <v>55.425625842204084</v>
      </c>
      <c r="D5">
        <v>100</v>
      </c>
      <c r="E5" t="s">
        <v>20</v>
      </c>
      <c r="F5" s="27" t="s">
        <v>21</v>
      </c>
      <c r="G5" s="27" t="str" cm="1">
        <f t="array" ref="G5">_xlfn.LET(
  _xlpm.c, UPPER(TRIM(_81IK610001[[#This Row],[Starter Type]])),
  _xlpm.kw, N(_81IK610001[[#This Row],[RATED POWER]]),
  _xlpm.flc, N(_81IK610001[[#This Row],[FULL LOAD CURRENT]]),
  _xlpm.feederType,
    IFERROR(
      _xlfn.IFS(
        _xlpm.c="M-A1", "M_A1",
        _xlpm.c="M-B1", "M_B1",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"8E",
    _xlpm.feederType="M_B1", IF(_xlpm.kw&lt;=37, "8E", "12E"),
    _xlpm.feederType="M_C1", IF(_xlpm.kw&lt;132, "12E", "16E"),
    _xlpm.feederType="M_D1", "16E",
    _xlpm.feederType="M_E1", "24E",
    _xlpm.feederType="UPS", IF(_xlpm.flc&lt;=50, "8E", IF(_xlpm.flc&lt;=100, "12E", IF(_xlpm.flc&lt;=250, "16E", IF(_xlpm.flc&lt;=400, "24E", "36E")))),
    _xlpm.feederType="FEEDER", IF(_xlpm.flc&lt;=160, _xlpm.LowE(_xlpm.flc), _xlpm.HighE(_xlpm.flc)),
    _xlpm.feederType="LIGHT",  IF(_xlpm.flc&lt;=160, _xlpm.LowE(_xlpm.flc), _xlpm.HighE(_xlpm.flc)),
    _xlpm.feederType="HEATER", IF(_xlpm.flc&lt;=160, _xlpm.LowE(_xlpm.flc), _xlpm.HighE(_xlpm.flc)),
    TRUE, "&lt;review&gt;"
  )
)</f>
        <v>12E</v>
      </c>
      <c r="N5" s="29" t="s">
        <v>24</v>
      </c>
      <c r="O5" s="29" t="s">
        <v>25</v>
      </c>
      <c r="P5" s="29" t="s">
        <v>27</v>
      </c>
      <c r="Q5">
        <f t="shared" si="0"/>
        <v>0</v>
      </c>
      <c r="R5">
        <f t="shared" si="1"/>
        <v>0</v>
      </c>
    </row>
    <row r="6" spans="1:18">
      <c r="A6" t="s">
        <v>1873</v>
      </c>
      <c r="B6" s="10" t="s">
        <v>15</v>
      </c>
      <c r="C6" s="28">
        <f>SQRT(3)*_81IK610001[[#This Row],[FULL LOAD CURRENT]]*0.4*0.8</f>
        <v>22.170250336881629</v>
      </c>
      <c r="D6">
        <v>40</v>
      </c>
      <c r="E6" t="s">
        <v>20</v>
      </c>
      <c r="F6" s="27" t="s">
        <v>21</v>
      </c>
      <c r="G6" s="27" t="str" cm="1">
        <f t="array" ref="G6">_xlfn.LET(
  _xlpm.c, UPPER(TRIM(_81IK610001[[#This Row],[Starter Type]])),
  _xlpm.kw, N(_81IK610001[[#This Row],[RATED POWER]]),
  _xlpm.flc, N(_81IK610001[[#This Row],[FULL LOAD CURRENT]]),
  _xlpm.feederType,
    IFERROR(
      _xlfn.IFS(
        _xlpm.c="M-A1", "M_A1",
        _xlpm.c="M-B1", "M_B1",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"8E",
    _xlpm.feederType="M_B1", IF(_xlpm.kw&lt;=37, "8E", "12E"),
    _xlpm.feederType="M_C1", IF(_xlpm.kw&lt;132, "12E", "16E"),
    _xlpm.feederType="M_D1", "16E",
    _xlpm.feederType="M_E1", "24E",
    _xlpm.feederType="UPS", IF(_xlpm.flc&lt;=50, "8E", IF(_xlpm.flc&lt;=100, "12E", IF(_xlpm.flc&lt;=250, "16E", IF(_xlpm.flc&lt;=400, "24E", "36E")))),
    _xlpm.feederType="FEEDER", IF(_xlpm.flc&lt;=160, _xlpm.LowE(_xlpm.flc), _xlpm.HighE(_xlpm.flc)),
    _xlpm.feederType="LIGHT",  IF(_xlpm.flc&lt;=160, _xlpm.LowE(_xlpm.flc), _xlpm.HighE(_xlpm.flc)),
    _xlpm.feederType="HEATER", IF(_xlpm.flc&lt;=160, _xlpm.LowE(_xlpm.flc), _xlpm.HighE(_xlpm.flc)),
    TRUE, "&lt;review&gt;"
  )
)</f>
        <v>8E</v>
      </c>
      <c r="N6" s="29" t="s">
        <v>29</v>
      </c>
      <c r="O6" s="29" t="s">
        <v>17</v>
      </c>
      <c r="P6" s="29" t="s">
        <v>18</v>
      </c>
      <c r="Q6">
        <f t="shared" si="0"/>
        <v>0</v>
      </c>
      <c r="R6">
        <f t="shared" si="1"/>
        <v>0</v>
      </c>
    </row>
    <row r="7" spans="1:18">
      <c r="A7" t="s">
        <v>1876</v>
      </c>
      <c r="B7" s="10" t="s">
        <v>321</v>
      </c>
      <c r="C7" s="28">
        <f>SQRT(3)*_81IK610001[[#This Row],[FULL LOAD CURRENT]]*0.4*0.8</f>
        <v>22.170250336881629</v>
      </c>
      <c r="D7">
        <v>40</v>
      </c>
      <c r="E7" t="s">
        <v>20</v>
      </c>
      <c r="F7" s="27" t="s">
        <v>21</v>
      </c>
      <c r="G7" s="27" t="str" cm="1">
        <f t="array" ref="G7">_xlfn.LET(
  _xlpm.c, UPPER(TRIM(_81IK610001[[#This Row],[Starter Type]])),
  _xlpm.kw, N(_81IK610001[[#This Row],[RATED POWER]]),
  _xlpm.flc, N(_81IK610001[[#This Row],[FULL LOAD CURRENT]]),
  _xlpm.feederType,
    IFERROR(
      _xlfn.IFS(
        _xlpm.c="M-A1", "M_A1",
        _xlpm.c="M-B1", "M_B1",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"8E",
    _xlpm.feederType="M_B1", IF(_xlpm.kw&lt;=37, "8E", "12E"),
    _xlpm.feederType="M_C1", IF(_xlpm.kw&lt;132, "12E", "16E"),
    _xlpm.feederType="M_D1", "16E",
    _xlpm.feederType="M_E1", "24E",
    _xlpm.feederType="UPS", IF(_xlpm.flc&lt;=50, "8E", IF(_xlpm.flc&lt;=100, "12E", IF(_xlpm.flc&lt;=250, "16E", IF(_xlpm.flc&lt;=400, "24E", "36E")))),
    _xlpm.feederType="FEEDER", IF(_xlpm.flc&lt;=160, _xlpm.LowE(_xlpm.flc), _xlpm.HighE(_xlpm.flc)),
    _xlpm.feederType="LIGHT",  IF(_xlpm.flc&lt;=160, _xlpm.LowE(_xlpm.flc), _xlpm.HighE(_xlpm.flc)),
    _xlpm.feederType="HEATER", IF(_xlpm.flc&lt;=160, _xlpm.LowE(_xlpm.flc), _xlpm.HighE(_xlpm.flc)),
    TRUE, "&lt;review&gt;"
  )
)</f>
        <v>8E</v>
      </c>
      <c r="N7" s="29" t="s">
        <v>20</v>
      </c>
      <c r="O7" s="29" t="s">
        <v>31</v>
      </c>
      <c r="P7" s="29" t="s">
        <v>32</v>
      </c>
      <c r="Q7">
        <f t="shared" si="0"/>
        <v>0</v>
      </c>
      <c r="R7">
        <f t="shared" si="1"/>
        <v>0</v>
      </c>
    </row>
    <row r="8" spans="1:18">
      <c r="A8" t="s">
        <v>1877</v>
      </c>
      <c r="B8" s="10" t="s">
        <v>15</v>
      </c>
      <c r="C8" s="28">
        <f>SQRT(3)*_81IK610001[[#This Row],[FULL LOAD CURRENT]]*0.4*0.8</f>
        <v>22.170250336881629</v>
      </c>
      <c r="D8">
        <v>40</v>
      </c>
      <c r="E8" t="s">
        <v>20</v>
      </c>
      <c r="F8" s="27" t="s">
        <v>21</v>
      </c>
      <c r="G8" s="27" t="str" cm="1">
        <f t="array" ref="G8">_xlfn.LET(
  _xlpm.c, UPPER(TRIM(_81IK610001[[#This Row],[Starter Type]])),
  _xlpm.kw, N(_81IK610001[[#This Row],[RATED POWER]]),
  _xlpm.flc, N(_81IK610001[[#This Row],[FULL LOAD CURRENT]]),
  _xlpm.feederType,
    IFERROR(
      _xlfn.IFS(
        _xlpm.c="M-A1", "M_A1",
        _xlpm.c="M-B1", "M_B1",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"8E",
    _xlpm.feederType="M_B1", IF(_xlpm.kw&lt;=37, "8E", "12E"),
    _xlpm.feederType="M_C1", IF(_xlpm.kw&lt;132, "12E", "16E"),
    _xlpm.feederType="M_D1", "16E",
    _xlpm.feederType="M_E1", "24E",
    _xlpm.feederType="UPS", IF(_xlpm.flc&lt;=50, "8E", IF(_xlpm.flc&lt;=100, "12E", IF(_xlpm.flc&lt;=250, "16E", IF(_xlpm.flc&lt;=400, "24E", "36E")))),
    _xlpm.feederType="FEEDER", IF(_xlpm.flc&lt;=160, _xlpm.LowE(_xlpm.flc), _xlpm.HighE(_xlpm.flc)),
    _xlpm.feederType="LIGHT",  IF(_xlpm.flc&lt;=160, _xlpm.LowE(_xlpm.flc), _xlpm.HighE(_xlpm.flc)),
    _xlpm.feederType="HEATER", IF(_xlpm.flc&lt;=160, _xlpm.LowE(_xlpm.flc), _xlpm.HighE(_xlpm.flc)),
    TRUE, "&lt;review&gt;"
  )
)</f>
        <v>8E</v>
      </c>
      <c r="N8" s="29" t="s">
        <v>20</v>
      </c>
      <c r="O8" s="29" t="s">
        <v>21</v>
      </c>
      <c r="P8" s="29" t="s">
        <v>32</v>
      </c>
      <c r="Q8">
        <f t="shared" si="0"/>
        <v>1</v>
      </c>
      <c r="R8">
        <f t="shared" si="1"/>
        <v>1</v>
      </c>
    </row>
    <row r="9" spans="1:18">
      <c r="A9" t="s">
        <v>1879</v>
      </c>
      <c r="B9" s="10" t="s">
        <v>321</v>
      </c>
      <c r="C9" s="28">
        <f>SQRT(3)*_81IK610001[[#This Row],[FULL LOAD CURRENT]]*0.4*0.8</f>
        <v>22.170250336881629</v>
      </c>
      <c r="D9">
        <v>40</v>
      </c>
      <c r="E9" t="s">
        <v>20</v>
      </c>
      <c r="F9" s="27" t="s">
        <v>21</v>
      </c>
      <c r="G9" s="27" t="str" cm="1">
        <f t="array" ref="G9">_xlfn.LET(
  _xlpm.c, UPPER(TRIM(_81IK610001[[#This Row],[Starter Type]])),
  _xlpm.kw, N(_81IK610001[[#This Row],[RATED POWER]]),
  _xlpm.flc, N(_81IK610001[[#This Row],[FULL LOAD CURRENT]]),
  _xlpm.feederType,
    IFERROR(
      _xlfn.IFS(
        _xlpm.c="M-A1", "M_A1",
        _xlpm.c="M-B1", "M_B1",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"8E",
    _xlpm.feederType="M_B1", IF(_xlpm.kw&lt;=37, "8E", "12E"),
    _xlpm.feederType="M_C1", IF(_xlpm.kw&lt;132, "12E", "16E"),
    _xlpm.feederType="M_D1", "16E",
    _xlpm.feederType="M_E1", "24E",
    _xlpm.feederType="UPS", IF(_xlpm.flc&lt;=50, "8E", IF(_xlpm.flc&lt;=100, "12E", IF(_xlpm.flc&lt;=250, "16E", IF(_xlpm.flc&lt;=400, "24E", "36E")))),
    _xlpm.feederType="FEEDER", IF(_xlpm.flc&lt;=160, _xlpm.LowE(_xlpm.flc), _xlpm.HighE(_xlpm.flc)),
    _xlpm.feederType="LIGHT",  IF(_xlpm.flc&lt;=160, _xlpm.LowE(_xlpm.flc), _xlpm.HighE(_xlpm.flc)),
    _xlpm.feederType="HEATER", IF(_xlpm.flc&lt;=160, _xlpm.LowE(_xlpm.flc), _xlpm.HighE(_xlpm.flc)),
    TRUE, "&lt;review&gt;"
  )
)</f>
        <v>8E</v>
      </c>
      <c r="N9" s="33" t="s">
        <v>20</v>
      </c>
      <c r="O9" s="33" t="s">
        <v>21</v>
      </c>
      <c r="P9" s="33" t="s">
        <v>27</v>
      </c>
      <c r="Q9">
        <f t="shared" si="0"/>
        <v>4</v>
      </c>
      <c r="R9" s="34">
        <f t="shared" si="1"/>
        <v>1</v>
      </c>
    </row>
    <row r="10" spans="1:18">
      <c r="A10" t="s">
        <v>1880</v>
      </c>
      <c r="B10" s="10" t="s">
        <v>15</v>
      </c>
      <c r="C10" s="28">
        <f>SQRT(3)*_81IK610001[[#This Row],[FULL LOAD CURRENT]]*0.4*0.8</f>
        <v>55.425625842204084</v>
      </c>
      <c r="D10">
        <v>100</v>
      </c>
      <c r="E10" t="s">
        <v>20</v>
      </c>
      <c r="F10" s="27" t="s">
        <v>21</v>
      </c>
      <c r="G10" s="27" t="str" cm="1">
        <f t="array" ref="G10">_xlfn.LET(
  _xlpm.c, UPPER(TRIM(_81IK610001[[#This Row],[Starter Type]])),
  _xlpm.kw, N(_81IK610001[[#This Row],[RATED POWER]]),
  _xlpm.flc, N(_81IK610001[[#This Row],[FULL LOAD CURRENT]]),
  _xlpm.feederType,
    IFERROR(
      _xlfn.IFS(
        _xlpm.c="M-A1", "M_A1",
        _xlpm.c="M-B1", "M_B1",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"8E",
    _xlpm.feederType="M_B1", IF(_xlpm.kw&lt;=37, "8E", "12E"),
    _xlpm.feederType="M_C1", IF(_xlpm.kw&lt;132, "12E", "16E"),
    _xlpm.feederType="M_D1", "16E",
    _xlpm.feederType="M_E1", "24E",
    _xlpm.feederType="UPS", IF(_xlpm.flc&lt;=50, "8E", IF(_xlpm.flc&lt;=100, "12E", IF(_xlpm.flc&lt;=250, "16E", IF(_xlpm.flc&lt;=400, "24E", "36E")))),
    _xlpm.feederType="FEEDER", IF(_xlpm.flc&lt;=160, _xlpm.LowE(_xlpm.flc), _xlpm.HighE(_xlpm.flc)),
    _xlpm.feederType="LIGHT",  IF(_xlpm.flc&lt;=160, _xlpm.LowE(_xlpm.flc), _xlpm.HighE(_xlpm.flc)),
    _xlpm.feederType="HEATER", IF(_xlpm.flc&lt;=160, _xlpm.LowE(_xlpm.flc), _xlpm.HighE(_xlpm.flc)),
    TRUE, "&lt;review&gt;"
  )
)</f>
        <v>12E</v>
      </c>
      <c r="N10" s="29" t="s">
        <v>36</v>
      </c>
      <c r="O10" s="29" t="s">
        <v>37</v>
      </c>
      <c r="P10" s="29" t="s">
        <v>32</v>
      </c>
      <c r="Q10">
        <f t="shared" si="0"/>
        <v>0</v>
      </c>
      <c r="R10">
        <f t="shared" si="1"/>
        <v>0</v>
      </c>
    </row>
    <row r="11" spans="1:18">
      <c r="A11" t="s">
        <v>1880</v>
      </c>
      <c r="B11" s="10" t="s">
        <v>321</v>
      </c>
      <c r="C11" s="28">
        <f>SQRT(3)*_81IK610001[[#This Row],[FULL LOAD CURRENT]]*0.4*0.8</f>
        <v>22.170250336881629</v>
      </c>
      <c r="D11">
        <v>40</v>
      </c>
      <c r="E11" t="s">
        <v>20</v>
      </c>
      <c r="F11" s="27" t="s">
        <v>21</v>
      </c>
      <c r="G11" s="27" t="str" cm="1">
        <f t="array" ref="G11">_xlfn.LET(
  _xlpm.c, UPPER(TRIM(_81IK610001[[#This Row],[Starter Type]])),
  _xlpm.kw, N(_81IK610001[[#This Row],[RATED POWER]]),
  _xlpm.flc, N(_81IK610001[[#This Row],[FULL LOAD CURRENT]]),
  _xlpm.feederType,
    IFERROR(
      _xlfn.IFS(
        _xlpm.c="M-A1", "M_A1",
        _xlpm.c="M-B1", "M_B1",
        _xlpm.c="M-D1", "M_D1",
        _xlpm.c="M-E1", "M_E1",
        _xlpm.c="U",    "UPS",
        _xlpm.c="F",    "FEEDER",
        _xlpm.c="L",    "LIGHT",
        _xlpm.c="H",    "HEATER",
        ISNUMBER(SEARCH("ACB", _xlpm.c)),         "ACB",
        ISNUMBER(SEARCH("I &gt; 160A", _xlpm.c)),    "MCCB_HI",
        ISNUMBER(SEARCH("I &lt; 160A", _xlpm.c)),    "MCCB_LO",
        ISNUMBER(SEARCH("3PH+N+PE", _xlpm.c)),    "3PNPE",
        ISNUMBER(SEARCH("SCR", _xlpm.c)),         "SCR",
        ISNUMBER(SEARCH("VSD", _xlpm.c)),         "MCCB_VSD",
        ISNUMBER(SEARCH("FVNR", _xlpm.c)),        "FVNR",
        TRUE, "OTHER"
      ),
      "OTHER"
    ),
  _xlpm.LowE,  _xlfn.LAMBDA(_xlpm.a, IF(_xlpm.a&lt;=50, "8E", IF(_xlpm.a&lt;=100, "12E", "16E"))),
  _xlpm.HighE, _xlfn.LAMBDA(_xlpm.a, IF(_xlpm.a&lt;=250, "16E", IF(_xlpm.a&lt;=400, "24E", "36E"))),
  _xlfn.IFS(
    _xlpm.feederType="ACB", "72E",
    _xlpm.feederType="MCCB_LO", _xlpm.LowE(_xlpm.flc),
    _xlpm.feederType="MCCB_HI", _xlpm.HighE(_xlpm.flc),
    _xlpm.feederType="3PNPE",   _xlpm.LowE(_xlpm.flc),
    _xlpm.feederType="SCR",     IF(_xlpm.flc&lt;=63, "8E", IF(_xlpm.flc&lt;=125, "12E", IF(_xlpm.flc&lt;=250, "24E", "36E"))),
    _xlpm.feederType="MCCB_VSD",_xlpm.HighE(_xlpm.flc),
    _xlpm.feederType="FVNR",    IF(_xlpm.kw&lt;=55, "16E", IF(_xlpm.kw&lt;=90, "24E", "36E")),
    _xlpm.feederType="M_A1", "8E",
    _xlpm.feederType="M_B1", IF(_xlpm.kw&lt;=37, "8E", "12E"),
    _xlpm.feederType="M_C1", IF(_xlpm.kw&lt;132, "12E", "16E"),
    _xlpm.feederType="M_D1", "16E",
    _xlpm.feederType="M_E1", "24E",
    _xlpm.feederType="UPS", IF(_xlpm.flc&lt;=50, "8E", IF(_xlpm.flc&lt;=100, "12E", IF(_xlpm.flc&lt;=250, "16E", IF(_xlpm.flc&lt;=400, "24E", "36E")))),
    _xlpm.feederType="FEEDER", IF(_xlpm.flc&lt;=160, _xlpm.LowE(_xlpm.flc), _xlpm.HighE(_xlpm.flc)),
    _xlpm.feederType="LIGHT",  IF(_xlpm.flc&lt;=160, _xlpm.LowE(_xlpm.flc), _xlpm.HighE(_xlpm.flc)),
    _xlpm.feederType="HEATER", IF(_xlpm.flc&lt;=160, _xlpm.LowE(_xlpm.flc), _xlpm.HighE(_xlpm.flc)),
    TRUE, "&lt;review&gt;"
  )
)</f>
        <v>8E</v>
      </c>
      <c r="N11" s="29" t="s">
        <v>16</v>
      </c>
      <c r="O11" s="29" t="s">
        <v>17</v>
      </c>
      <c r="P11" s="29" t="s">
        <v>39</v>
      </c>
      <c r="Q11">
        <f t="shared" si="0"/>
        <v>0</v>
      </c>
      <c r="R11">
        <f t="shared" si="1"/>
        <v>0</v>
      </c>
    </row>
    <row r="12" spans="1:18">
      <c r="N12" s="33" t="s">
        <v>41</v>
      </c>
      <c r="O12" s="33" t="s">
        <v>17</v>
      </c>
      <c r="P12" s="33" t="s">
        <v>32</v>
      </c>
      <c r="Q12">
        <f t="shared" si="0"/>
        <v>0</v>
      </c>
      <c r="R12" s="34">
        <f t="shared" si="1"/>
        <v>0</v>
      </c>
    </row>
    <row r="13" spans="1:18">
      <c r="N13" s="29" t="s">
        <v>43</v>
      </c>
      <c r="O13" s="29" t="s">
        <v>44</v>
      </c>
      <c r="P13" s="29" t="s">
        <v>22</v>
      </c>
      <c r="Q13">
        <f t="shared" si="0"/>
        <v>0</v>
      </c>
      <c r="R13">
        <f t="shared" si="1"/>
        <v>0</v>
      </c>
    </row>
    <row r="14" spans="1:18">
      <c r="N14" s="29" t="s">
        <v>36</v>
      </c>
      <c r="O14" s="29" t="s">
        <v>37</v>
      </c>
      <c r="P14" s="29" t="s">
        <v>27</v>
      </c>
      <c r="Q14">
        <f t="shared" si="0"/>
        <v>0</v>
      </c>
      <c r="R14">
        <f t="shared" si="1"/>
        <v>0</v>
      </c>
    </row>
    <row r="15" spans="1:18">
      <c r="N15" t="s">
        <v>36</v>
      </c>
      <c r="O15" t="s">
        <v>37</v>
      </c>
      <c r="P15" t="s">
        <v>18</v>
      </c>
      <c r="Q15">
        <f t="shared" si="0"/>
        <v>0</v>
      </c>
      <c r="R15">
        <f t="shared" si="1"/>
        <v>0</v>
      </c>
    </row>
    <row r="16" spans="1:18">
      <c r="N16" t="s">
        <v>20</v>
      </c>
      <c r="O16" t="s">
        <v>31</v>
      </c>
      <c r="P16" t="s">
        <v>22</v>
      </c>
      <c r="Q16">
        <f t="shared" si="0"/>
        <v>0</v>
      </c>
      <c r="R16">
        <f t="shared" si="1"/>
        <v>0</v>
      </c>
    </row>
    <row r="17" spans="9:18">
      <c r="N17" t="s">
        <v>29</v>
      </c>
      <c r="O17" t="s">
        <v>17</v>
      </c>
      <c r="P17" t="s">
        <v>22</v>
      </c>
      <c r="Q17">
        <f t="shared" si="0"/>
        <v>0</v>
      </c>
      <c r="R17">
        <f t="shared" si="1"/>
        <v>0</v>
      </c>
    </row>
    <row r="18" spans="9:18">
      <c r="N18" t="s">
        <v>36</v>
      </c>
      <c r="O18" t="s">
        <v>37</v>
      </c>
      <c r="P18" t="s">
        <v>22</v>
      </c>
      <c r="Q18">
        <f t="shared" si="0"/>
        <v>0</v>
      </c>
      <c r="R18">
        <f t="shared" si="1"/>
        <v>0</v>
      </c>
    </row>
    <row r="23" spans="9:18">
      <c r="R23" s="10"/>
    </row>
    <row r="30" spans="9:18">
      <c r="I30" s="10" t="s">
        <v>50</v>
      </c>
      <c r="J30" s="10" t="s">
        <v>51</v>
      </c>
      <c r="K30" s="10" t="s">
        <v>52</v>
      </c>
      <c r="L30" s="10" t="s">
        <v>53</v>
      </c>
    </row>
    <row r="31" spans="9:18">
      <c r="I31">
        <f>I32*800</f>
        <v>1600</v>
      </c>
      <c r="J31">
        <f>1000*J32</f>
        <v>1000</v>
      </c>
      <c r="K31">
        <f>400*K32</f>
        <v>0</v>
      </c>
      <c r="L31" s="34">
        <f>I31+J31+K31</f>
        <v>2600</v>
      </c>
    </row>
    <row r="32" spans="9:18">
      <c r="I32" cm="1">
        <f t="array" ref="I32">ROUNDUP(_xlfn.LET(_xlpm.arrange,$I$1,_xlpm.capE,IF(_xlpm.arrange="B2B",144,72),_xlpm.totalE,SUMPRODUCT(VALUE(SUBSTITUTE(G2:G11,"E",""))),CEILING((1+$J$2)*_xlpm.totalE/_xlpm.capE,1)),0)</f>
        <v>2</v>
      </c>
      <c r="J32">
        <f>1</f>
        <v>1</v>
      </c>
      <c r="K32">
        <v>0</v>
      </c>
      <c r="L32" s="34">
        <f>I32+J32+K32</f>
        <v>3</v>
      </c>
    </row>
    <row r="33" spans="13:13">
      <c r="M33" t="s">
        <v>56</v>
      </c>
    </row>
    <row r="57" spans="9:13">
      <c r="I57" s="10"/>
      <c r="J57" s="10"/>
      <c r="K57" s="10"/>
      <c r="L57" s="10"/>
      <c r="M57" s="10"/>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EBB47-5DC8-4EA6-931E-1D0085E57B87}">
  <dimension ref="A1:E93"/>
  <sheetViews>
    <sheetView topLeftCell="A48" workbookViewId="0">
      <selection activeCell="C30" sqref="C30"/>
    </sheetView>
  </sheetViews>
  <sheetFormatPr defaultRowHeight="13.2"/>
  <cols>
    <col min="3" max="3" width="102.6640625" style="9" customWidth="1"/>
  </cols>
  <sheetData>
    <row r="1" spans="1:5">
      <c r="A1">
        <v>2</v>
      </c>
      <c r="B1" t="s">
        <v>2552</v>
      </c>
      <c r="C1" s="9" t="s">
        <v>2553</v>
      </c>
      <c r="E1">
        <v>0</v>
      </c>
    </row>
    <row r="2" spans="1:5">
      <c r="A2" t="s">
        <v>2552</v>
      </c>
      <c r="B2" t="s">
        <v>2552</v>
      </c>
      <c r="C2" s="9" t="s">
        <v>2552</v>
      </c>
      <c r="E2">
        <v>0</v>
      </c>
    </row>
    <row r="3" spans="1:5">
      <c r="A3">
        <v>2.1</v>
      </c>
      <c r="B3" t="s">
        <v>2552</v>
      </c>
      <c r="C3" s="9" t="s">
        <v>1962</v>
      </c>
      <c r="E3">
        <v>0</v>
      </c>
    </row>
    <row r="4" spans="1:5" ht="39.6">
      <c r="A4" t="s">
        <v>2552</v>
      </c>
      <c r="B4" t="s">
        <v>2552</v>
      </c>
      <c r="C4" s="9" t="s">
        <v>2554</v>
      </c>
      <c r="E4">
        <v>0</v>
      </c>
    </row>
    <row r="5" spans="1:5">
      <c r="C5" s="9" t="s">
        <v>2555</v>
      </c>
      <c r="E5">
        <v>0</v>
      </c>
    </row>
    <row r="6" spans="1:5">
      <c r="C6" s="9" t="s">
        <v>2556</v>
      </c>
      <c r="E6">
        <v>0</v>
      </c>
    </row>
    <row r="7" spans="1:5">
      <c r="C7" s="9" t="s">
        <v>2557</v>
      </c>
      <c r="D7" t="s">
        <v>2242</v>
      </c>
      <c r="E7">
        <v>24</v>
      </c>
    </row>
    <row r="8" spans="1:5">
      <c r="C8" s="9" t="s">
        <v>2558</v>
      </c>
      <c r="E8">
        <v>0</v>
      </c>
    </row>
    <row r="9" spans="1:5">
      <c r="E9">
        <v>0</v>
      </c>
    </row>
    <row r="10" spans="1:5">
      <c r="E10">
        <v>0</v>
      </c>
    </row>
    <row r="11" spans="1:5">
      <c r="A11">
        <v>2.4</v>
      </c>
      <c r="C11" s="9" t="s">
        <v>2559</v>
      </c>
      <c r="E11">
        <v>0</v>
      </c>
    </row>
    <row r="12" spans="1:5">
      <c r="E12">
        <v>0</v>
      </c>
    </row>
    <row r="13" spans="1:5">
      <c r="A13" t="s">
        <v>2560</v>
      </c>
      <c r="C13" s="9" t="s">
        <v>2561</v>
      </c>
      <c r="E13">
        <v>0</v>
      </c>
    </row>
    <row r="14" spans="1:5" ht="39.6">
      <c r="C14" s="27" t="s">
        <v>2562</v>
      </c>
      <c r="E14">
        <v>0</v>
      </c>
    </row>
    <row r="15" spans="1:5" ht="39.6">
      <c r="C15" s="27" t="s">
        <v>2563</v>
      </c>
      <c r="E15">
        <v>0</v>
      </c>
    </row>
    <row r="16" spans="1:5">
      <c r="C16" s="27" t="s">
        <v>2564</v>
      </c>
      <c r="D16" t="s">
        <v>2565</v>
      </c>
      <c r="E16">
        <v>2</v>
      </c>
    </row>
    <row r="17" spans="1:5">
      <c r="C17" s="27" t="s">
        <v>2566</v>
      </c>
      <c r="D17" t="s">
        <v>2565</v>
      </c>
      <c r="E17">
        <v>2</v>
      </c>
    </row>
    <row r="18" spans="1:5">
      <c r="C18" s="9" t="s">
        <v>2567</v>
      </c>
      <c r="E18">
        <v>0</v>
      </c>
    </row>
    <row r="19" spans="1:5">
      <c r="E19">
        <v>0</v>
      </c>
    </row>
    <row r="20" spans="1:5">
      <c r="A20" t="s">
        <v>2568</v>
      </c>
      <c r="C20" s="9" t="s">
        <v>2569</v>
      </c>
      <c r="E20">
        <v>0</v>
      </c>
    </row>
    <row r="21" spans="1:5" ht="39.6">
      <c r="C21" s="27" t="s">
        <v>2562</v>
      </c>
      <c r="E21">
        <v>0</v>
      </c>
    </row>
    <row r="22" spans="1:5" ht="39.6">
      <c r="C22" s="27" t="s">
        <v>2563</v>
      </c>
      <c r="E22">
        <v>0</v>
      </c>
    </row>
    <row r="23" spans="1:5">
      <c r="C23" s="9" t="s">
        <v>2570</v>
      </c>
      <c r="D23" t="s">
        <v>2565</v>
      </c>
      <c r="E23">
        <v>2</v>
      </c>
    </row>
    <row r="24" spans="1:5">
      <c r="C24" s="9" t="s">
        <v>2566</v>
      </c>
      <c r="D24" t="s">
        <v>2565</v>
      </c>
      <c r="E24">
        <v>1</v>
      </c>
    </row>
    <row r="25" spans="1:5">
      <c r="A25" t="s">
        <v>2571</v>
      </c>
      <c r="C25" s="27" t="s">
        <v>2572</v>
      </c>
      <c r="D25" t="s">
        <v>2565</v>
      </c>
      <c r="E25">
        <v>2</v>
      </c>
    </row>
    <row r="27" spans="1:5">
      <c r="A27">
        <v>3</v>
      </c>
      <c r="B27" t="s">
        <v>2552</v>
      </c>
      <c r="C27" s="9" t="s">
        <v>2573</v>
      </c>
      <c r="E27">
        <v>0</v>
      </c>
    </row>
    <row r="28" spans="1:5">
      <c r="A28" t="s">
        <v>2552</v>
      </c>
      <c r="B28" t="s">
        <v>2552</v>
      </c>
      <c r="C28" s="9" t="s">
        <v>2552</v>
      </c>
      <c r="E28">
        <v>0</v>
      </c>
    </row>
    <row r="29" spans="1:5">
      <c r="A29">
        <v>3.1</v>
      </c>
      <c r="B29" t="s">
        <v>2552</v>
      </c>
      <c r="C29" s="9" t="s">
        <v>2574</v>
      </c>
      <c r="E29">
        <v>0</v>
      </c>
    </row>
    <row r="30" spans="1:5" ht="39.6">
      <c r="C30" s="27" t="s">
        <v>2575</v>
      </c>
      <c r="E30">
        <v>0</v>
      </c>
    </row>
    <row r="31" spans="1:5" ht="26.4">
      <c r="C31" s="27" t="s">
        <v>2576</v>
      </c>
      <c r="E31">
        <v>0</v>
      </c>
    </row>
    <row r="32" spans="1:5">
      <c r="E32">
        <v>0</v>
      </c>
    </row>
    <row r="33" spans="1:5">
      <c r="C33" s="9" t="s">
        <v>2577</v>
      </c>
      <c r="D33" t="s">
        <v>2242</v>
      </c>
      <c r="E33">
        <v>27</v>
      </c>
    </row>
    <row r="34" spans="1:5">
      <c r="C34" s="9" t="s">
        <v>2578</v>
      </c>
      <c r="E34">
        <v>0</v>
      </c>
    </row>
    <row r="35" spans="1:5">
      <c r="E35">
        <v>0</v>
      </c>
    </row>
    <row r="36" spans="1:5">
      <c r="C36" s="9" t="s">
        <v>2579</v>
      </c>
      <c r="D36" t="s">
        <v>2242</v>
      </c>
      <c r="E36">
        <v>12</v>
      </c>
    </row>
    <row r="37" spans="1:5">
      <c r="C37" s="9" t="s">
        <v>2580</v>
      </c>
      <c r="E37">
        <v>0</v>
      </c>
    </row>
    <row r="38" spans="1:5">
      <c r="E38">
        <v>0</v>
      </c>
    </row>
    <row r="39" spans="1:5">
      <c r="C39" s="9" t="s">
        <v>2581</v>
      </c>
      <c r="D39" t="s">
        <v>2242</v>
      </c>
      <c r="E39">
        <v>22</v>
      </c>
    </row>
    <row r="40" spans="1:5">
      <c r="C40" s="9" t="s">
        <v>2582</v>
      </c>
      <c r="E40">
        <v>0</v>
      </c>
    </row>
    <row r="41" spans="1:5">
      <c r="E41">
        <v>0</v>
      </c>
    </row>
    <row r="42" spans="1:5">
      <c r="C42" s="9" t="s">
        <v>2583</v>
      </c>
      <c r="D42" t="s">
        <v>2242</v>
      </c>
      <c r="E42">
        <v>3</v>
      </c>
    </row>
    <row r="43" spans="1:5">
      <c r="C43" s="9" t="s">
        <v>2584</v>
      </c>
      <c r="E43">
        <v>0</v>
      </c>
    </row>
    <row r="44" spans="1:5">
      <c r="E44">
        <v>0</v>
      </c>
    </row>
    <row r="45" spans="1:5">
      <c r="E45">
        <v>0</v>
      </c>
    </row>
    <row r="46" spans="1:5">
      <c r="E46">
        <v>0</v>
      </c>
    </row>
    <row r="47" spans="1:5">
      <c r="A47">
        <v>3.5</v>
      </c>
      <c r="C47" s="9" t="s">
        <v>2585</v>
      </c>
      <c r="E47">
        <v>0</v>
      </c>
    </row>
    <row r="48" spans="1:5">
      <c r="C48" s="9" t="s">
        <v>2586</v>
      </c>
      <c r="E48">
        <v>0</v>
      </c>
    </row>
    <row r="49" spans="1:5">
      <c r="C49" s="27" t="s">
        <v>2587</v>
      </c>
      <c r="E49">
        <v>0</v>
      </c>
    </row>
    <row r="50" spans="1:5" ht="26.4">
      <c r="C50" s="27" t="s">
        <v>2588</v>
      </c>
      <c r="E50">
        <v>0</v>
      </c>
    </row>
    <row r="51" spans="1:5">
      <c r="C51" s="9" t="s">
        <v>2589</v>
      </c>
      <c r="E51">
        <v>0</v>
      </c>
    </row>
    <row r="52" spans="1:5">
      <c r="E52">
        <v>0</v>
      </c>
    </row>
    <row r="53" spans="1:5">
      <c r="A53" t="s">
        <v>2590</v>
      </c>
      <c r="C53" s="9" t="s">
        <v>2591</v>
      </c>
      <c r="D53" t="s">
        <v>2565</v>
      </c>
      <c r="E53">
        <v>1</v>
      </c>
    </row>
    <row r="54" spans="1:5">
      <c r="C54" s="9" t="s">
        <v>2592</v>
      </c>
      <c r="E54">
        <v>0</v>
      </c>
    </row>
    <row r="55" spans="1:5">
      <c r="C55" s="9" t="s">
        <v>2593</v>
      </c>
      <c r="E55">
        <v>0</v>
      </c>
    </row>
    <row r="56" spans="1:5">
      <c r="E56">
        <v>0</v>
      </c>
    </row>
    <row r="57" spans="1:5">
      <c r="E57">
        <v>0</v>
      </c>
    </row>
    <row r="58" spans="1:5">
      <c r="E58">
        <v>0</v>
      </c>
    </row>
    <row r="59" spans="1:5">
      <c r="A59" t="s">
        <v>2594</v>
      </c>
      <c r="C59" s="49" t="s">
        <v>2595</v>
      </c>
      <c r="D59" t="s">
        <v>2565</v>
      </c>
      <c r="E59">
        <v>1</v>
      </c>
    </row>
    <row r="60" spans="1:5">
      <c r="C60" s="10" t="s">
        <v>2596</v>
      </c>
      <c r="E60">
        <v>0</v>
      </c>
    </row>
    <row r="61" spans="1:5">
      <c r="C61" s="10" t="s">
        <v>2597</v>
      </c>
      <c r="E61">
        <v>0</v>
      </c>
    </row>
    <row r="62" spans="1:5">
      <c r="C62"/>
      <c r="E62">
        <v>0</v>
      </c>
    </row>
    <row r="63" spans="1:5">
      <c r="E63">
        <v>0</v>
      </c>
    </row>
    <row r="64" spans="1:5">
      <c r="E64">
        <v>0</v>
      </c>
    </row>
    <row r="65" spans="1:5">
      <c r="A65" t="s">
        <v>2598</v>
      </c>
      <c r="C65" s="49" t="s">
        <v>2599</v>
      </c>
      <c r="D65" t="s">
        <v>2565</v>
      </c>
      <c r="E65">
        <v>1</v>
      </c>
    </row>
    <row r="66" spans="1:5">
      <c r="C66" s="10" t="s">
        <v>2600</v>
      </c>
      <c r="E66">
        <v>0</v>
      </c>
    </row>
    <row r="67" spans="1:5">
      <c r="C67" s="10" t="s">
        <v>2597</v>
      </c>
      <c r="E67">
        <v>0</v>
      </c>
    </row>
    <row r="68" spans="1:5">
      <c r="E68">
        <v>0</v>
      </c>
    </row>
    <row r="69" spans="1:5">
      <c r="E69">
        <v>0</v>
      </c>
    </row>
    <row r="70" spans="1:5">
      <c r="C70"/>
      <c r="E70">
        <v>0</v>
      </c>
    </row>
    <row r="71" spans="1:5">
      <c r="A71" t="s">
        <v>2601</v>
      </c>
      <c r="C71" s="49" t="s">
        <v>2602</v>
      </c>
      <c r="D71" t="s">
        <v>2565</v>
      </c>
      <c r="E71">
        <v>1</v>
      </c>
    </row>
    <row r="72" spans="1:5">
      <c r="C72" s="10" t="s">
        <v>2600</v>
      </c>
      <c r="E72">
        <v>0</v>
      </c>
    </row>
    <row r="73" spans="1:5">
      <c r="C73" s="10" t="s">
        <v>2597</v>
      </c>
      <c r="E73">
        <v>0</v>
      </c>
    </row>
    <row r="74" spans="1:5">
      <c r="C74"/>
      <c r="E74">
        <v>0</v>
      </c>
    </row>
    <row r="75" spans="1:5">
      <c r="E75">
        <v>0</v>
      </c>
    </row>
    <row r="76" spans="1:5">
      <c r="E76">
        <v>0</v>
      </c>
    </row>
    <row r="77" spans="1:5">
      <c r="A77" t="s">
        <v>2603</v>
      </c>
      <c r="C77" s="49" t="s">
        <v>2604</v>
      </c>
      <c r="D77" t="s">
        <v>2565</v>
      </c>
      <c r="E77">
        <v>1</v>
      </c>
    </row>
    <row r="78" spans="1:5">
      <c r="C78" s="10" t="s">
        <v>2605</v>
      </c>
      <c r="E78">
        <v>0</v>
      </c>
    </row>
    <row r="79" spans="1:5">
      <c r="C79" s="10" t="s">
        <v>2597</v>
      </c>
      <c r="E79">
        <v>0</v>
      </c>
    </row>
    <row r="80" spans="1:5">
      <c r="E80">
        <v>0</v>
      </c>
    </row>
    <row r="81" spans="1:5">
      <c r="E81">
        <v>0</v>
      </c>
    </row>
    <row r="82" spans="1:5">
      <c r="C82" s="9" t="s">
        <v>2552</v>
      </c>
      <c r="E82">
        <v>0</v>
      </c>
    </row>
    <row r="83" spans="1:5">
      <c r="A83" t="s">
        <v>2606</v>
      </c>
      <c r="C83" s="49" t="s">
        <v>2607</v>
      </c>
      <c r="D83" t="s">
        <v>2565</v>
      </c>
      <c r="E83">
        <v>1</v>
      </c>
    </row>
    <row r="84" spans="1:5">
      <c r="C84" s="10" t="s">
        <v>2608</v>
      </c>
      <c r="E84">
        <v>0</v>
      </c>
    </row>
    <row r="85" spans="1:5">
      <c r="C85" s="10" t="s">
        <v>2597</v>
      </c>
      <c r="E85">
        <v>0</v>
      </c>
    </row>
    <row r="86" spans="1:5">
      <c r="E86">
        <v>0</v>
      </c>
    </row>
    <row r="87" spans="1:5">
      <c r="E87">
        <v>0</v>
      </c>
    </row>
    <row r="88" spans="1:5">
      <c r="C88" s="9" t="s">
        <v>2552</v>
      </c>
      <c r="E88">
        <v>0</v>
      </c>
    </row>
    <row r="89" spans="1:5">
      <c r="A89" t="s">
        <v>2609</v>
      </c>
      <c r="C89" s="49" t="s">
        <v>2610</v>
      </c>
      <c r="D89" t="s">
        <v>2565</v>
      </c>
      <c r="E89">
        <v>1</v>
      </c>
    </row>
    <row r="90" spans="1:5">
      <c r="C90" s="10" t="s">
        <v>2605</v>
      </c>
      <c r="E90">
        <v>0</v>
      </c>
    </row>
    <row r="91" spans="1:5">
      <c r="C91" s="10" t="s">
        <v>2597</v>
      </c>
      <c r="E91">
        <v>0</v>
      </c>
    </row>
    <row r="92" spans="1:5">
      <c r="E92">
        <v>0</v>
      </c>
    </row>
    <row r="93" spans="1:5">
      <c r="E93">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7FA89-7ED2-456C-8698-F8C690047EEC}">
  <dimension ref="A1:D51"/>
  <sheetViews>
    <sheetView workbookViewId="0">
      <selection activeCell="J41" sqref="J41"/>
    </sheetView>
  </sheetViews>
  <sheetFormatPr defaultRowHeight="13.2"/>
  <cols>
    <col min="1" max="1" width="53.44140625" style="9" customWidth="1"/>
    <col min="2" max="2" width="11" customWidth="1"/>
  </cols>
  <sheetData>
    <row r="1" spans="1:1">
      <c r="A1" s="9" t="s">
        <v>2611</v>
      </c>
    </row>
    <row r="3" spans="1:1">
      <c r="A3" s="9" t="s">
        <v>2612</v>
      </c>
    </row>
    <row r="4" spans="1:1">
      <c r="A4" s="9" t="s">
        <v>2613</v>
      </c>
    </row>
    <row r="5" spans="1:1">
      <c r="A5" s="9" t="s">
        <v>2614</v>
      </c>
    </row>
    <row r="7" spans="1:1">
      <c r="A7" s="9" t="s">
        <v>2615</v>
      </c>
    </row>
    <row r="8" spans="1:1">
      <c r="A8" s="9" t="s">
        <v>2616</v>
      </c>
    </row>
    <row r="12" spans="1:1">
      <c r="A12" s="9" t="s">
        <v>2617</v>
      </c>
    </row>
    <row r="14" spans="1:1" ht="26.4">
      <c r="A14" s="9" t="s">
        <v>2618</v>
      </c>
    </row>
    <row r="15" spans="1:1" ht="39.6">
      <c r="A15" s="9" t="s">
        <v>2619</v>
      </c>
    </row>
    <row r="18" spans="1:1">
      <c r="A18" s="9" t="s">
        <v>2620</v>
      </c>
    </row>
    <row r="20" spans="1:1" ht="26.4">
      <c r="A20" s="9" t="s">
        <v>2621</v>
      </c>
    </row>
    <row r="21" spans="1:1" ht="39.6">
      <c r="A21" s="9" t="s">
        <v>2622</v>
      </c>
    </row>
    <row r="23" spans="1:1">
      <c r="A23" s="9" t="s">
        <v>2623</v>
      </c>
    </row>
    <row r="27" spans="1:1">
      <c r="A27" s="9" t="s">
        <v>2624</v>
      </c>
    </row>
    <row r="28" spans="1:1" ht="39.6">
      <c r="A28" s="9" t="s">
        <v>2625</v>
      </c>
    </row>
    <row r="30" spans="1:1" ht="39.6">
      <c r="A30" s="9" t="s">
        <v>2626</v>
      </c>
    </row>
    <row r="32" spans="1:1" ht="26.4">
      <c r="A32" s="44" t="s">
        <v>2627</v>
      </c>
    </row>
    <row r="33" spans="1:4">
      <c r="A33" s="9" t="s">
        <v>2628</v>
      </c>
    </row>
    <row r="34" spans="1:4">
      <c r="A34" s="9">
        <f>53.5*1.3</f>
        <v>69.55</v>
      </c>
      <c r="B34" t="s">
        <v>2629</v>
      </c>
    </row>
    <row r="38" spans="1:4" ht="39.6">
      <c r="A38" s="45" t="s">
        <v>2630</v>
      </c>
      <c r="B38" s="45" t="s">
        <v>2631</v>
      </c>
      <c r="C38" s="45" t="s">
        <v>2632</v>
      </c>
      <c r="D38" s="45" t="s">
        <v>2633</v>
      </c>
    </row>
    <row r="39" spans="1:4">
      <c r="A39" s="46" t="s">
        <v>387</v>
      </c>
      <c r="B39" s="46">
        <v>21.6</v>
      </c>
      <c r="C39" s="46">
        <v>1.6</v>
      </c>
      <c r="D39" s="46">
        <v>44</v>
      </c>
    </row>
    <row r="40" spans="1:4">
      <c r="A40" s="46" t="s">
        <v>708</v>
      </c>
      <c r="B40" s="46">
        <v>9.1999999999999993</v>
      </c>
      <c r="C40" s="46">
        <v>1.6</v>
      </c>
      <c r="D40" s="46">
        <v>19.2</v>
      </c>
    </row>
    <row r="41" spans="1:4">
      <c r="A41" s="46" t="s">
        <v>845</v>
      </c>
      <c r="B41" s="46">
        <v>17.2</v>
      </c>
      <c r="C41" s="46">
        <v>1.6</v>
      </c>
      <c r="D41" s="46">
        <v>35.200000000000003</v>
      </c>
    </row>
    <row r="42" spans="1:4">
      <c r="A42" s="46" t="s">
        <v>1859</v>
      </c>
      <c r="B42" s="46">
        <v>3</v>
      </c>
      <c r="C42" s="46">
        <v>1.6</v>
      </c>
      <c r="D42" s="46">
        <v>6.8</v>
      </c>
    </row>
    <row r="43" spans="1:4">
      <c r="A43"/>
    </row>
    <row r="44" spans="1:4">
      <c r="A44"/>
    </row>
    <row r="45" spans="1:4" ht="17.399999999999999">
      <c r="A45" s="47" t="s">
        <v>2634</v>
      </c>
    </row>
    <row r="46" spans="1:4">
      <c r="A46" s="48"/>
    </row>
    <row r="47" spans="1:4">
      <c r="A47" s="50" t="s">
        <v>2635</v>
      </c>
    </row>
    <row r="48" spans="1:4">
      <c r="A48" s="50" t="s">
        <v>2636</v>
      </c>
    </row>
    <row r="51" spans="1:3">
      <c r="A51" s="9">
        <f>SUM(D39:D42)*1.3</f>
        <v>136.76000000000002</v>
      </c>
      <c r="B51" s="10" t="s">
        <v>2629</v>
      </c>
      <c r="C51" s="10" t="s">
        <v>2637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E2F0C-F208-4F57-B13B-39EDD08B9805}">
  <dimension ref="A1:AO335"/>
  <sheetViews>
    <sheetView topLeftCell="A168" zoomScale="70" zoomScaleNormal="70" workbookViewId="0">
      <selection activeCell="I276" sqref="A1:AO335"/>
    </sheetView>
  </sheetViews>
  <sheetFormatPr defaultColWidth="8.88671875" defaultRowHeight="13.8" outlineLevelCol="1"/>
  <cols>
    <col min="1" max="1" width="6.44140625" style="40" customWidth="1" outlineLevel="1"/>
    <col min="2" max="3" width="11.109375" style="40" customWidth="1" outlineLevel="1"/>
    <col min="4" max="4" width="14.5546875" style="40" customWidth="1" outlineLevel="1"/>
    <col min="5" max="5" width="5.6640625" style="40" customWidth="1" outlineLevel="1"/>
    <col min="6" max="6" width="8.44140625" style="40" customWidth="1" outlineLevel="1"/>
    <col min="7" max="7" width="6.6640625" style="40" customWidth="1" outlineLevel="1"/>
    <col min="8" max="8" width="16.33203125" style="40" customWidth="1"/>
    <col min="9" max="9" width="33" style="40" customWidth="1"/>
    <col min="10" max="14" width="7" style="40" customWidth="1"/>
    <col min="15" max="15" width="26.6640625" style="40" bestFit="1" customWidth="1"/>
    <col min="16" max="16" width="23" style="40" bestFit="1" customWidth="1"/>
    <col min="17" max="17" width="12.109375" style="40" customWidth="1"/>
    <col min="18" max="18" width="11.109375" style="40" customWidth="1"/>
    <col min="19" max="19" width="29" style="40" hidden="1" customWidth="1" outlineLevel="1"/>
    <col min="20" max="20" width="22.33203125" style="40" hidden="1" customWidth="1" outlineLevel="1"/>
    <col min="21" max="21" width="29.88671875" style="40" hidden="1" customWidth="1" outlineLevel="1"/>
    <col min="22" max="22" width="34.109375" style="40" hidden="1" customWidth="1" outlineLevel="1"/>
    <col min="23" max="23" width="26.6640625" style="40" hidden="1" customWidth="1" outlineLevel="1"/>
    <col min="24" max="24" width="26.88671875" style="40" hidden="1" customWidth="1" outlineLevel="1"/>
    <col min="25" max="25" width="33.33203125" style="40" hidden="1" customWidth="1" outlineLevel="1"/>
    <col min="26" max="26" width="28" style="40" hidden="1" customWidth="1" outlineLevel="1"/>
    <col min="27" max="27" width="23.88671875" style="40" hidden="1" customWidth="1" outlineLevel="1"/>
    <col min="28" max="28" width="24.109375" style="40" hidden="1" customWidth="1" outlineLevel="1"/>
    <col min="29" max="29" width="25.109375" style="40" hidden="1" customWidth="1" outlineLevel="1"/>
    <col min="30" max="30" width="25.44140625" style="40" hidden="1" customWidth="1" outlineLevel="1"/>
    <col min="31" max="31" width="13.88671875" style="40" customWidth="1" collapsed="1"/>
    <col min="32" max="33" width="13.88671875" style="40" customWidth="1"/>
    <col min="34" max="38" width="12.6640625" style="40" customWidth="1"/>
    <col min="39" max="39" width="23.33203125" style="40" customWidth="1" outlineLevel="1"/>
    <col min="40" max="40" width="80.88671875" style="40" customWidth="1" outlineLevel="1"/>
    <col min="41" max="41" width="80.88671875" style="40" bestFit="1" customWidth="1"/>
    <col min="42" max="16384" width="8.88671875" style="40"/>
  </cols>
  <sheetData>
    <row r="1" spans="1:41" s="36" customFormat="1" ht="124.2">
      <c r="A1" s="36" t="s">
        <v>2638</v>
      </c>
      <c r="B1" s="36" t="s">
        <v>2639</v>
      </c>
      <c r="C1" s="36" t="s">
        <v>2640</v>
      </c>
      <c r="D1" s="36" t="s">
        <v>2369</v>
      </c>
      <c r="E1" s="36" t="s">
        <v>2641</v>
      </c>
      <c r="F1" s="36" t="s">
        <v>2642</v>
      </c>
      <c r="G1" s="36" t="s">
        <v>2643</v>
      </c>
      <c r="H1" s="36" t="s">
        <v>2644</v>
      </c>
      <c r="I1" s="36" t="s">
        <v>1854</v>
      </c>
      <c r="J1" s="36" t="s">
        <v>2645</v>
      </c>
      <c r="K1" s="36" t="s">
        <v>2646</v>
      </c>
      <c r="L1" s="36" t="s">
        <v>2647</v>
      </c>
      <c r="M1" s="36" t="s">
        <v>2648</v>
      </c>
      <c r="N1" s="36" t="s">
        <v>2649</v>
      </c>
      <c r="O1" s="36" t="s">
        <v>2650</v>
      </c>
      <c r="P1" s="36" t="s">
        <v>2651</v>
      </c>
      <c r="Q1" s="36" t="s">
        <v>2652</v>
      </c>
      <c r="R1" s="36" t="s">
        <v>2653</v>
      </c>
      <c r="S1" s="36" t="s">
        <v>2654</v>
      </c>
      <c r="T1" s="36" t="s">
        <v>2655</v>
      </c>
      <c r="U1" s="36" t="s">
        <v>2656</v>
      </c>
      <c r="V1" s="36" t="s">
        <v>2657</v>
      </c>
      <c r="W1" s="36" t="s">
        <v>2658</v>
      </c>
      <c r="X1" s="36" t="s">
        <v>2659</v>
      </c>
      <c r="Y1" s="36" t="s">
        <v>2660</v>
      </c>
      <c r="Z1" s="36" t="s">
        <v>2661</v>
      </c>
      <c r="AA1" s="36" t="s">
        <v>2662</v>
      </c>
      <c r="AB1" s="36" t="s">
        <v>2663</v>
      </c>
      <c r="AC1" s="36" t="s">
        <v>2664</v>
      </c>
      <c r="AD1" s="36" t="s">
        <v>2665</v>
      </c>
      <c r="AE1" s="36" t="s">
        <v>2666</v>
      </c>
      <c r="AF1" s="36" t="s">
        <v>2667</v>
      </c>
      <c r="AG1" s="36" t="s">
        <v>2668</v>
      </c>
      <c r="AH1" s="36" t="s">
        <v>2669</v>
      </c>
      <c r="AI1" s="36" t="s">
        <v>2670</v>
      </c>
      <c r="AJ1" s="36" t="s">
        <v>2671</v>
      </c>
      <c r="AK1" s="36" t="s">
        <v>2672</v>
      </c>
      <c r="AL1" s="36" t="s">
        <v>2673</v>
      </c>
      <c r="AM1" s="36" t="s">
        <v>2674</v>
      </c>
      <c r="AN1" s="36" t="s">
        <v>2675</v>
      </c>
      <c r="AO1" s="36" t="s">
        <v>2676</v>
      </c>
    </row>
    <row r="2" spans="1:41" ht="69" hidden="1">
      <c r="A2" s="40" t="s">
        <v>2677</v>
      </c>
      <c r="B2" s="40" t="s">
        <v>2678</v>
      </c>
      <c r="C2" s="40" t="s">
        <v>623</v>
      </c>
      <c r="D2" s="40" t="s">
        <v>2679</v>
      </c>
      <c r="E2" s="40" t="s">
        <v>345</v>
      </c>
      <c r="F2" s="40" t="s">
        <v>2680</v>
      </c>
      <c r="G2" s="40" t="s">
        <v>393</v>
      </c>
      <c r="H2" s="40" t="s">
        <v>2681</v>
      </c>
      <c r="I2" s="40" t="s">
        <v>2682</v>
      </c>
      <c r="J2" s="40" t="s">
        <v>318</v>
      </c>
      <c r="K2" s="40" t="s">
        <v>318</v>
      </c>
      <c r="L2" s="40" t="s">
        <v>879</v>
      </c>
      <c r="M2" s="40" t="s">
        <v>393</v>
      </c>
      <c r="N2" s="40" t="s">
        <v>2683</v>
      </c>
      <c r="O2" s="40" t="s">
        <v>2684</v>
      </c>
      <c r="P2" s="40" t="s">
        <v>2685</v>
      </c>
      <c r="Q2" s="40" t="s">
        <v>2686</v>
      </c>
      <c r="R2" s="40" t="s">
        <v>393</v>
      </c>
      <c r="S2" s="40" t="s">
        <v>393</v>
      </c>
      <c r="T2" s="40" t="s">
        <v>393</v>
      </c>
      <c r="U2" s="40" t="s">
        <v>393</v>
      </c>
      <c r="V2" s="40" t="s">
        <v>393</v>
      </c>
      <c r="W2" s="40" t="s">
        <v>556</v>
      </c>
      <c r="X2" s="40" t="s">
        <v>2687</v>
      </c>
      <c r="Y2" s="40" t="s">
        <v>2688</v>
      </c>
      <c r="Z2" s="40" t="s">
        <v>696</v>
      </c>
      <c r="AA2" s="40" t="s">
        <v>2689</v>
      </c>
      <c r="AB2" s="40" t="s">
        <v>2690</v>
      </c>
      <c r="AC2" s="40" t="s">
        <v>2691</v>
      </c>
      <c r="AD2" s="40" t="s">
        <v>2117</v>
      </c>
      <c r="AE2" s="40" t="s">
        <v>2692</v>
      </c>
      <c r="AF2" s="40" t="s">
        <v>2692</v>
      </c>
      <c r="AG2" s="40" t="s">
        <v>2693</v>
      </c>
      <c r="AH2" s="40" t="s">
        <v>371</v>
      </c>
      <c r="AI2" s="40" t="s">
        <v>2694</v>
      </c>
      <c r="AJ2" s="40" t="s">
        <v>393</v>
      </c>
      <c r="AK2" s="40" t="s">
        <v>2695</v>
      </c>
      <c r="AL2" s="40" t="s">
        <v>2696</v>
      </c>
      <c r="AM2" s="40" t="s">
        <v>2697</v>
      </c>
      <c r="AN2" s="40" t="s">
        <v>2698</v>
      </c>
      <c r="AO2" s="36" t="s">
        <v>2699</v>
      </c>
    </row>
    <row r="3" spans="1:41" ht="220.8" hidden="1">
      <c r="A3" s="40" t="s">
        <v>2677</v>
      </c>
      <c r="B3" s="40" t="s">
        <v>2678</v>
      </c>
      <c r="C3" s="40" t="s">
        <v>623</v>
      </c>
      <c r="D3" s="40" t="s">
        <v>2700</v>
      </c>
      <c r="E3" s="40" t="s">
        <v>349</v>
      </c>
      <c r="F3" s="40" t="s">
        <v>2701</v>
      </c>
      <c r="G3" s="40" t="s">
        <v>393</v>
      </c>
      <c r="H3" s="40" t="s">
        <v>2702</v>
      </c>
      <c r="I3" s="40" t="s">
        <v>2703</v>
      </c>
      <c r="J3" s="40" t="s">
        <v>318</v>
      </c>
      <c r="K3" s="40" t="s">
        <v>318</v>
      </c>
      <c r="L3" s="40" t="s">
        <v>879</v>
      </c>
      <c r="M3" s="40" t="s">
        <v>393</v>
      </c>
      <c r="N3" s="40" t="s">
        <v>2683</v>
      </c>
      <c r="O3" s="40" t="s">
        <v>2704</v>
      </c>
      <c r="P3" s="40" t="s">
        <v>2705</v>
      </c>
      <c r="Q3" s="40" t="s">
        <v>2706</v>
      </c>
      <c r="R3" s="40" t="s">
        <v>393</v>
      </c>
      <c r="S3" s="40" t="s">
        <v>393</v>
      </c>
      <c r="T3" s="40" t="s">
        <v>393</v>
      </c>
      <c r="U3" s="40" t="s">
        <v>2707</v>
      </c>
      <c r="V3" s="40" t="s">
        <v>2708</v>
      </c>
      <c r="W3" s="40" t="s">
        <v>566</v>
      </c>
      <c r="X3" s="40" t="s">
        <v>598</v>
      </c>
      <c r="Y3" s="40" t="s">
        <v>2709</v>
      </c>
      <c r="Z3" s="40" t="s">
        <v>696</v>
      </c>
      <c r="AA3" s="40" t="s">
        <v>2689</v>
      </c>
      <c r="AB3" s="40" t="s">
        <v>1918</v>
      </c>
      <c r="AC3" s="40" t="s">
        <v>2710</v>
      </c>
      <c r="AD3" s="40" t="s">
        <v>2117</v>
      </c>
      <c r="AE3" s="40" t="s">
        <v>2692</v>
      </c>
      <c r="AF3" s="40" t="s">
        <v>2692</v>
      </c>
      <c r="AG3" s="40" t="s">
        <v>2693</v>
      </c>
      <c r="AH3" s="40" t="s">
        <v>2711</v>
      </c>
      <c r="AI3" s="40" t="s">
        <v>438</v>
      </c>
      <c r="AJ3" s="40" t="s">
        <v>393</v>
      </c>
      <c r="AK3" s="40" t="s">
        <v>2712</v>
      </c>
      <c r="AL3" s="40" t="s">
        <v>393</v>
      </c>
      <c r="AM3" s="40" t="s">
        <v>2697</v>
      </c>
      <c r="AN3" s="40" t="s">
        <v>2713</v>
      </c>
      <c r="AO3" s="36" t="s">
        <v>2714</v>
      </c>
    </row>
    <row r="4" spans="1:41" ht="220.8" hidden="1">
      <c r="A4" s="40" t="s">
        <v>2677</v>
      </c>
      <c r="B4" s="40" t="s">
        <v>2678</v>
      </c>
      <c r="C4" s="40" t="s">
        <v>623</v>
      </c>
      <c r="D4" s="40" t="s">
        <v>2700</v>
      </c>
      <c r="E4" s="40" t="s">
        <v>349</v>
      </c>
      <c r="F4" s="40" t="s">
        <v>2715</v>
      </c>
      <c r="G4" s="40" t="s">
        <v>393</v>
      </c>
      <c r="H4" s="40" t="s">
        <v>2716</v>
      </c>
      <c r="I4" s="40" t="s">
        <v>2703</v>
      </c>
      <c r="J4" s="40" t="s">
        <v>318</v>
      </c>
      <c r="K4" s="40" t="s">
        <v>318</v>
      </c>
      <c r="L4" s="40" t="s">
        <v>879</v>
      </c>
      <c r="M4" s="40" t="s">
        <v>393</v>
      </c>
      <c r="N4" s="40" t="s">
        <v>2683</v>
      </c>
      <c r="O4" s="40" t="s">
        <v>2704</v>
      </c>
      <c r="P4" s="40" t="s">
        <v>2705</v>
      </c>
      <c r="Q4" s="40" t="s">
        <v>2706</v>
      </c>
      <c r="R4" s="40" t="s">
        <v>393</v>
      </c>
      <c r="S4" s="40" t="s">
        <v>393</v>
      </c>
      <c r="T4" s="40" t="s">
        <v>393</v>
      </c>
      <c r="U4" s="40" t="s">
        <v>2707</v>
      </c>
      <c r="V4" s="40" t="s">
        <v>2708</v>
      </c>
      <c r="W4" s="40" t="s">
        <v>566</v>
      </c>
      <c r="X4" s="40" t="s">
        <v>598</v>
      </c>
      <c r="Y4" s="40" t="s">
        <v>2709</v>
      </c>
      <c r="Z4" s="40" t="s">
        <v>696</v>
      </c>
      <c r="AA4" s="40" t="s">
        <v>2689</v>
      </c>
      <c r="AB4" s="40" t="s">
        <v>1918</v>
      </c>
      <c r="AC4" s="40" t="s">
        <v>2710</v>
      </c>
      <c r="AD4" s="40" t="s">
        <v>2117</v>
      </c>
      <c r="AE4" s="40" t="s">
        <v>2692</v>
      </c>
      <c r="AF4" s="40" t="s">
        <v>2692</v>
      </c>
      <c r="AG4" s="40" t="s">
        <v>2693</v>
      </c>
      <c r="AH4" s="40" t="s">
        <v>2711</v>
      </c>
      <c r="AI4" s="40" t="s">
        <v>438</v>
      </c>
      <c r="AJ4" s="40" t="s">
        <v>393</v>
      </c>
      <c r="AK4" s="40" t="s">
        <v>2712</v>
      </c>
      <c r="AL4" s="40" t="s">
        <v>393</v>
      </c>
      <c r="AM4" s="40" t="s">
        <v>2697</v>
      </c>
      <c r="AN4" s="40" t="s">
        <v>2713</v>
      </c>
      <c r="AO4" s="36" t="s">
        <v>2714</v>
      </c>
    </row>
    <row r="5" spans="1:41" ht="69" hidden="1">
      <c r="A5" s="40" t="s">
        <v>2677</v>
      </c>
      <c r="B5" s="40" t="s">
        <v>2678</v>
      </c>
      <c r="C5" s="40" t="s">
        <v>623</v>
      </c>
      <c r="D5" s="40" t="s">
        <v>2717</v>
      </c>
      <c r="E5" s="40" t="s">
        <v>442</v>
      </c>
      <c r="F5" s="40" t="s">
        <v>2680</v>
      </c>
      <c r="G5" s="40" t="s">
        <v>393</v>
      </c>
      <c r="H5" s="40" t="s">
        <v>2718</v>
      </c>
      <c r="I5" s="40" t="s">
        <v>2719</v>
      </c>
      <c r="J5" s="40" t="s">
        <v>318</v>
      </c>
      <c r="K5" s="40" t="s">
        <v>318</v>
      </c>
      <c r="L5" s="40" t="s">
        <v>879</v>
      </c>
      <c r="M5" s="40" t="s">
        <v>393</v>
      </c>
      <c r="N5" s="40" t="s">
        <v>2683</v>
      </c>
      <c r="O5" s="40" t="s">
        <v>2720</v>
      </c>
      <c r="P5" s="40" t="s">
        <v>2685</v>
      </c>
      <c r="Q5" s="40" t="s">
        <v>2706</v>
      </c>
      <c r="R5" s="40" t="s">
        <v>2721</v>
      </c>
      <c r="S5" s="40" t="s">
        <v>2722</v>
      </c>
      <c r="T5" s="40" t="s">
        <v>2723</v>
      </c>
      <c r="U5" s="40" t="s">
        <v>2724</v>
      </c>
      <c r="V5" s="40" t="s">
        <v>2725</v>
      </c>
      <c r="W5" s="40" t="s">
        <v>2726</v>
      </c>
      <c r="X5" s="40" t="s">
        <v>2727</v>
      </c>
      <c r="Y5" s="40" t="s">
        <v>2728</v>
      </c>
      <c r="Z5" s="40" t="s">
        <v>2729</v>
      </c>
      <c r="AA5" s="40" t="s">
        <v>2689</v>
      </c>
      <c r="AB5" s="40" t="s">
        <v>2730</v>
      </c>
      <c r="AC5" s="40" t="s">
        <v>2731</v>
      </c>
      <c r="AD5" s="40" t="s">
        <v>2732</v>
      </c>
      <c r="AE5" s="40" t="s">
        <v>2692</v>
      </c>
      <c r="AF5" s="40" t="s">
        <v>2692</v>
      </c>
      <c r="AG5" s="40" t="s">
        <v>2693</v>
      </c>
      <c r="AH5" s="40" t="s">
        <v>2733</v>
      </c>
      <c r="AI5" s="40" t="s">
        <v>2734</v>
      </c>
      <c r="AJ5" s="40" t="s">
        <v>2735</v>
      </c>
      <c r="AK5" s="40" t="s">
        <v>2736</v>
      </c>
      <c r="AL5" s="40" t="s">
        <v>2737</v>
      </c>
      <c r="AM5" s="40" t="s">
        <v>2697</v>
      </c>
      <c r="AN5" s="40" t="s">
        <v>2738</v>
      </c>
      <c r="AO5" s="36" t="s">
        <v>2739</v>
      </c>
    </row>
    <row r="6" spans="1:41" ht="69" hidden="1">
      <c r="A6" s="40" t="s">
        <v>2677</v>
      </c>
      <c r="B6" s="40" t="s">
        <v>2678</v>
      </c>
      <c r="C6" s="40" t="s">
        <v>623</v>
      </c>
      <c r="D6" s="40" t="s">
        <v>2717</v>
      </c>
      <c r="E6" s="40" t="s">
        <v>442</v>
      </c>
      <c r="F6" s="40" t="s">
        <v>2740</v>
      </c>
      <c r="G6" s="40" t="s">
        <v>15</v>
      </c>
      <c r="H6" s="40" t="s">
        <v>2741</v>
      </c>
      <c r="I6" s="40" t="s">
        <v>2742</v>
      </c>
      <c r="J6" s="40" t="s">
        <v>318</v>
      </c>
      <c r="K6" s="40" t="s">
        <v>318</v>
      </c>
      <c r="L6" s="40" t="s">
        <v>879</v>
      </c>
      <c r="M6" s="40" t="s">
        <v>393</v>
      </c>
      <c r="N6" s="40" t="s">
        <v>2683</v>
      </c>
      <c r="O6" s="40" t="s">
        <v>2720</v>
      </c>
      <c r="P6" s="40" t="s">
        <v>2685</v>
      </c>
      <c r="Q6" s="40" t="s">
        <v>2686</v>
      </c>
      <c r="R6" s="40" t="s">
        <v>2743</v>
      </c>
      <c r="S6" s="40" t="s">
        <v>2744</v>
      </c>
      <c r="T6" s="40" t="s">
        <v>2745</v>
      </c>
      <c r="U6" s="40" t="s">
        <v>2746</v>
      </c>
      <c r="V6" s="40" t="s">
        <v>2747</v>
      </c>
      <c r="W6" s="40" t="s">
        <v>2748</v>
      </c>
      <c r="X6" s="40" t="s">
        <v>2749</v>
      </c>
      <c r="Y6" s="40" t="s">
        <v>2750</v>
      </c>
      <c r="Z6" s="40" t="s">
        <v>2751</v>
      </c>
      <c r="AA6" s="40" t="s">
        <v>2752</v>
      </c>
      <c r="AB6" s="40" t="s">
        <v>2753</v>
      </c>
      <c r="AC6" s="40" t="s">
        <v>2754</v>
      </c>
      <c r="AD6" s="40" t="s">
        <v>2755</v>
      </c>
      <c r="AE6" s="40" t="s">
        <v>2692</v>
      </c>
      <c r="AF6" s="40" t="s">
        <v>2692</v>
      </c>
      <c r="AG6" s="40" t="s">
        <v>2693</v>
      </c>
      <c r="AH6" s="40" t="s">
        <v>2756</v>
      </c>
      <c r="AI6" s="40" t="s">
        <v>2757</v>
      </c>
      <c r="AJ6" s="40" t="s">
        <v>2758</v>
      </c>
      <c r="AK6" s="40" t="s">
        <v>2759</v>
      </c>
      <c r="AL6" s="40" t="s">
        <v>2760</v>
      </c>
      <c r="AM6" s="40" t="s">
        <v>2761</v>
      </c>
      <c r="AN6" s="40" t="s">
        <v>2762</v>
      </c>
      <c r="AO6" s="36" t="s">
        <v>2763</v>
      </c>
    </row>
    <row r="7" spans="1:41" hidden="1">
      <c r="A7" s="40" t="s">
        <v>2677</v>
      </c>
      <c r="B7" s="40" t="s">
        <v>2678</v>
      </c>
      <c r="C7" s="40" t="s">
        <v>623</v>
      </c>
      <c r="D7" s="40" t="s">
        <v>2717</v>
      </c>
      <c r="E7" s="40" t="s">
        <v>442</v>
      </c>
      <c r="F7" s="40" t="s">
        <v>2740</v>
      </c>
      <c r="G7" s="40" t="s">
        <v>321</v>
      </c>
      <c r="H7" s="40" t="s">
        <v>2764</v>
      </c>
      <c r="I7" s="40" t="s">
        <v>2742</v>
      </c>
      <c r="J7" s="40" t="s">
        <v>318</v>
      </c>
      <c r="K7" s="40" t="s">
        <v>318</v>
      </c>
      <c r="L7" s="40" t="s">
        <v>879</v>
      </c>
      <c r="M7" s="40" t="s">
        <v>393</v>
      </c>
      <c r="N7" s="40" t="s">
        <v>2683</v>
      </c>
      <c r="O7" s="40" t="s">
        <v>2720</v>
      </c>
      <c r="P7" s="40" t="s">
        <v>2685</v>
      </c>
      <c r="Q7" s="40" t="s">
        <v>2686</v>
      </c>
      <c r="R7" s="40" t="s">
        <v>2743</v>
      </c>
      <c r="S7" s="40" t="s">
        <v>2744</v>
      </c>
      <c r="T7" s="40" t="s">
        <v>2745</v>
      </c>
      <c r="U7" s="40" t="s">
        <v>2746</v>
      </c>
      <c r="V7" s="40" t="s">
        <v>2747</v>
      </c>
      <c r="W7" s="40" t="s">
        <v>2748</v>
      </c>
      <c r="X7" s="40" t="s">
        <v>2749</v>
      </c>
      <c r="Y7" s="40" t="s">
        <v>2750</v>
      </c>
      <c r="Z7" s="40" t="s">
        <v>2751</v>
      </c>
      <c r="AA7" s="40" t="s">
        <v>2752</v>
      </c>
      <c r="AB7" s="40" t="s">
        <v>2753</v>
      </c>
      <c r="AC7" s="40" t="s">
        <v>2754</v>
      </c>
      <c r="AD7" s="40" t="s">
        <v>2755</v>
      </c>
      <c r="AE7" s="40" t="s">
        <v>2692</v>
      </c>
      <c r="AF7" s="40" t="s">
        <v>2692</v>
      </c>
      <c r="AG7" s="40" t="s">
        <v>2693</v>
      </c>
      <c r="AH7" s="40" t="s">
        <v>2756</v>
      </c>
      <c r="AI7" s="40" t="s">
        <v>2757</v>
      </c>
      <c r="AJ7" s="40" t="s">
        <v>2758</v>
      </c>
      <c r="AK7" s="40" t="s">
        <v>2759</v>
      </c>
      <c r="AL7" s="40" t="s">
        <v>2760</v>
      </c>
      <c r="AM7" s="40" t="s">
        <v>2761</v>
      </c>
      <c r="AN7" s="40" t="s">
        <v>2762</v>
      </c>
      <c r="AO7" s="36" t="s">
        <v>2765</v>
      </c>
    </row>
    <row r="8" spans="1:41" ht="124.2" hidden="1">
      <c r="A8" s="40" t="s">
        <v>2677</v>
      </c>
      <c r="B8" s="40" t="s">
        <v>2766</v>
      </c>
      <c r="C8" s="40" t="s">
        <v>623</v>
      </c>
      <c r="D8" s="40" t="s">
        <v>2767</v>
      </c>
      <c r="E8" s="40" t="s">
        <v>442</v>
      </c>
      <c r="F8" s="40" t="s">
        <v>2680</v>
      </c>
      <c r="G8" s="40" t="s">
        <v>15</v>
      </c>
      <c r="H8" s="40" t="s">
        <v>2768</v>
      </c>
      <c r="I8" s="40" t="s">
        <v>2769</v>
      </c>
      <c r="J8" s="40" t="s">
        <v>318</v>
      </c>
      <c r="K8" s="40" t="s">
        <v>318</v>
      </c>
      <c r="L8" s="40" t="s">
        <v>879</v>
      </c>
      <c r="M8" s="40" t="s">
        <v>393</v>
      </c>
      <c r="N8" s="40" t="s">
        <v>2683</v>
      </c>
      <c r="O8" s="40" t="s">
        <v>2770</v>
      </c>
      <c r="P8" s="40" t="s">
        <v>2771</v>
      </c>
      <c r="Q8" s="40" t="s">
        <v>2706</v>
      </c>
      <c r="R8" s="40" t="s">
        <v>393</v>
      </c>
      <c r="S8" s="40" t="s">
        <v>2772</v>
      </c>
      <c r="T8" s="40" t="s">
        <v>393</v>
      </c>
      <c r="U8" s="40" t="s">
        <v>393</v>
      </c>
      <c r="V8" s="40" t="s">
        <v>393</v>
      </c>
      <c r="W8" s="40" t="s">
        <v>2773</v>
      </c>
      <c r="X8" s="40" t="s">
        <v>2774</v>
      </c>
      <c r="Y8" s="40" t="s">
        <v>536</v>
      </c>
      <c r="Z8" s="40" t="s">
        <v>532</v>
      </c>
      <c r="AA8" s="40" t="s">
        <v>2689</v>
      </c>
      <c r="AB8" s="40" t="s">
        <v>641</v>
      </c>
      <c r="AC8" s="40" t="s">
        <v>2691</v>
      </c>
      <c r="AD8" s="40" t="s">
        <v>598</v>
      </c>
      <c r="AE8" s="40" t="s">
        <v>2775</v>
      </c>
      <c r="AF8" s="40" t="s">
        <v>2020</v>
      </c>
      <c r="AG8" s="40" t="s">
        <v>2693</v>
      </c>
      <c r="AH8" s="40" t="s">
        <v>2757</v>
      </c>
      <c r="AI8" s="40" t="s">
        <v>2757</v>
      </c>
      <c r="AJ8" s="40" t="s">
        <v>2776</v>
      </c>
      <c r="AK8" s="40" t="s">
        <v>2777</v>
      </c>
      <c r="AL8" s="40" t="s">
        <v>2778</v>
      </c>
      <c r="AM8" s="40" t="s">
        <v>2761</v>
      </c>
      <c r="AN8" s="40" t="s">
        <v>2779</v>
      </c>
      <c r="AO8" s="36" t="s">
        <v>2780</v>
      </c>
    </row>
    <row r="9" spans="1:41" ht="124.2" hidden="1">
      <c r="A9" s="40" t="s">
        <v>2677</v>
      </c>
      <c r="B9" s="40" t="s">
        <v>2766</v>
      </c>
      <c r="C9" s="40" t="s">
        <v>623</v>
      </c>
      <c r="D9" s="40" t="s">
        <v>2767</v>
      </c>
      <c r="E9" s="40" t="s">
        <v>442</v>
      </c>
      <c r="F9" s="40" t="s">
        <v>2680</v>
      </c>
      <c r="G9" s="40" t="s">
        <v>321</v>
      </c>
      <c r="H9" s="40" t="s">
        <v>2781</v>
      </c>
      <c r="I9" s="40" t="s">
        <v>2769</v>
      </c>
      <c r="J9" s="40" t="s">
        <v>318</v>
      </c>
      <c r="K9" s="40" t="s">
        <v>318</v>
      </c>
      <c r="L9" s="40" t="s">
        <v>879</v>
      </c>
      <c r="M9" s="40" t="s">
        <v>393</v>
      </c>
      <c r="N9" s="40" t="s">
        <v>2683</v>
      </c>
      <c r="O9" s="40" t="s">
        <v>2770</v>
      </c>
      <c r="P9" s="40" t="s">
        <v>2771</v>
      </c>
      <c r="Q9" s="40" t="s">
        <v>2706</v>
      </c>
      <c r="R9" s="40" t="s">
        <v>393</v>
      </c>
      <c r="S9" s="40" t="s">
        <v>2772</v>
      </c>
      <c r="T9" s="40" t="s">
        <v>393</v>
      </c>
      <c r="U9" s="40" t="s">
        <v>393</v>
      </c>
      <c r="V9" s="40" t="s">
        <v>393</v>
      </c>
      <c r="W9" s="40" t="s">
        <v>2773</v>
      </c>
      <c r="X9" s="40" t="s">
        <v>2774</v>
      </c>
      <c r="Y9" s="40" t="s">
        <v>536</v>
      </c>
      <c r="Z9" s="40" t="s">
        <v>532</v>
      </c>
      <c r="AA9" s="40" t="s">
        <v>2689</v>
      </c>
      <c r="AB9" s="40" t="s">
        <v>641</v>
      </c>
      <c r="AC9" s="40" t="s">
        <v>2691</v>
      </c>
      <c r="AD9" s="40" t="s">
        <v>598</v>
      </c>
      <c r="AE9" s="40" t="s">
        <v>2775</v>
      </c>
      <c r="AF9" s="40" t="s">
        <v>2020</v>
      </c>
      <c r="AG9" s="40" t="s">
        <v>2693</v>
      </c>
      <c r="AH9" s="40" t="s">
        <v>2757</v>
      </c>
      <c r="AI9" s="40" t="s">
        <v>2757</v>
      </c>
      <c r="AJ9" s="40" t="s">
        <v>2776</v>
      </c>
      <c r="AK9" s="40" t="s">
        <v>2777</v>
      </c>
      <c r="AL9" s="40" t="s">
        <v>2778</v>
      </c>
      <c r="AM9" s="40" t="s">
        <v>2761</v>
      </c>
      <c r="AN9" s="40" t="s">
        <v>2779</v>
      </c>
      <c r="AO9" s="36" t="s">
        <v>2780</v>
      </c>
    </row>
    <row r="10" spans="1:41" ht="82.8" hidden="1">
      <c r="A10" s="40" t="s">
        <v>2677</v>
      </c>
      <c r="B10" s="40" t="s">
        <v>2678</v>
      </c>
      <c r="C10" s="40" t="s">
        <v>623</v>
      </c>
      <c r="D10" s="40" t="s">
        <v>2767</v>
      </c>
      <c r="E10" s="40" t="s">
        <v>442</v>
      </c>
      <c r="F10" s="40" t="s">
        <v>2782</v>
      </c>
      <c r="G10" s="40" t="s">
        <v>15</v>
      </c>
      <c r="H10" s="40" t="s">
        <v>2783</v>
      </c>
      <c r="I10" s="40" t="s">
        <v>2784</v>
      </c>
      <c r="J10" s="40" t="s">
        <v>318</v>
      </c>
      <c r="K10" s="40" t="s">
        <v>318</v>
      </c>
      <c r="L10" s="40" t="s">
        <v>879</v>
      </c>
      <c r="M10" s="40" t="s">
        <v>393</v>
      </c>
      <c r="N10" s="40" t="s">
        <v>2683</v>
      </c>
      <c r="O10" s="40" t="s">
        <v>2770</v>
      </c>
      <c r="P10" s="40" t="s">
        <v>2785</v>
      </c>
      <c r="Q10" s="40" t="s">
        <v>2686</v>
      </c>
      <c r="R10" s="40" t="s">
        <v>393</v>
      </c>
      <c r="S10" s="40" t="s">
        <v>2786</v>
      </c>
      <c r="T10" s="40" t="s">
        <v>393</v>
      </c>
      <c r="U10" s="40" t="s">
        <v>393</v>
      </c>
      <c r="V10" s="40" t="s">
        <v>393</v>
      </c>
      <c r="W10" s="40" t="s">
        <v>573</v>
      </c>
      <c r="X10" s="40" t="s">
        <v>2787</v>
      </c>
      <c r="Y10" s="40" t="s">
        <v>696</v>
      </c>
      <c r="Z10" s="40" t="s">
        <v>696</v>
      </c>
      <c r="AA10" s="40" t="s">
        <v>2689</v>
      </c>
      <c r="AB10" s="40" t="s">
        <v>2788</v>
      </c>
      <c r="AC10" s="40" t="s">
        <v>2709</v>
      </c>
      <c r="AD10" s="40" t="s">
        <v>2117</v>
      </c>
      <c r="AE10" s="40" t="s">
        <v>2789</v>
      </c>
      <c r="AF10" s="40" t="s">
        <v>2790</v>
      </c>
      <c r="AG10" s="40" t="s">
        <v>2693</v>
      </c>
      <c r="AH10" s="40" t="s">
        <v>2791</v>
      </c>
      <c r="AI10" s="40" t="s">
        <v>2792</v>
      </c>
      <c r="AJ10" s="40" t="s">
        <v>2792</v>
      </c>
      <c r="AK10" s="40" t="s">
        <v>2760</v>
      </c>
      <c r="AL10" s="40" t="s">
        <v>2793</v>
      </c>
      <c r="AM10" s="40" t="s">
        <v>2697</v>
      </c>
      <c r="AN10" s="40" t="s">
        <v>2794</v>
      </c>
      <c r="AO10" s="36" t="s">
        <v>2795</v>
      </c>
    </row>
    <row r="11" spans="1:41" ht="82.8" hidden="1">
      <c r="A11" s="40" t="s">
        <v>2677</v>
      </c>
      <c r="B11" s="40" t="s">
        <v>2678</v>
      </c>
      <c r="C11" s="40" t="s">
        <v>623</v>
      </c>
      <c r="D11" s="40" t="s">
        <v>2767</v>
      </c>
      <c r="E11" s="40" t="s">
        <v>442</v>
      </c>
      <c r="F11" s="40" t="s">
        <v>2782</v>
      </c>
      <c r="G11" s="40" t="s">
        <v>321</v>
      </c>
      <c r="H11" s="40" t="s">
        <v>2796</v>
      </c>
      <c r="I11" s="40" t="s">
        <v>2784</v>
      </c>
      <c r="J11" s="40" t="s">
        <v>318</v>
      </c>
      <c r="K11" s="40" t="s">
        <v>318</v>
      </c>
      <c r="L11" s="40" t="s">
        <v>879</v>
      </c>
      <c r="M11" s="40" t="s">
        <v>393</v>
      </c>
      <c r="N11" s="40" t="s">
        <v>2683</v>
      </c>
      <c r="O11" s="40" t="s">
        <v>2770</v>
      </c>
      <c r="P11" s="40" t="s">
        <v>2785</v>
      </c>
      <c r="Q11" s="40" t="s">
        <v>2686</v>
      </c>
      <c r="R11" s="40" t="s">
        <v>393</v>
      </c>
      <c r="S11" s="40" t="s">
        <v>2786</v>
      </c>
      <c r="T11" s="40" t="s">
        <v>393</v>
      </c>
      <c r="U11" s="40" t="s">
        <v>393</v>
      </c>
      <c r="V11" s="40" t="s">
        <v>393</v>
      </c>
      <c r="W11" s="40" t="s">
        <v>573</v>
      </c>
      <c r="X11" s="40" t="s">
        <v>2787</v>
      </c>
      <c r="Y11" s="40" t="s">
        <v>696</v>
      </c>
      <c r="Z11" s="40" t="s">
        <v>696</v>
      </c>
      <c r="AA11" s="40" t="s">
        <v>2689</v>
      </c>
      <c r="AB11" s="40" t="s">
        <v>2788</v>
      </c>
      <c r="AC11" s="40" t="s">
        <v>2709</v>
      </c>
      <c r="AD11" s="40" t="s">
        <v>2117</v>
      </c>
      <c r="AE11" s="40" t="s">
        <v>2789</v>
      </c>
      <c r="AF11" s="40" t="s">
        <v>2790</v>
      </c>
      <c r="AG11" s="40" t="s">
        <v>2693</v>
      </c>
      <c r="AH11" s="40" t="s">
        <v>2791</v>
      </c>
      <c r="AI11" s="40" t="s">
        <v>2792</v>
      </c>
      <c r="AJ11" s="40" t="s">
        <v>2792</v>
      </c>
      <c r="AK11" s="40" t="s">
        <v>2760</v>
      </c>
      <c r="AL11" s="40" t="s">
        <v>2793</v>
      </c>
      <c r="AM11" s="40" t="s">
        <v>2697</v>
      </c>
      <c r="AN11" s="40" t="s">
        <v>2794</v>
      </c>
      <c r="AO11" s="36" t="s">
        <v>2795</v>
      </c>
    </row>
    <row r="12" spans="1:41" ht="27.6" hidden="1">
      <c r="A12" s="40" t="s">
        <v>2677</v>
      </c>
      <c r="B12" s="40" t="s">
        <v>2678</v>
      </c>
      <c r="C12" s="40" t="s">
        <v>623</v>
      </c>
      <c r="D12" s="40" t="s">
        <v>2797</v>
      </c>
      <c r="E12" s="40" t="s">
        <v>442</v>
      </c>
      <c r="F12" s="40" t="s">
        <v>2680</v>
      </c>
      <c r="G12" s="40" t="s">
        <v>393</v>
      </c>
      <c r="H12" s="40" t="s">
        <v>2798</v>
      </c>
      <c r="I12" s="40" t="s">
        <v>2799</v>
      </c>
      <c r="J12" s="40" t="s">
        <v>318</v>
      </c>
      <c r="K12" s="40" t="s">
        <v>318</v>
      </c>
      <c r="L12" s="40" t="s">
        <v>879</v>
      </c>
      <c r="M12" s="40" t="s">
        <v>393</v>
      </c>
      <c r="N12" s="40" t="s">
        <v>2683</v>
      </c>
      <c r="O12" s="40" t="s">
        <v>2800</v>
      </c>
      <c r="P12" s="40" t="s">
        <v>2685</v>
      </c>
      <c r="Q12" s="40" t="s">
        <v>2706</v>
      </c>
      <c r="R12" s="40" t="s">
        <v>393</v>
      </c>
      <c r="S12" s="40" t="s">
        <v>393</v>
      </c>
      <c r="T12" s="40" t="s">
        <v>393</v>
      </c>
      <c r="U12" s="40" t="s">
        <v>2801</v>
      </c>
      <c r="V12" s="40" t="s">
        <v>393</v>
      </c>
      <c r="W12" s="40" t="s">
        <v>2802</v>
      </c>
      <c r="X12" s="40" t="s">
        <v>2803</v>
      </c>
      <c r="Y12" s="40" t="s">
        <v>393</v>
      </c>
      <c r="Z12" s="40" t="s">
        <v>393</v>
      </c>
      <c r="AA12" s="40" t="s">
        <v>2689</v>
      </c>
      <c r="AB12" s="40" t="s">
        <v>412</v>
      </c>
      <c r="AC12" s="40" t="s">
        <v>2691</v>
      </c>
      <c r="AD12" s="40" t="s">
        <v>2117</v>
      </c>
      <c r="AE12" s="40" t="s">
        <v>2692</v>
      </c>
      <c r="AF12" s="40" t="s">
        <v>2692</v>
      </c>
      <c r="AG12" s="40" t="s">
        <v>2693</v>
      </c>
      <c r="AH12" s="40" t="s">
        <v>2804</v>
      </c>
      <c r="AI12" s="40" t="s">
        <v>2805</v>
      </c>
      <c r="AJ12" s="40" t="s">
        <v>2734</v>
      </c>
      <c r="AK12" s="40" t="s">
        <v>2806</v>
      </c>
      <c r="AL12" s="40" t="s">
        <v>2807</v>
      </c>
      <c r="AM12" s="40" t="s">
        <v>2697</v>
      </c>
      <c r="AN12" s="40" t="s">
        <v>2808</v>
      </c>
      <c r="AO12" s="36" t="s">
        <v>2809</v>
      </c>
    </row>
    <row r="13" spans="1:41" ht="27.6" hidden="1">
      <c r="A13" s="40" t="s">
        <v>2677</v>
      </c>
      <c r="B13" s="40" t="s">
        <v>2678</v>
      </c>
      <c r="C13" s="40" t="s">
        <v>623</v>
      </c>
      <c r="D13" s="40" t="s">
        <v>2797</v>
      </c>
      <c r="E13" s="40" t="s">
        <v>442</v>
      </c>
      <c r="F13" s="40" t="s">
        <v>2782</v>
      </c>
      <c r="G13" s="40" t="s">
        <v>393</v>
      </c>
      <c r="H13" s="40" t="s">
        <v>2810</v>
      </c>
      <c r="I13" s="40" t="s">
        <v>2811</v>
      </c>
      <c r="J13" s="40" t="s">
        <v>318</v>
      </c>
      <c r="K13" s="40" t="s">
        <v>318</v>
      </c>
      <c r="L13" s="40" t="s">
        <v>879</v>
      </c>
      <c r="M13" s="40" t="s">
        <v>393</v>
      </c>
      <c r="N13" s="40" t="s">
        <v>2683</v>
      </c>
      <c r="O13" s="40" t="s">
        <v>2800</v>
      </c>
      <c r="P13" s="40" t="s">
        <v>2685</v>
      </c>
      <c r="Q13" s="40" t="s">
        <v>2706</v>
      </c>
      <c r="R13" s="40" t="s">
        <v>393</v>
      </c>
      <c r="S13" s="40" t="s">
        <v>393</v>
      </c>
      <c r="T13" s="40" t="s">
        <v>393</v>
      </c>
      <c r="U13" s="40" t="s">
        <v>2812</v>
      </c>
      <c r="V13" s="40" t="s">
        <v>393</v>
      </c>
      <c r="W13" s="40" t="s">
        <v>2802</v>
      </c>
      <c r="X13" s="40" t="s">
        <v>2803</v>
      </c>
      <c r="Y13" s="40" t="s">
        <v>393</v>
      </c>
      <c r="Z13" s="40" t="s">
        <v>393</v>
      </c>
      <c r="AA13" s="40" t="s">
        <v>2689</v>
      </c>
      <c r="AB13" s="40" t="s">
        <v>1918</v>
      </c>
      <c r="AC13" s="40" t="s">
        <v>2691</v>
      </c>
      <c r="AD13" s="40" t="s">
        <v>580</v>
      </c>
      <c r="AE13" s="40" t="s">
        <v>2692</v>
      </c>
      <c r="AF13" s="40" t="s">
        <v>2692</v>
      </c>
      <c r="AG13" s="40" t="s">
        <v>2693</v>
      </c>
      <c r="AH13" s="40" t="s">
        <v>2813</v>
      </c>
      <c r="AI13" s="40" t="s">
        <v>354</v>
      </c>
      <c r="AJ13" s="40" t="s">
        <v>2814</v>
      </c>
      <c r="AK13" s="40" t="s">
        <v>2815</v>
      </c>
      <c r="AL13" s="40" t="s">
        <v>2816</v>
      </c>
      <c r="AM13" s="40" t="s">
        <v>2697</v>
      </c>
      <c r="AN13" s="40" t="s">
        <v>2808</v>
      </c>
      <c r="AO13" s="36" t="s">
        <v>2809</v>
      </c>
    </row>
    <row r="14" spans="1:41" ht="27.6" hidden="1">
      <c r="A14" s="40" t="s">
        <v>2677</v>
      </c>
      <c r="B14" s="40" t="s">
        <v>2766</v>
      </c>
      <c r="C14" s="40" t="s">
        <v>623</v>
      </c>
      <c r="D14" s="40" t="s">
        <v>2700</v>
      </c>
      <c r="E14" s="40" t="s">
        <v>442</v>
      </c>
      <c r="F14" s="40" t="s">
        <v>2680</v>
      </c>
      <c r="G14" s="40" t="s">
        <v>393</v>
      </c>
      <c r="H14" s="40" t="s">
        <v>2817</v>
      </c>
      <c r="I14" s="40" t="s">
        <v>2818</v>
      </c>
      <c r="J14" s="40" t="s">
        <v>318</v>
      </c>
      <c r="K14" s="40" t="s">
        <v>318</v>
      </c>
      <c r="L14" s="40" t="s">
        <v>879</v>
      </c>
      <c r="M14" s="40" t="s">
        <v>393</v>
      </c>
      <c r="N14" s="40" t="s">
        <v>2683</v>
      </c>
      <c r="O14" s="40" t="s">
        <v>2704</v>
      </c>
      <c r="P14" s="40" t="s">
        <v>2685</v>
      </c>
      <c r="Q14" s="40" t="s">
        <v>2706</v>
      </c>
      <c r="R14" s="40" t="s">
        <v>393</v>
      </c>
      <c r="S14" s="40" t="s">
        <v>393</v>
      </c>
      <c r="T14" s="40" t="s">
        <v>393</v>
      </c>
      <c r="U14" s="40" t="s">
        <v>2819</v>
      </c>
      <c r="V14" s="40" t="s">
        <v>393</v>
      </c>
      <c r="W14" s="40" t="s">
        <v>2689</v>
      </c>
      <c r="X14" s="40" t="s">
        <v>359</v>
      </c>
      <c r="Y14" s="40" t="s">
        <v>527</v>
      </c>
      <c r="Z14" s="40" t="s">
        <v>543</v>
      </c>
      <c r="AA14" s="40" t="s">
        <v>2689</v>
      </c>
      <c r="AB14" s="40" t="s">
        <v>490</v>
      </c>
      <c r="AC14" s="40" t="s">
        <v>2691</v>
      </c>
      <c r="AD14" s="40" t="s">
        <v>2117</v>
      </c>
      <c r="AE14" s="40" t="s">
        <v>2692</v>
      </c>
      <c r="AF14" s="40" t="s">
        <v>2692</v>
      </c>
      <c r="AG14" s="40" t="s">
        <v>2693</v>
      </c>
      <c r="AH14" s="40" t="s">
        <v>2820</v>
      </c>
      <c r="AI14" s="40" t="s">
        <v>2821</v>
      </c>
      <c r="AJ14" s="40" t="s">
        <v>393</v>
      </c>
      <c r="AK14" s="40" t="s">
        <v>2822</v>
      </c>
      <c r="AL14" s="40" t="s">
        <v>2823</v>
      </c>
      <c r="AM14" s="40" t="s">
        <v>2761</v>
      </c>
      <c r="AN14" s="40" t="s">
        <v>2824</v>
      </c>
      <c r="AO14" s="36" t="s">
        <v>2825</v>
      </c>
    </row>
    <row r="15" spans="1:41" ht="41.4" hidden="1">
      <c r="A15" s="40" t="s">
        <v>2677</v>
      </c>
      <c r="B15" s="40" t="s">
        <v>2766</v>
      </c>
      <c r="C15" s="40" t="s">
        <v>623</v>
      </c>
      <c r="D15" s="40" t="s">
        <v>2700</v>
      </c>
      <c r="E15" s="40" t="s">
        <v>442</v>
      </c>
      <c r="F15" s="40" t="s">
        <v>2782</v>
      </c>
      <c r="G15" s="40" t="s">
        <v>393</v>
      </c>
      <c r="H15" s="40" t="s">
        <v>2826</v>
      </c>
      <c r="I15" s="40" t="s">
        <v>2827</v>
      </c>
      <c r="J15" s="40" t="s">
        <v>318</v>
      </c>
      <c r="K15" s="40" t="s">
        <v>318</v>
      </c>
      <c r="L15" s="40" t="s">
        <v>879</v>
      </c>
      <c r="M15" s="40" t="s">
        <v>393</v>
      </c>
      <c r="N15" s="40" t="s">
        <v>2683</v>
      </c>
      <c r="O15" s="40" t="s">
        <v>2704</v>
      </c>
      <c r="P15" s="40" t="s">
        <v>2685</v>
      </c>
      <c r="Q15" s="40" t="s">
        <v>2706</v>
      </c>
      <c r="R15" s="40" t="s">
        <v>393</v>
      </c>
      <c r="S15" s="40" t="s">
        <v>393</v>
      </c>
      <c r="T15" s="40" t="s">
        <v>393</v>
      </c>
      <c r="U15" s="40" t="s">
        <v>2828</v>
      </c>
      <c r="V15" s="40" t="s">
        <v>393</v>
      </c>
      <c r="W15" s="40" t="s">
        <v>2689</v>
      </c>
      <c r="X15" s="40" t="s">
        <v>342</v>
      </c>
      <c r="Y15" s="40" t="s">
        <v>536</v>
      </c>
      <c r="Z15" s="40" t="s">
        <v>532</v>
      </c>
      <c r="AA15" s="40" t="s">
        <v>2689</v>
      </c>
      <c r="AB15" s="40" t="s">
        <v>432</v>
      </c>
      <c r="AC15" s="40" t="s">
        <v>2829</v>
      </c>
      <c r="AD15" s="40" t="s">
        <v>623</v>
      </c>
      <c r="AE15" s="40" t="s">
        <v>2692</v>
      </c>
      <c r="AF15" s="40" t="s">
        <v>2692</v>
      </c>
      <c r="AG15" s="40" t="s">
        <v>2693</v>
      </c>
      <c r="AH15" s="40" t="s">
        <v>2830</v>
      </c>
      <c r="AI15" s="40" t="s">
        <v>2831</v>
      </c>
      <c r="AJ15" s="40" t="s">
        <v>393</v>
      </c>
      <c r="AK15" s="40" t="s">
        <v>2832</v>
      </c>
      <c r="AL15" s="40" t="s">
        <v>2833</v>
      </c>
      <c r="AM15" s="40" t="s">
        <v>2761</v>
      </c>
      <c r="AN15" s="40" t="s">
        <v>2834</v>
      </c>
      <c r="AO15" s="36" t="s">
        <v>2835</v>
      </c>
    </row>
    <row r="16" spans="1:41" ht="82.8" hidden="1">
      <c r="A16" s="40" t="s">
        <v>2677</v>
      </c>
      <c r="B16" s="40" t="s">
        <v>2766</v>
      </c>
      <c r="C16" s="40" t="s">
        <v>623</v>
      </c>
      <c r="D16" s="40" t="s">
        <v>2767</v>
      </c>
      <c r="E16" s="40" t="s">
        <v>458</v>
      </c>
      <c r="F16" s="40" t="s">
        <v>2680</v>
      </c>
      <c r="G16" s="40" t="s">
        <v>15</v>
      </c>
      <c r="H16" s="40" t="s">
        <v>2836</v>
      </c>
      <c r="I16" s="40" t="s">
        <v>2837</v>
      </c>
      <c r="J16" s="40" t="s">
        <v>318</v>
      </c>
      <c r="K16" s="40" t="s">
        <v>318</v>
      </c>
      <c r="L16" s="40" t="s">
        <v>879</v>
      </c>
      <c r="M16" s="40" t="s">
        <v>393</v>
      </c>
      <c r="N16" s="40" t="s">
        <v>2683</v>
      </c>
      <c r="O16" s="40" t="s">
        <v>2770</v>
      </c>
      <c r="P16" s="40" t="s">
        <v>2785</v>
      </c>
      <c r="Q16" s="40" t="s">
        <v>2706</v>
      </c>
      <c r="R16" s="40" t="s">
        <v>393</v>
      </c>
      <c r="S16" s="40" t="s">
        <v>2838</v>
      </c>
      <c r="T16" s="40" t="s">
        <v>393</v>
      </c>
      <c r="U16" s="40" t="s">
        <v>393</v>
      </c>
      <c r="V16" s="40" t="s">
        <v>393</v>
      </c>
      <c r="W16" s="40" t="s">
        <v>2839</v>
      </c>
      <c r="X16" s="40" t="s">
        <v>2840</v>
      </c>
      <c r="Y16" s="40" t="s">
        <v>533</v>
      </c>
      <c r="Z16" s="40" t="s">
        <v>532</v>
      </c>
      <c r="AA16" s="40" t="s">
        <v>2689</v>
      </c>
      <c r="AB16" s="40" t="s">
        <v>516</v>
      </c>
      <c r="AC16" s="40" t="s">
        <v>2709</v>
      </c>
      <c r="AD16" s="40" t="s">
        <v>623</v>
      </c>
      <c r="AE16" s="40" t="s">
        <v>2841</v>
      </c>
      <c r="AF16" s="40" t="s">
        <v>2020</v>
      </c>
      <c r="AG16" s="40" t="s">
        <v>2693</v>
      </c>
      <c r="AH16" s="40" t="s">
        <v>2842</v>
      </c>
      <c r="AI16" s="40" t="s">
        <v>2842</v>
      </c>
      <c r="AJ16" s="40" t="s">
        <v>2843</v>
      </c>
      <c r="AK16" s="40" t="s">
        <v>2844</v>
      </c>
      <c r="AL16" s="40" t="s">
        <v>2845</v>
      </c>
      <c r="AM16" s="40" t="s">
        <v>2846</v>
      </c>
      <c r="AN16" s="40" t="s">
        <v>2847</v>
      </c>
      <c r="AO16" s="36" t="s">
        <v>2848</v>
      </c>
    </row>
    <row r="17" spans="1:41" ht="82.8" hidden="1">
      <c r="A17" s="40" t="s">
        <v>2677</v>
      </c>
      <c r="B17" s="40" t="s">
        <v>2766</v>
      </c>
      <c r="C17" s="40" t="s">
        <v>623</v>
      </c>
      <c r="D17" s="40" t="s">
        <v>2767</v>
      </c>
      <c r="E17" s="40" t="s">
        <v>458</v>
      </c>
      <c r="F17" s="40" t="s">
        <v>2680</v>
      </c>
      <c r="G17" s="40" t="s">
        <v>321</v>
      </c>
      <c r="H17" s="40" t="s">
        <v>2849</v>
      </c>
      <c r="I17" s="40" t="s">
        <v>2837</v>
      </c>
      <c r="J17" s="40" t="s">
        <v>318</v>
      </c>
      <c r="K17" s="40" t="s">
        <v>318</v>
      </c>
      <c r="L17" s="40" t="s">
        <v>879</v>
      </c>
      <c r="M17" s="40" t="s">
        <v>393</v>
      </c>
      <c r="N17" s="40" t="s">
        <v>2683</v>
      </c>
      <c r="O17" s="40" t="s">
        <v>2770</v>
      </c>
      <c r="P17" s="40" t="s">
        <v>2785</v>
      </c>
      <c r="Q17" s="40" t="s">
        <v>2706</v>
      </c>
      <c r="R17" s="40" t="s">
        <v>393</v>
      </c>
      <c r="S17" s="40" t="s">
        <v>2838</v>
      </c>
      <c r="T17" s="40" t="s">
        <v>393</v>
      </c>
      <c r="U17" s="40" t="s">
        <v>393</v>
      </c>
      <c r="V17" s="40" t="s">
        <v>393</v>
      </c>
      <c r="W17" s="40" t="s">
        <v>2839</v>
      </c>
      <c r="X17" s="40" t="s">
        <v>2840</v>
      </c>
      <c r="Y17" s="40" t="s">
        <v>533</v>
      </c>
      <c r="Z17" s="40" t="s">
        <v>532</v>
      </c>
      <c r="AA17" s="40" t="s">
        <v>2689</v>
      </c>
      <c r="AB17" s="40" t="s">
        <v>516</v>
      </c>
      <c r="AC17" s="40" t="s">
        <v>2709</v>
      </c>
      <c r="AD17" s="40" t="s">
        <v>623</v>
      </c>
      <c r="AE17" s="40" t="s">
        <v>2841</v>
      </c>
      <c r="AF17" s="40" t="s">
        <v>2020</v>
      </c>
      <c r="AG17" s="40" t="s">
        <v>2693</v>
      </c>
      <c r="AH17" s="40" t="s">
        <v>2842</v>
      </c>
      <c r="AI17" s="40" t="s">
        <v>2842</v>
      </c>
      <c r="AJ17" s="40" t="s">
        <v>2843</v>
      </c>
      <c r="AK17" s="40" t="s">
        <v>2844</v>
      </c>
      <c r="AL17" s="40" t="s">
        <v>2845</v>
      </c>
      <c r="AM17" s="40" t="s">
        <v>2846</v>
      </c>
      <c r="AN17" s="40" t="s">
        <v>2847</v>
      </c>
      <c r="AO17" s="36" t="s">
        <v>2848</v>
      </c>
    </row>
    <row r="18" spans="1:41" ht="41.4" hidden="1">
      <c r="A18" s="40" t="s">
        <v>2677</v>
      </c>
      <c r="B18" s="40" t="s">
        <v>2850</v>
      </c>
      <c r="C18" s="40" t="s">
        <v>623</v>
      </c>
      <c r="D18" s="40" t="s">
        <v>2679</v>
      </c>
      <c r="E18" s="40" t="s">
        <v>458</v>
      </c>
      <c r="F18" s="40" t="s">
        <v>2680</v>
      </c>
      <c r="G18" s="40" t="s">
        <v>393</v>
      </c>
      <c r="H18" s="40" t="s">
        <v>2851</v>
      </c>
      <c r="I18" s="40" t="s">
        <v>2852</v>
      </c>
      <c r="J18" s="40" t="s">
        <v>318</v>
      </c>
      <c r="K18" s="40" t="s">
        <v>318</v>
      </c>
      <c r="L18" s="40" t="s">
        <v>879</v>
      </c>
      <c r="M18" s="40" t="s">
        <v>393</v>
      </c>
      <c r="N18" s="40" t="s">
        <v>2683</v>
      </c>
      <c r="O18" s="40" t="s">
        <v>2684</v>
      </c>
      <c r="P18" s="40" t="s">
        <v>2685</v>
      </c>
      <c r="Q18" s="40" t="s">
        <v>2686</v>
      </c>
      <c r="R18" s="40" t="s">
        <v>393</v>
      </c>
      <c r="S18" s="40" t="s">
        <v>393</v>
      </c>
      <c r="T18" s="40" t="s">
        <v>393</v>
      </c>
      <c r="U18" s="40" t="s">
        <v>393</v>
      </c>
      <c r="V18" s="40" t="s">
        <v>393</v>
      </c>
      <c r="W18" s="40" t="s">
        <v>393</v>
      </c>
      <c r="X18" s="40" t="s">
        <v>455</v>
      </c>
      <c r="Y18" s="40" t="s">
        <v>393</v>
      </c>
      <c r="Z18" s="40" t="s">
        <v>532</v>
      </c>
      <c r="AA18" s="40" t="s">
        <v>2689</v>
      </c>
      <c r="AB18" s="40" t="s">
        <v>516</v>
      </c>
      <c r="AC18" s="40" t="s">
        <v>2709</v>
      </c>
      <c r="AD18" s="40" t="s">
        <v>623</v>
      </c>
      <c r="AE18" s="40" t="s">
        <v>2692</v>
      </c>
      <c r="AF18" s="40" t="s">
        <v>2692</v>
      </c>
      <c r="AG18" s="40" t="s">
        <v>2693</v>
      </c>
      <c r="AH18" s="40" t="s">
        <v>2831</v>
      </c>
      <c r="AI18" s="40" t="s">
        <v>2853</v>
      </c>
      <c r="AJ18" s="40" t="s">
        <v>393</v>
      </c>
      <c r="AK18" s="40" t="s">
        <v>2854</v>
      </c>
      <c r="AL18" s="40" t="s">
        <v>2816</v>
      </c>
      <c r="AM18" s="40" t="s">
        <v>2846</v>
      </c>
      <c r="AN18" s="40" t="s">
        <v>2855</v>
      </c>
      <c r="AO18" s="36" t="s">
        <v>2856</v>
      </c>
    </row>
    <row r="19" spans="1:41" ht="27.6" hidden="1">
      <c r="A19" s="40" t="s">
        <v>2677</v>
      </c>
      <c r="B19" s="40" t="s">
        <v>2850</v>
      </c>
      <c r="C19" s="40" t="s">
        <v>623</v>
      </c>
      <c r="D19" s="40" t="s">
        <v>2857</v>
      </c>
      <c r="E19" s="40" t="s">
        <v>462</v>
      </c>
      <c r="F19" s="40" t="s">
        <v>2680</v>
      </c>
      <c r="G19" s="40" t="s">
        <v>393</v>
      </c>
      <c r="H19" s="40" t="s">
        <v>1354</v>
      </c>
      <c r="I19" s="40" t="s">
        <v>2858</v>
      </c>
      <c r="J19" s="40" t="s">
        <v>318</v>
      </c>
      <c r="K19" s="40" t="s">
        <v>318</v>
      </c>
      <c r="L19" s="40" t="s">
        <v>879</v>
      </c>
      <c r="M19" s="40" t="s">
        <v>393</v>
      </c>
      <c r="N19" s="40" t="s">
        <v>2859</v>
      </c>
      <c r="O19" s="40" t="s">
        <v>2860</v>
      </c>
      <c r="P19" s="40" t="s">
        <v>2685</v>
      </c>
      <c r="Q19" s="40" t="s">
        <v>2706</v>
      </c>
      <c r="R19" s="40" t="s">
        <v>393</v>
      </c>
      <c r="S19" s="40" t="s">
        <v>2838</v>
      </c>
      <c r="T19" s="40" t="s">
        <v>393</v>
      </c>
      <c r="U19" s="40" t="s">
        <v>393</v>
      </c>
      <c r="V19" s="40" t="s">
        <v>393</v>
      </c>
      <c r="W19" s="40" t="s">
        <v>393</v>
      </c>
      <c r="X19" s="40" t="s">
        <v>2861</v>
      </c>
      <c r="Y19" s="40" t="s">
        <v>393</v>
      </c>
      <c r="Z19" s="40" t="s">
        <v>532</v>
      </c>
      <c r="AA19" s="40" t="s">
        <v>2689</v>
      </c>
      <c r="AB19" s="40" t="s">
        <v>516</v>
      </c>
      <c r="AC19" s="40" t="s">
        <v>2709</v>
      </c>
      <c r="AD19" s="40" t="s">
        <v>623</v>
      </c>
      <c r="AE19" s="40" t="s">
        <v>393</v>
      </c>
      <c r="AF19" s="40" t="s">
        <v>393</v>
      </c>
      <c r="AG19" s="40" t="s">
        <v>2693</v>
      </c>
      <c r="AH19" s="40" t="s">
        <v>360</v>
      </c>
      <c r="AI19" s="40" t="s">
        <v>330</v>
      </c>
      <c r="AJ19" s="40" t="s">
        <v>327</v>
      </c>
      <c r="AK19" s="40" t="s">
        <v>2862</v>
      </c>
      <c r="AL19" s="40" t="s">
        <v>393</v>
      </c>
      <c r="AM19" s="40" t="s">
        <v>2846</v>
      </c>
      <c r="AN19" s="40" t="s">
        <v>2863</v>
      </c>
      <c r="AO19" s="36" t="s">
        <v>2864</v>
      </c>
    </row>
    <row r="20" spans="1:41" ht="94.8" hidden="1">
      <c r="A20" s="40" t="s">
        <v>2677</v>
      </c>
      <c r="B20" s="40" t="s">
        <v>2865</v>
      </c>
      <c r="C20" s="40" t="s">
        <v>623</v>
      </c>
      <c r="D20" s="40" t="s">
        <v>2866</v>
      </c>
      <c r="E20" s="40" t="s">
        <v>468</v>
      </c>
      <c r="F20" s="40" t="s">
        <v>2680</v>
      </c>
      <c r="G20" s="40" t="s">
        <v>393</v>
      </c>
      <c r="H20" s="40" t="s">
        <v>846</v>
      </c>
      <c r="I20" s="40" t="s">
        <v>847</v>
      </c>
      <c r="J20" s="40" t="s">
        <v>318</v>
      </c>
      <c r="K20" s="40" t="s">
        <v>318</v>
      </c>
      <c r="L20" s="40" t="s">
        <v>879</v>
      </c>
      <c r="M20" s="40" t="s">
        <v>393</v>
      </c>
      <c r="N20" s="40" t="s">
        <v>2683</v>
      </c>
      <c r="O20" s="40" t="s">
        <v>2867</v>
      </c>
      <c r="P20" s="40" t="s">
        <v>2685</v>
      </c>
      <c r="Q20" s="40" t="s">
        <v>2686</v>
      </c>
      <c r="R20" s="40" t="s">
        <v>615</v>
      </c>
      <c r="S20" s="40" t="s">
        <v>393</v>
      </c>
      <c r="T20" s="40" t="s">
        <v>393</v>
      </c>
      <c r="U20" s="40" t="s">
        <v>393</v>
      </c>
      <c r="V20" s="40" t="s">
        <v>393</v>
      </c>
      <c r="W20" s="40" t="s">
        <v>2689</v>
      </c>
      <c r="X20" s="40" t="s">
        <v>2868</v>
      </c>
      <c r="Y20" s="40" t="s">
        <v>2709</v>
      </c>
      <c r="Z20" s="40" t="s">
        <v>532</v>
      </c>
      <c r="AA20" s="40" t="s">
        <v>2689</v>
      </c>
      <c r="AB20" s="40" t="s">
        <v>342</v>
      </c>
      <c r="AC20" s="40" t="s">
        <v>2691</v>
      </c>
      <c r="AD20" s="40" t="s">
        <v>598</v>
      </c>
      <c r="AE20" s="40" t="s">
        <v>615</v>
      </c>
      <c r="AF20" s="40" t="s">
        <v>676</v>
      </c>
      <c r="AG20" s="40" t="s">
        <v>2693</v>
      </c>
      <c r="AH20" s="40" t="s">
        <v>2869</v>
      </c>
      <c r="AI20" s="40" t="s">
        <v>2870</v>
      </c>
      <c r="AJ20" s="40" t="s">
        <v>393</v>
      </c>
      <c r="AK20" s="40" t="s">
        <v>2871</v>
      </c>
      <c r="AL20" s="40" t="s">
        <v>393</v>
      </c>
      <c r="AM20" s="40" t="s">
        <v>2872</v>
      </c>
      <c r="AN20" s="40" t="s">
        <v>2873</v>
      </c>
      <c r="AO20" s="119" t="s">
        <v>2874</v>
      </c>
    </row>
    <row r="21" spans="1:41" ht="110.4" hidden="1">
      <c r="A21" s="40" t="s">
        <v>2677</v>
      </c>
      <c r="B21" s="40" t="s">
        <v>2875</v>
      </c>
      <c r="C21" s="40" t="s">
        <v>623</v>
      </c>
      <c r="D21" s="40" t="s">
        <v>2767</v>
      </c>
      <c r="E21" s="40" t="s">
        <v>468</v>
      </c>
      <c r="F21" s="40" t="s">
        <v>2680</v>
      </c>
      <c r="G21" s="40" t="s">
        <v>393</v>
      </c>
      <c r="H21" s="40" t="s">
        <v>2876</v>
      </c>
      <c r="I21" s="40" t="s">
        <v>748</v>
      </c>
      <c r="J21" s="40" t="s">
        <v>318</v>
      </c>
      <c r="K21" s="40" t="s">
        <v>318</v>
      </c>
      <c r="L21" s="40" t="s">
        <v>879</v>
      </c>
      <c r="M21" s="40" t="s">
        <v>393</v>
      </c>
      <c r="N21" s="40" t="s">
        <v>2683</v>
      </c>
      <c r="O21" s="40" t="s">
        <v>2770</v>
      </c>
      <c r="P21" s="40" t="s">
        <v>2685</v>
      </c>
      <c r="Q21" s="40" t="s">
        <v>2686</v>
      </c>
      <c r="R21" s="40" t="s">
        <v>393</v>
      </c>
      <c r="S21" s="40" t="s">
        <v>374</v>
      </c>
      <c r="T21" s="40" t="s">
        <v>393</v>
      </c>
      <c r="U21" s="40" t="s">
        <v>393</v>
      </c>
      <c r="V21" s="40" t="s">
        <v>393</v>
      </c>
      <c r="W21" s="40" t="s">
        <v>2877</v>
      </c>
      <c r="X21" s="40" t="s">
        <v>2878</v>
      </c>
      <c r="Y21" s="40" t="s">
        <v>2709</v>
      </c>
      <c r="Z21" s="40" t="s">
        <v>505</v>
      </c>
      <c r="AA21" s="40" t="s">
        <v>2689</v>
      </c>
      <c r="AB21" s="40" t="s">
        <v>359</v>
      </c>
      <c r="AC21" s="40" t="s">
        <v>2709</v>
      </c>
      <c r="AD21" s="40" t="s">
        <v>580</v>
      </c>
      <c r="AE21" s="40" t="s">
        <v>2879</v>
      </c>
      <c r="AF21" s="40" t="s">
        <v>359</v>
      </c>
      <c r="AG21" s="40" t="s">
        <v>2693</v>
      </c>
      <c r="AH21" s="40" t="s">
        <v>2880</v>
      </c>
      <c r="AI21" s="40" t="s">
        <v>2881</v>
      </c>
      <c r="AJ21" s="40" t="s">
        <v>2882</v>
      </c>
      <c r="AK21" s="40" t="s">
        <v>2883</v>
      </c>
      <c r="AL21" s="40" t="s">
        <v>2884</v>
      </c>
      <c r="AM21" s="40" t="s">
        <v>2885</v>
      </c>
      <c r="AN21" s="40" t="s">
        <v>2886</v>
      </c>
      <c r="AO21" s="36" t="s">
        <v>2887</v>
      </c>
    </row>
    <row r="22" spans="1:41" ht="124.2" hidden="1">
      <c r="A22" s="40" t="s">
        <v>2677</v>
      </c>
      <c r="B22" s="40" t="s">
        <v>393</v>
      </c>
      <c r="C22" s="40" t="s">
        <v>623</v>
      </c>
      <c r="D22" s="40" t="s">
        <v>2767</v>
      </c>
      <c r="E22" s="40" t="s">
        <v>468</v>
      </c>
      <c r="F22" s="40" t="s">
        <v>2888</v>
      </c>
      <c r="G22" s="40" t="s">
        <v>15</v>
      </c>
      <c r="H22" s="40" t="s">
        <v>1302</v>
      </c>
      <c r="I22" s="40" t="s">
        <v>1303</v>
      </c>
      <c r="J22" s="40" t="s">
        <v>393</v>
      </c>
      <c r="K22" s="40" t="s">
        <v>393</v>
      </c>
      <c r="L22" s="40" t="s">
        <v>393</v>
      </c>
      <c r="M22" s="40" t="s">
        <v>393</v>
      </c>
      <c r="N22" s="40" t="s">
        <v>2683</v>
      </c>
      <c r="O22" s="40" t="s">
        <v>2770</v>
      </c>
      <c r="P22" s="40" t="s">
        <v>2785</v>
      </c>
      <c r="Q22" s="40" t="s">
        <v>2686</v>
      </c>
      <c r="R22" s="40" t="s">
        <v>393</v>
      </c>
      <c r="S22" s="40" t="s">
        <v>2889</v>
      </c>
      <c r="T22" s="40" t="s">
        <v>393</v>
      </c>
      <c r="U22" s="40" t="s">
        <v>393</v>
      </c>
      <c r="V22" s="40" t="s">
        <v>393</v>
      </c>
      <c r="W22" s="40" t="s">
        <v>2890</v>
      </c>
      <c r="X22" s="40" t="s">
        <v>2891</v>
      </c>
      <c r="Y22" s="40" t="s">
        <v>2709</v>
      </c>
      <c r="Z22" s="40" t="s">
        <v>532</v>
      </c>
      <c r="AA22" s="40" t="s">
        <v>2689</v>
      </c>
      <c r="AB22" s="40" t="s">
        <v>359</v>
      </c>
      <c r="AC22" s="40" t="s">
        <v>2829</v>
      </c>
      <c r="AD22" s="40" t="s">
        <v>598</v>
      </c>
      <c r="AE22" s="40" t="s">
        <v>2892</v>
      </c>
      <c r="AF22" s="40" t="s">
        <v>374</v>
      </c>
      <c r="AG22" s="40" t="s">
        <v>2693</v>
      </c>
      <c r="AH22" s="40" t="s">
        <v>2893</v>
      </c>
      <c r="AI22" s="40" t="s">
        <v>2894</v>
      </c>
      <c r="AJ22" s="40" t="s">
        <v>2895</v>
      </c>
      <c r="AK22" s="40" t="s">
        <v>2896</v>
      </c>
      <c r="AL22" s="40" t="s">
        <v>2897</v>
      </c>
      <c r="AM22" s="40" t="s">
        <v>2898</v>
      </c>
      <c r="AN22" s="40" t="s">
        <v>2899</v>
      </c>
      <c r="AO22" s="36" t="s">
        <v>2900</v>
      </c>
    </row>
    <row r="23" spans="1:41" ht="124.2" hidden="1">
      <c r="A23" s="40" t="s">
        <v>2677</v>
      </c>
      <c r="B23" s="40" t="s">
        <v>393</v>
      </c>
      <c r="C23" s="40" t="s">
        <v>623</v>
      </c>
      <c r="D23" s="40" t="s">
        <v>2767</v>
      </c>
      <c r="E23" s="40" t="s">
        <v>468</v>
      </c>
      <c r="F23" s="40" t="s">
        <v>2888</v>
      </c>
      <c r="G23" s="40" t="s">
        <v>321</v>
      </c>
      <c r="H23" s="40" t="s">
        <v>1304</v>
      </c>
      <c r="I23" s="40" t="s">
        <v>1303</v>
      </c>
      <c r="J23" s="40" t="s">
        <v>393</v>
      </c>
      <c r="K23" s="40" t="s">
        <v>393</v>
      </c>
      <c r="L23" s="40" t="s">
        <v>393</v>
      </c>
      <c r="M23" s="40" t="s">
        <v>393</v>
      </c>
      <c r="N23" s="40" t="s">
        <v>2683</v>
      </c>
      <c r="O23" s="40" t="s">
        <v>2770</v>
      </c>
      <c r="P23" s="40" t="s">
        <v>2785</v>
      </c>
      <c r="Q23" s="40" t="s">
        <v>2686</v>
      </c>
      <c r="R23" s="40" t="s">
        <v>393</v>
      </c>
      <c r="S23" s="40" t="s">
        <v>2889</v>
      </c>
      <c r="T23" s="40" t="s">
        <v>393</v>
      </c>
      <c r="U23" s="40" t="s">
        <v>393</v>
      </c>
      <c r="V23" s="40" t="s">
        <v>393</v>
      </c>
      <c r="W23" s="40" t="s">
        <v>2890</v>
      </c>
      <c r="X23" s="40" t="s">
        <v>2891</v>
      </c>
      <c r="Y23" s="40" t="s">
        <v>2709</v>
      </c>
      <c r="Z23" s="40" t="s">
        <v>532</v>
      </c>
      <c r="AA23" s="40" t="s">
        <v>2689</v>
      </c>
      <c r="AB23" s="40" t="s">
        <v>359</v>
      </c>
      <c r="AC23" s="40" t="s">
        <v>2829</v>
      </c>
      <c r="AD23" s="40" t="s">
        <v>598</v>
      </c>
      <c r="AE23" s="40" t="s">
        <v>2892</v>
      </c>
      <c r="AF23" s="40" t="s">
        <v>374</v>
      </c>
      <c r="AG23" s="40" t="s">
        <v>2693</v>
      </c>
      <c r="AH23" s="40" t="s">
        <v>2893</v>
      </c>
      <c r="AI23" s="40" t="s">
        <v>2894</v>
      </c>
      <c r="AJ23" s="40" t="s">
        <v>2895</v>
      </c>
      <c r="AK23" s="40" t="s">
        <v>2896</v>
      </c>
      <c r="AL23" s="40" t="s">
        <v>2897</v>
      </c>
      <c r="AM23" s="40" t="s">
        <v>2898</v>
      </c>
      <c r="AN23" s="40" t="s">
        <v>2899</v>
      </c>
      <c r="AO23" s="36" t="s">
        <v>2900</v>
      </c>
    </row>
    <row r="24" spans="1:41" ht="96.6" hidden="1">
      <c r="A24" s="40" t="s">
        <v>2677</v>
      </c>
      <c r="B24" s="40" t="s">
        <v>2865</v>
      </c>
      <c r="C24" s="40" t="s">
        <v>623</v>
      </c>
      <c r="D24" s="40" t="s">
        <v>2901</v>
      </c>
      <c r="E24" s="40" t="s">
        <v>468</v>
      </c>
      <c r="F24" s="40" t="s">
        <v>2680</v>
      </c>
      <c r="G24" s="40" t="s">
        <v>15</v>
      </c>
      <c r="H24" s="40" t="s">
        <v>2902</v>
      </c>
      <c r="I24" s="40" t="s">
        <v>2903</v>
      </c>
      <c r="J24" s="40" t="s">
        <v>318</v>
      </c>
      <c r="K24" s="40" t="s">
        <v>318</v>
      </c>
      <c r="L24" s="40" t="s">
        <v>879</v>
      </c>
      <c r="M24" s="40" t="s">
        <v>393</v>
      </c>
      <c r="N24" s="40" t="s">
        <v>2683</v>
      </c>
      <c r="O24" s="40" t="s">
        <v>2770</v>
      </c>
      <c r="P24" s="40" t="s">
        <v>2785</v>
      </c>
      <c r="Q24" s="40" t="s">
        <v>2686</v>
      </c>
      <c r="R24" s="40" t="s">
        <v>393</v>
      </c>
      <c r="S24" s="40" t="s">
        <v>2889</v>
      </c>
      <c r="T24" s="40" t="s">
        <v>393</v>
      </c>
      <c r="U24" s="40" t="s">
        <v>393</v>
      </c>
      <c r="V24" s="40" t="s">
        <v>393</v>
      </c>
      <c r="W24" s="40" t="s">
        <v>2904</v>
      </c>
      <c r="X24" s="40" t="s">
        <v>2905</v>
      </c>
      <c r="Y24" s="40" t="s">
        <v>2709</v>
      </c>
      <c r="Z24" s="40" t="s">
        <v>532</v>
      </c>
      <c r="AA24" s="40" t="s">
        <v>2689</v>
      </c>
      <c r="AB24" s="40" t="s">
        <v>432</v>
      </c>
      <c r="AC24" s="40" t="s">
        <v>2691</v>
      </c>
      <c r="AD24" s="40" t="s">
        <v>598</v>
      </c>
      <c r="AE24" s="40" t="s">
        <v>2734</v>
      </c>
      <c r="AF24" s="40" t="s">
        <v>2906</v>
      </c>
      <c r="AG24" s="40" t="s">
        <v>2693</v>
      </c>
      <c r="AH24" s="40" t="s">
        <v>2805</v>
      </c>
      <c r="AI24" s="40" t="s">
        <v>2805</v>
      </c>
      <c r="AJ24" s="40" t="s">
        <v>2907</v>
      </c>
      <c r="AK24" s="40" t="s">
        <v>2908</v>
      </c>
      <c r="AL24" s="40" t="s">
        <v>2909</v>
      </c>
      <c r="AM24" s="40" t="s">
        <v>2872</v>
      </c>
      <c r="AN24" s="40" t="s">
        <v>2899</v>
      </c>
      <c r="AO24" s="36" t="s">
        <v>2910</v>
      </c>
    </row>
    <row r="25" spans="1:41" ht="96.6" hidden="1">
      <c r="A25" s="40" t="s">
        <v>2677</v>
      </c>
      <c r="B25" s="40" t="s">
        <v>2865</v>
      </c>
      <c r="C25" s="40" t="s">
        <v>623</v>
      </c>
      <c r="D25" s="40" t="s">
        <v>2901</v>
      </c>
      <c r="E25" s="40" t="s">
        <v>468</v>
      </c>
      <c r="F25" s="40" t="s">
        <v>2680</v>
      </c>
      <c r="G25" s="40" t="s">
        <v>321</v>
      </c>
      <c r="H25" s="40" t="s">
        <v>2911</v>
      </c>
      <c r="I25" s="40" t="s">
        <v>2903</v>
      </c>
      <c r="J25" s="40" t="s">
        <v>318</v>
      </c>
      <c r="K25" s="40" t="s">
        <v>318</v>
      </c>
      <c r="L25" s="40" t="s">
        <v>879</v>
      </c>
      <c r="M25" s="40" t="s">
        <v>393</v>
      </c>
      <c r="N25" s="40" t="s">
        <v>2683</v>
      </c>
      <c r="O25" s="40" t="s">
        <v>2770</v>
      </c>
      <c r="P25" s="40" t="s">
        <v>2785</v>
      </c>
      <c r="Q25" s="40" t="s">
        <v>2686</v>
      </c>
      <c r="R25" s="40" t="s">
        <v>393</v>
      </c>
      <c r="S25" s="40" t="s">
        <v>2889</v>
      </c>
      <c r="T25" s="40" t="s">
        <v>393</v>
      </c>
      <c r="U25" s="40" t="s">
        <v>393</v>
      </c>
      <c r="V25" s="40" t="s">
        <v>393</v>
      </c>
      <c r="W25" s="40" t="s">
        <v>2904</v>
      </c>
      <c r="X25" s="40" t="s">
        <v>2905</v>
      </c>
      <c r="Y25" s="40" t="s">
        <v>2709</v>
      </c>
      <c r="Z25" s="40" t="s">
        <v>532</v>
      </c>
      <c r="AA25" s="40" t="s">
        <v>2689</v>
      </c>
      <c r="AB25" s="40" t="s">
        <v>432</v>
      </c>
      <c r="AC25" s="40" t="s">
        <v>2691</v>
      </c>
      <c r="AD25" s="40" t="s">
        <v>598</v>
      </c>
      <c r="AE25" s="40" t="s">
        <v>2734</v>
      </c>
      <c r="AF25" s="40" t="s">
        <v>2906</v>
      </c>
      <c r="AG25" s="40" t="s">
        <v>2693</v>
      </c>
      <c r="AH25" s="40" t="s">
        <v>2805</v>
      </c>
      <c r="AI25" s="40" t="s">
        <v>2805</v>
      </c>
      <c r="AJ25" s="40" t="s">
        <v>2907</v>
      </c>
      <c r="AK25" s="40" t="s">
        <v>2908</v>
      </c>
      <c r="AL25" s="40" t="s">
        <v>2909</v>
      </c>
      <c r="AM25" s="40" t="s">
        <v>2872</v>
      </c>
      <c r="AN25" s="40" t="s">
        <v>2899</v>
      </c>
      <c r="AO25" s="36" t="s">
        <v>2910</v>
      </c>
    </row>
    <row r="26" spans="1:41" ht="82.8" hidden="1">
      <c r="A26" s="40" t="s">
        <v>2677</v>
      </c>
      <c r="B26" s="40" t="s">
        <v>2875</v>
      </c>
      <c r="C26" s="40" t="s">
        <v>623</v>
      </c>
      <c r="D26" s="40" t="s">
        <v>2901</v>
      </c>
      <c r="E26" s="40" t="s">
        <v>468</v>
      </c>
      <c r="F26" s="40" t="s">
        <v>2740</v>
      </c>
      <c r="G26" s="40" t="s">
        <v>15</v>
      </c>
      <c r="H26" s="40" t="s">
        <v>2912</v>
      </c>
      <c r="I26" s="40" t="s">
        <v>2913</v>
      </c>
      <c r="J26" s="40" t="s">
        <v>318</v>
      </c>
      <c r="K26" s="40" t="s">
        <v>318</v>
      </c>
      <c r="L26" s="40" t="s">
        <v>879</v>
      </c>
      <c r="M26" s="40" t="s">
        <v>393</v>
      </c>
      <c r="N26" s="40" t="s">
        <v>2683</v>
      </c>
      <c r="O26" s="40" t="s">
        <v>2770</v>
      </c>
      <c r="P26" s="40" t="s">
        <v>2785</v>
      </c>
      <c r="Q26" s="40" t="s">
        <v>2686</v>
      </c>
      <c r="R26" s="40" t="s">
        <v>393</v>
      </c>
      <c r="S26" s="40" t="s">
        <v>374</v>
      </c>
      <c r="T26" s="40" t="s">
        <v>393</v>
      </c>
      <c r="U26" s="40" t="s">
        <v>393</v>
      </c>
      <c r="V26" s="40" t="s">
        <v>393</v>
      </c>
      <c r="W26" s="40" t="s">
        <v>2914</v>
      </c>
      <c r="X26" s="40" t="s">
        <v>2915</v>
      </c>
      <c r="Y26" s="40" t="s">
        <v>2709</v>
      </c>
      <c r="Z26" s="40" t="s">
        <v>505</v>
      </c>
      <c r="AA26" s="40" t="s">
        <v>393</v>
      </c>
      <c r="AB26" s="40" t="s">
        <v>342</v>
      </c>
      <c r="AC26" s="40" t="s">
        <v>2709</v>
      </c>
      <c r="AD26" s="40" t="s">
        <v>580</v>
      </c>
      <c r="AE26" s="40" t="s">
        <v>758</v>
      </c>
      <c r="AF26" s="40" t="s">
        <v>327</v>
      </c>
      <c r="AG26" s="40" t="s">
        <v>2693</v>
      </c>
      <c r="AH26" s="40" t="s">
        <v>2805</v>
      </c>
      <c r="AI26" s="40" t="s">
        <v>2805</v>
      </c>
      <c r="AJ26" s="40" t="s">
        <v>322</v>
      </c>
      <c r="AK26" s="40" t="s">
        <v>2916</v>
      </c>
      <c r="AL26" s="40" t="s">
        <v>2917</v>
      </c>
      <c r="AM26" s="40" t="s">
        <v>2885</v>
      </c>
      <c r="AN26" s="40" t="s">
        <v>2886</v>
      </c>
      <c r="AO26" s="36" t="s">
        <v>2918</v>
      </c>
    </row>
    <row r="27" spans="1:41" ht="82.8" hidden="1">
      <c r="A27" s="40" t="s">
        <v>2677</v>
      </c>
      <c r="B27" s="40" t="s">
        <v>2875</v>
      </c>
      <c r="C27" s="40" t="s">
        <v>623</v>
      </c>
      <c r="D27" s="40" t="s">
        <v>2901</v>
      </c>
      <c r="E27" s="40" t="s">
        <v>468</v>
      </c>
      <c r="F27" s="40" t="s">
        <v>2740</v>
      </c>
      <c r="G27" s="40" t="s">
        <v>321</v>
      </c>
      <c r="H27" s="40" t="s">
        <v>2919</v>
      </c>
      <c r="I27" s="40" t="s">
        <v>2913</v>
      </c>
      <c r="J27" s="40" t="s">
        <v>318</v>
      </c>
      <c r="K27" s="40" t="s">
        <v>318</v>
      </c>
      <c r="L27" s="40" t="s">
        <v>879</v>
      </c>
      <c r="M27" s="40" t="s">
        <v>393</v>
      </c>
      <c r="N27" s="40" t="s">
        <v>2683</v>
      </c>
      <c r="O27" s="40" t="s">
        <v>2770</v>
      </c>
      <c r="P27" s="40" t="s">
        <v>2785</v>
      </c>
      <c r="Q27" s="40" t="s">
        <v>2686</v>
      </c>
      <c r="R27" s="40" t="s">
        <v>393</v>
      </c>
      <c r="S27" s="40" t="s">
        <v>374</v>
      </c>
      <c r="T27" s="40" t="s">
        <v>393</v>
      </c>
      <c r="U27" s="40" t="s">
        <v>393</v>
      </c>
      <c r="V27" s="40" t="s">
        <v>393</v>
      </c>
      <c r="W27" s="40" t="s">
        <v>2914</v>
      </c>
      <c r="X27" s="40" t="s">
        <v>2915</v>
      </c>
      <c r="Y27" s="40" t="s">
        <v>2709</v>
      </c>
      <c r="Z27" s="40" t="s">
        <v>505</v>
      </c>
      <c r="AA27" s="40" t="s">
        <v>393</v>
      </c>
      <c r="AB27" s="40" t="s">
        <v>342</v>
      </c>
      <c r="AC27" s="40" t="s">
        <v>2709</v>
      </c>
      <c r="AD27" s="40" t="s">
        <v>580</v>
      </c>
      <c r="AE27" s="40" t="s">
        <v>758</v>
      </c>
      <c r="AF27" s="40" t="s">
        <v>327</v>
      </c>
      <c r="AG27" s="40" t="s">
        <v>2693</v>
      </c>
      <c r="AH27" s="40" t="s">
        <v>2805</v>
      </c>
      <c r="AI27" s="40" t="s">
        <v>2805</v>
      </c>
      <c r="AJ27" s="40" t="s">
        <v>322</v>
      </c>
      <c r="AK27" s="40" t="s">
        <v>2916</v>
      </c>
      <c r="AL27" s="40" t="s">
        <v>2917</v>
      </c>
      <c r="AM27" s="40" t="s">
        <v>2885</v>
      </c>
      <c r="AN27" s="40" t="s">
        <v>2886</v>
      </c>
      <c r="AO27" s="36" t="s">
        <v>2918</v>
      </c>
    </row>
    <row r="28" spans="1:41" ht="82.8" hidden="1">
      <c r="A28" s="40" t="s">
        <v>2677</v>
      </c>
      <c r="B28" s="40" t="s">
        <v>2875</v>
      </c>
      <c r="C28" s="40" t="s">
        <v>623</v>
      </c>
      <c r="D28" s="40" t="s">
        <v>2901</v>
      </c>
      <c r="E28" s="40" t="s">
        <v>468</v>
      </c>
      <c r="F28" s="40" t="s">
        <v>2920</v>
      </c>
      <c r="G28" s="40" t="s">
        <v>15</v>
      </c>
      <c r="H28" s="40" t="s">
        <v>2921</v>
      </c>
      <c r="I28" s="40" t="s">
        <v>2922</v>
      </c>
      <c r="J28" s="40" t="s">
        <v>318</v>
      </c>
      <c r="K28" s="40" t="s">
        <v>318</v>
      </c>
      <c r="L28" s="40" t="s">
        <v>879</v>
      </c>
      <c r="M28" s="40" t="s">
        <v>393</v>
      </c>
      <c r="N28" s="40" t="s">
        <v>2683</v>
      </c>
      <c r="O28" s="40" t="s">
        <v>2770</v>
      </c>
      <c r="P28" s="40" t="s">
        <v>2785</v>
      </c>
      <c r="Q28" s="40" t="s">
        <v>2686</v>
      </c>
      <c r="R28" s="40" t="s">
        <v>393</v>
      </c>
      <c r="S28" s="40" t="s">
        <v>532</v>
      </c>
      <c r="T28" s="40" t="s">
        <v>393</v>
      </c>
      <c r="U28" s="40" t="s">
        <v>393</v>
      </c>
      <c r="V28" s="40" t="s">
        <v>393</v>
      </c>
      <c r="W28" s="40" t="s">
        <v>2923</v>
      </c>
      <c r="X28" s="40" t="s">
        <v>2924</v>
      </c>
      <c r="Y28" s="40" t="s">
        <v>2709</v>
      </c>
      <c r="Z28" s="40" t="s">
        <v>505</v>
      </c>
      <c r="AA28" s="40" t="s">
        <v>393</v>
      </c>
      <c r="AB28" s="40" t="s">
        <v>342</v>
      </c>
      <c r="AC28" s="40" t="s">
        <v>2709</v>
      </c>
      <c r="AD28" s="40" t="s">
        <v>580</v>
      </c>
      <c r="AE28" s="40" t="s">
        <v>761</v>
      </c>
      <c r="AF28" s="40" t="s">
        <v>2791</v>
      </c>
      <c r="AG28" s="40" t="s">
        <v>2693</v>
      </c>
      <c r="AH28" s="40" t="s">
        <v>2925</v>
      </c>
      <c r="AI28" s="40" t="s">
        <v>2925</v>
      </c>
      <c r="AJ28" s="40" t="s">
        <v>2926</v>
      </c>
      <c r="AK28" s="40" t="s">
        <v>2927</v>
      </c>
      <c r="AL28" s="40" t="s">
        <v>2928</v>
      </c>
      <c r="AM28" s="40" t="s">
        <v>2885</v>
      </c>
      <c r="AN28" s="40" t="s">
        <v>2886</v>
      </c>
      <c r="AO28" s="36" t="s">
        <v>2929</v>
      </c>
    </row>
    <row r="29" spans="1:41" ht="82.8" hidden="1">
      <c r="A29" s="40" t="s">
        <v>2677</v>
      </c>
      <c r="B29" s="40" t="s">
        <v>2875</v>
      </c>
      <c r="C29" s="40" t="s">
        <v>623</v>
      </c>
      <c r="D29" s="40" t="s">
        <v>2901</v>
      </c>
      <c r="E29" s="40" t="s">
        <v>468</v>
      </c>
      <c r="F29" s="40" t="s">
        <v>2920</v>
      </c>
      <c r="G29" s="40" t="s">
        <v>321</v>
      </c>
      <c r="H29" s="40" t="s">
        <v>2930</v>
      </c>
      <c r="I29" s="40" t="s">
        <v>2922</v>
      </c>
      <c r="J29" s="40" t="s">
        <v>318</v>
      </c>
      <c r="K29" s="40" t="s">
        <v>318</v>
      </c>
      <c r="L29" s="40" t="s">
        <v>879</v>
      </c>
      <c r="M29" s="40" t="s">
        <v>393</v>
      </c>
      <c r="N29" s="40" t="s">
        <v>2683</v>
      </c>
      <c r="O29" s="40" t="s">
        <v>2770</v>
      </c>
      <c r="P29" s="40" t="s">
        <v>2785</v>
      </c>
      <c r="Q29" s="40" t="s">
        <v>2686</v>
      </c>
      <c r="R29" s="40" t="s">
        <v>393</v>
      </c>
      <c r="S29" s="40" t="s">
        <v>532</v>
      </c>
      <c r="T29" s="40" t="s">
        <v>393</v>
      </c>
      <c r="U29" s="40" t="s">
        <v>393</v>
      </c>
      <c r="V29" s="40" t="s">
        <v>393</v>
      </c>
      <c r="W29" s="40" t="s">
        <v>2923</v>
      </c>
      <c r="X29" s="40" t="s">
        <v>2924</v>
      </c>
      <c r="Y29" s="40" t="s">
        <v>2709</v>
      </c>
      <c r="Z29" s="40" t="s">
        <v>505</v>
      </c>
      <c r="AA29" s="40" t="s">
        <v>393</v>
      </c>
      <c r="AB29" s="40" t="s">
        <v>342</v>
      </c>
      <c r="AC29" s="40" t="s">
        <v>2709</v>
      </c>
      <c r="AD29" s="40" t="s">
        <v>580</v>
      </c>
      <c r="AE29" s="40" t="s">
        <v>761</v>
      </c>
      <c r="AF29" s="40" t="s">
        <v>2791</v>
      </c>
      <c r="AG29" s="40" t="s">
        <v>2693</v>
      </c>
      <c r="AH29" s="40" t="s">
        <v>2925</v>
      </c>
      <c r="AI29" s="40" t="s">
        <v>2925</v>
      </c>
      <c r="AJ29" s="40" t="s">
        <v>2926</v>
      </c>
      <c r="AK29" s="40" t="s">
        <v>2927</v>
      </c>
      <c r="AL29" s="40" t="s">
        <v>2928</v>
      </c>
      <c r="AM29" s="40" t="s">
        <v>2885</v>
      </c>
      <c r="AN29" s="40" t="s">
        <v>2886</v>
      </c>
      <c r="AO29" s="36" t="s">
        <v>2929</v>
      </c>
    </row>
    <row r="30" spans="1:41" hidden="1">
      <c r="A30" s="40" t="s">
        <v>2677</v>
      </c>
      <c r="B30" s="40" t="s">
        <v>2875</v>
      </c>
      <c r="C30" s="40" t="s">
        <v>623</v>
      </c>
      <c r="D30" s="40" t="s">
        <v>2931</v>
      </c>
      <c r="E30" s="40" t="s">
        <v>468</v>
      </c>
      <c r="F30" s="40" t="s">
        <v>2680</v>
      </c>
      <c r="G30" s="40" t="s">
        <v>393</v>
      </c>
      <c r="H30" s="40" t="s">
        <v>2932</v>
      </c>
      <c r="I30" s="40" t="s">
        <v>2933</v>
      </c>
      <c r="J30" s="40" t="s">
        <v>318</v>
      </c>
      <c r="K30" s="40" t="s">
        <v>318</v>
      </c>
      <c r="L30" s="40" t="s">
        <v>879</v>
      </c>
      <c r="M30" s="40" t="s">
        <v>393</v>
      </c>
      <c r="N30" s="40" t="s">
        <v>2934</v>
      </c>
      <c r="O30" s="40" t="s">
        <v>2935</v>
      </c>
      <c r="P30" s="40" t="s">
        <v>2685</v>
      </c>
      <c r="Q30" s="40" t="s">
        <v>2686</v>
      </c>
      <c r="R30" s="40" t="s">
        <v>393</v>
      </c>
      <c r="S30" s="40" t="s">
        <v>393</v>
      </c>
      <c r="T30" s="40" t="s">
        <v>393</v>
      </c>
      <c r="U30" s="40" t="s">
        <v>393</v>
      </c>
      <c r="V30" s="40" t="s">
        <v>2936</v>
      </c>
      <c r="W30" s="40" t="s">
        <v>2937</v>
      </c>
      <c r="X30" s="40" t="s">
        <v>2937</v>
      </c>
      <c r="Y30" s="40" t="s">
        <v>2709</v>
      </c>
      <c r="Z30" s="40" t="s">
        <v>505</v>
      </c>
      <c r="AA30" s="40" t="s">
        <v>2938</v>
      </c>
      <c r="AB30" s="40" t="s">
        <v>2939</v>
      </c>
      <c r="AC30" s="40" t="s">
        <v>2709</v>
      </c>
      <c r="AD30" s="40" t="s">
        <v>580</v>
      </c>
      <c r="AE30" s="40" t="s">
        <v>2692</v>
      </c>
      <c r="AF30" s="40" t="s">
        <v>2692</v>
      </c>
      <c r="AG30" s="40" t="s">
        <v>2693</v>
      </c>
      <c r="AH30" s="40" t="s">
        <v>590</v>
      </c>
      <c r="AI30" s="40" t="s">
        <v>339</v>
      </c>
      <c r="AJ30" s="40" t="s">
        <v>2791</v>
      </c>
      <c r="AK30" s="40" t="s">
        <v>393</v>
      </c>
      <c r="AL30" s="40" t="s">
        <v>393</v>
      </c>
      <c r="AM30" s="40" t="s">
        <v>2885</v>
      </c>
      <c r="AN30" s="40" t="s">
        <v>2940</v>
      </c>
      <c r="AO30" s="36" t="s">
        <v>2941</v>
      </c>
    </row>
    <row r="31" spans="1:41" hidden="1">
      <c r="A31" s="40" t="s">
        <v>2677</v>
      </c>
      <c r="B31" s="40" t="s">
        <v>2875</v>
      </c>
      <c r="C31" s="40" t="s">
        <v>623</v>
      </c>
      <c r="D31" s="40" t="s">
        <v>2931</v>
      </c>
      <c r="E31" s="40" t="s">
        <v>468</v>
      </c>
      <c r="F31" s="40" t="s">
        <v>2782</v>
      </c>
      <c r="G31" s="40" t="s">
        <v>393</v>
      </c>
      <c r="H31" s="40" t="s">
        <v>2942</v>
      </c>
      <c r="I31" s="40" t="s">
        <v>2943</v>
      </c>
      <c r="J31" s="40" t="s">
        <v>318</v>
      </c>
      <c r="K31" s="40" t="s">
        <v>318</v>
      </c>
      <c r="L31" s="40" t="s">
        <v>879</v>
      </c>
      <c r="M31" s="40" t="s">
        <v>393</v>
      </c>
      <c r="N31" s="40" t="s">
        <v>2934</v>
      </c>
      <c r="O31" s="40" t="s">
        <v>2935</v>
      </c>
      <c r="P31" s="40" t="s">
        <v>2685</v>
      </c>
      <c r="Q31" s="40" t="s">
        <v>2686</v>
      </c>
      <c r="R31" s="40" t="s">
        <v>393</v>
      </c>
      <c r="S31" s="40" t="s">
        <v>393</v>
      </c>
      <c r="T31" s="40" t="s">
        <v>393</v>
      </c>
      <c r="U31" s="40" t="s">
        <v>393</v>
      </c>
      <c r="V31" s="40" t="s">
        <v>2944</v>
      </c>
      <c r="W31" s="40" t="s">
        <v>2937</v>
      </c>
      <c r="X31" s="40" t="s">
        <v>2937</v>
      </c>
      <c r="Y31" s="40" t="s">
        <v>2709</v>
      </c>
      <c r="Z31" s="40" t="s">
        <v>505</v>
      </c>
      <c r="AA31" s="40" t="s">
        <v>2938</v>
      </c>
      <c r="AB31" s="40" t="s">
        <v>2939</v>
      </c>
      <c r="AC31" s="40" t="s">
        <v>2709</v>
      </c>
      <c r="AD31" s="40" t="s">
        <v>580</v>
      </c>
      <c r="AE31" s="40" t="s">
        <v>2692</v>
      </c>
      <c r="AF31" s="40" t="s">
        <v>2692</v>
      </c>
      <c r="AG31" s="40" t="s">
        <v>2693</v>
      </c>
      <c r="AH31" s="40" t="s">
        <v>360</v>
      </c>
      <c r="AI31" s="40" t="s">
        <v>339</v>
      </c>
      <c r="AJ31" s="40" t="s">
        <v>2791</v>
      </c>
      <c r="AK31" s="40" t="s">
        <v>393</v>
      </c>
      <c r="AL31" s="40" t="s">
        <v>393</v>
      </c>
      <c r="AM31" s="40" t="s">
        <v>2885</v>
      </c>
      <c r="AN31" s="40" t="s">
        <v>2940</v>
      </c>
      <c r="AO31" s="36" t="s">
        <v>2941</v>
      </c>
    </row>
    <row r="32" spans="1:41" hidden="1">
      <c r="A32" s="40" t="s">
        <v>2677</v>
      </c>
      <c r="B32" s="40" t="s">
        <v>2875</v>
      </c>
      <c r="C32" s="40" t="s">
        <v>623</v>
      </c>
      <c r="D32" s="40" t="s">
        <v>2931</v>
      </c>
      <c r="E32" s="40" t="s">
        <v>468</v>
      </c>
      <c r="F32" s="40" t="s">
        <v>2740</v>
      </c>
      <c r="G32" s="40" t="s">
        <v>393</v>
      </c>
      <c r="H32" s="40" t="s">
        <v>2945</v>
      </c>
      <c r="I32" s="40" t="s">
        <v>2946</v>
      </c>
      <c r="J32" s="40" t="s">
        <v>318</v>
      </c>
      <c r="K32" s="40" t="s">
        <v>318</v>
      </c>
      <c r="L32" s="40" t="s">
        <v>879</v>
      </c>
      <c r="M32" s="40" t="s">
        <v>393</v>
      </c>
      <c r="N32" s="40" t="s">
        <v>2934</v>
      </c>
      <c r="O32" s="40" t="s">
        <v>2935</v>
      </c>
      <c r="P32" s="40" t="s">
        <v>2685</v>
      </c>
      <c r="Q32" s="40" t="s">
        <v>2686</v>
      </c>
      <c r="R32" s="40" t="s">
        <v>393</v>
      </c>
      <c r="S32" s="40" t="s">
        <v>393</v>
      </c>
      <c r="T32" s="40" t="s">
        <v>393</v>
      </c>
      <c r="U32" s="40" t="s">
        <v>393</v>
      </c>
      <c r="V32" s="40" t="s">
        <v>2947</v>
      </c>
      <c r="W32" s="40" t="s">
        <v>2937</v>
      </c>
      <c r="X32" s="40" t="s">
        <v>2937</v>
      </c>
      <c r="Y32" s="40" t="s">
        <v>2709</v>
      </c>
      <c r="Z32" s="40" t="s">
        <v>505</v>
      </c>
      <c r="AA32" s="40" t="s">
        <v>2938</v>
      </c>
      <c r="AB32" s="40" t="s">
        <v>2939</v>
      </c>
      <c r="AC32" s="40" t="s">
        <v>2709</v>
      </c>
      <c r="AD32" s="40" t="s">
        <v>580</v>
      </c>
      <c r="AE32" s="40" t="s">
        <v>2692</v>
      </c>
      <c r="AF32" s="40" t="s">
        <v>2692</v>
      </c>
      <c r="AG32" s="40" t="s">
        <v>2693</v>
      </c>
      <c r="AH32" s="40" t="s">
        <v>2948</v>
      </c>
      <c r="AI32" s="40" t="s">
        <v>569</v>
      </c>
      <c r="AJ32" s="40" t="s">
        <v>2791</v>
      </c>
      <c r="AK32" s="40" t="s">
        <v>393</v>
      </c>
      <c r="AL32" s="40" t="s">
        <v>393</v>
      </c>
      <c r="AM32" s="40" t="s">
        <v>2885</v>
      </c>
      <c r="AN32" s="40" t="s">
        <v>2940</v>
      </c>
      <c r="AO32" s="36" t="s">
        <v>2941</v>
      </c>
    </row>
    <row r="33" spans="1:41" ht="41.4" hidden="1">
      <c r="A33" s="40" t="s">
        <v>2677</v>
      </c>
      <c r="B33" s="40" t="s">
        <v>2865</v>
      </c>
      <c r="C33" s="40" t="s">
        <v>623</v>
      </c>
      <c r="D33" s="40" t="s">
        <v>2700</v>
      </c>
      <c r="E33" s="40" t="s">
        <v>468</v>
      </c>
      <c r="F33" s="40" t="s">
        <v>2680</v>
      </c>
      <c r="G33" s="40" t="s">
        <v>393</v>
      </c>
      <c r="H33" s="40" t="s">
        <v>2949</v>
      </c>
      <c r="I33" s="40" t="s">
        <v>2950</v>
      </c>
      <c r="J33" s="40" t="s">
        <v>318</v>
      </c>
      <c r="K33" s="40" t="s">
        <v>318</v>
      </c>
      <c r="L33" s="40" t="s">
        <v>879</v>
      </c>
      <c r="M33" s="40" t="s">
        <v>393</v>
      </c>
      <c r="N33" s="40" t="s">
        <v>2683</v>
      </c>
      <c r="O33" s="40" t="s">
        <v>2704</v>
      </c>
      <c r="P33" s="40" t="s">
        <v>2685</v>
      </c>
      <c r="Q33" s="40" t="s">
        <v>2686</v>
      </c>
      <c r="R33" s="40" t="s">
        <v>393</v>
      </c>
      <c r="S33" s="40" t="s">
        <v>393</v>
      </c>
      <c r="T33" s="40" t="s">
        <v>393</v>
      </c>
      <c r="U33" s="40" t="s">
        <v>393</v>
      </c>
      <c r="V33" s="40" t="s">
        <v>493</v>
      </c>
      <c r="W33" s="40" t="s">
        <v>2689</v>
      </c>
      <c r="X33" s="40" t="s">
        <v>2868</v>
      </c>
      <c r="Y33" s="40" t="s">
        <v>2709</v>
      </c>
      <c r="Z33" s="40" t="s">
        <v>532</v>
      </c>
      <c r="AA33" s="40" t="s">
        <v>2689</v>
      </c>
      <c r="AB33" s="40" t="s">
        <v>342</v>
      </c>
      <c r="AC33" s="40" t="s">
        <v>2691</v>
      </c>
      <c r="AD33" s="40" t="s">
        <v>598</v>
      </c>
      <c r="AE33" s="40" t="s">
        <v>2692</v>
      </c>
      <c r="AF33" s="40" t="s">
        <v>2692</v>
      </c>
      <c r="AG33" s="40" t="s">
        <v>2693</v>
      </c>
      <c r="AH33" s="40" t="s">
        <v>2951</v>
      </c>
      <c r="AI33" s="40" t="s">
        <v>2952</v>
      </c>
      <c r="AJ33" s="40" t="s">
        <v>393</v>
      </c>
      <c r="AK33" s="40" t="s">
        <v>2953</v>
      </c>
      <c r="AL33" s="40" t="s">
        <v>393</v>
      </c>
      <c r="AM33" s="40" t="s">
        <v>2872</v>
      </c>
      <c r="AN33" s="40" t="s">
        <v>2954</v>
      </c>
      <c r="AO33" s="36" t="s">
        <v>2955</v>
      </c>
    </row>
    <row r="34" spans="1:41" hidden="1">
      <c r="A34" s="40" t="s">
        <v>2677</v>
      </c>
      <c r="B34" s="40" t="s">
        <v>2875</v>
      </c>
      <c r="C34" s="40" t="s">
        <v>623</v>
      </c>
      <c r="D34" s="40" t="s">
        <v>2700</v>
      </c>
      <c r="E34" s="40" t="s">
        <v>468</v>
      </c>
      <c r="F34" s="40" t="s">
        <v>2782</v>
      </c>
      <c r="G34" s="40" t="s">
        <v>393</v>
      </c>
      <c r="H34" s="40" t="s">
        <v>2956</v>
      </c>
      <c r="I34" s="40" t="s">
        <v>2957</v>
      </c>
      <c r="J34" s="40" t="s">
        <v>318</v>
      </c>
      <c r="K34" s="40" t="s">
        <v>318</v>
      </c>
      <c r="L34" s="40" t="s">
        <v>879</v>
      </c>
      <c r="M34" s="40" t="s">
        <v>393</v>
      </c>
      <c r="N34" s="40" t="s">
        <v>2683</v>
      </c>
      <c r="O34" s="40" t="s">
        <v>2704</v>
      </c>
      <c r="P34" s="40" t="s">
        <v>2685</v>
      </c>
      <c r="Q34" s="40" t="s">
        <v>2686</v>
      </c>
      <c r="R34" s="40" t="s">
        <v>393</v>
      </c>
      <c r="S34" s="40" t="s">
        <v>393</v>
      </c>
      <c r="T34" s="40" t="s">
        <v>393</v>
      </c>
      <c r="U34" s="40" t="s">
        <v>393</v>
      </c>
      <c r="V34" s="40" t="s">
        <v>359</v>
      </c>
      <c r="W34" s="40" t="s">
        <v>393</v>
      </c>
      <c r="X34" s="40" t="s">
        <v>364</v>
      </c>
      <c r="Y34" s="40" t="s">
        <v>2958</v>
      </c>
      <c r="Z34" s="40" t="s">
        <v>505</v>
      </c>
      <c r="AA34" s="40" t="s">
        <v>2689</v>
      </c>
      <c r="AB34" s="40" t="s">
        <v>2831</v>
      </c>
      <c r="AC34" s="40" t="s">
        <v>2709</v>
      </c>
      <c r="AD34" s="40" t="s">
        <v>580</v>
      </c>
      <c r="AE34" s="40" t="s">
        <v>2692</v>
      </c>
      <c r="AF34" s="40" t="s">
        <v>2692</v>
      </c>
      <c r="AG34" s="40" t="s">
        <v>2693</v>
      </c>
      <c r="AH34" s="40" t="s">
        <v>2959</v>
      </c>
      <c r="AI34" s="40" t="s">
        <v>2893</v>
      </c>
      <c r="AJ34" s="40" t="s">
        <v>393</v>
      </c>
      <c r="AK34" s="40" t="s">
        <v>2960</v>
      </c>
      <c r="AL34" s="40" t="s">
        <v>393</v>
      </c>
      <c r="AM34" s="40" t="s">
        <v>2885</v>
      </c>
      <c r="AN34" s="40" t="s">
        <v>2961</v>
      </c>
      <c r="AO34" s="36" t="s">
        <v>2962</v>
      </c>
    </row>
    <row r="35" spans="1:41" ht="82.8" hidden="1">
      <c r="A35" s="40" t="s">
        <v>2677</v>
      </c>
      <c r="B35" s="40" t="s">
        <v>2766</v>
      </c>
      <c r="C35" s="40" t="s">
        <v>623</v>
      </c>
      <c r="D35" s="40" t="s">
        <v>2963</v>
      </c>
      <c r="E35" s="40" t="s">
        <v>476</v>
      </c>
      <c r="F35" s="40" t="s">
        <v>2701</v>
      </c>
      <c r="G35" s="40" t="s">
        <v>393</v>
      </c>
      <c r="H35" s="40" t="s">
        <v>2964</v>
      </c>
      <c r="I35" s="120" t="s">
        <v>2965</v>
      </c>
      <c r="J35" s="40" t="s">
        <v>318</v>
      </c>
      <c r="K35" s="40" t="s">
        <v>318</v>
      </c>
      <c r="L35" s="40" t="s">
        <v>879</v>
      </c>
      <c r="M35" s="40" t="s">
        <v>393</v>
      </c>
      <c r="N35" s="40" t="s">
        <v>2683</v>
      </c>
      <c r="O35" s="40" t="s">
        <v>2966</v>
      </c>
      <c r="P35" s="40" t="s">
        <v>2685</v>
      </c>
      <c r="Q35" s="40" t="s">
        <v>2686</v>
      </c>
      <c r="R35" s="40" t="s">
        <v>2967</v>
      </c>
      <c r="S35" s="40" t="s">
        <v>2968</v>
      </c>
      <c r="T35" s="40" t="s">
        <v>2969</v>
      </c>
      <c r="U35" s="40" t="s">
        <v>2970</v>
      </c>
      <c r="V35" s="40" t="s">
        <v>2971</v>
      </c>
      <c r="W35" s="40" t="s">
        <v>2776</v>
      </c>
      <c r="X35" s="40" t="s">
        <v>2972</v>
      </c>
      <c r="Y35" s="40" t="s">
        <v>2973</v>
      </c>
      <c r="Z35" s="40" t="s">
        <v>2974</v>
      </c>
      <c r="AA35" s="40" t="s">
        <v>2689</v>
      </c>
      <c r="AB35" s="40" t="s">
        <v>490</v>
      </c>
      <c r="AC35" s="40" t="s">
        <v>2691</v>
      </c>
      <c r="AD35" s="40" t="s">
        <v>2975</v>
      </c>
      <c r="AE35" s="40" t="s">
        <v>2976</v>
      </c>
      <c r="AF35" s="54" t="s">
        <v>2977</v>
      </c>
      <c r="AG35" s="40" t="s">
        <v>2693</v>
      </c>
      <c r="AH35" s="40" t="s">
        <v>2776</v>
      </c>
      <c r="AI35" s="40" t="s">
        <v>2894</v>
      </c>
      <c r="AJ35" s="40" t="s">
        <v>2978</v>
      </c>
      <c r="AK35" s="40" t="s">
        <v>2979</v>
      </c>
      <c r="AL35" s="40" t="s">
        <v>2980</v>
      </c>
      <c r="AM35" s="40" t="s">
        <v>2981</v>
      </c>
      <c r="AN35" s="40" t="s">
        <v>2982</v>
      </c>
      <c r="AO35" s="36" t="s">
        <v>2983</v>
      </c>
    </row>
    <row r="36" spans="1:41" ht="96.6" hidden="1">
      <c r="A36" s="40" t="s">
        <v>2677</v>
      </c>
      <c r="B36" s="40" t="s">
        <v>2766</v>
      </c>
      <c r="C36" s="40" t="s">
        <v>623</v>
      </c>
      <c r="D36" s="40" t="s">
        <v>2963</v>
      </c>
      <c r="E36" s="40" t="s">
        <v>476</v>
      </c>
      <c r="F36" s="40" t="s">
        <v>2984</v>
      </c>
      <c r="G36" s="40" t="s">
        <v>393</v>
      </c>
      <c r="H36" s="40" t="s">
        <v>2985</v>
      </c>
      <c r="I36" s="40" t="s">
        <v>2986</v>
      </c>
      <c r="J36" s="40" t="s">
        <v>318</v>
      </c>
      <c r="K36" s="40" t="s">
        <v>318</v>
      </c>
      <c r="L36" s="40" t="s">
        <v>879</v>
      </c>
      <c r="M36" s="40" t="s">
        <v>393</v>
      </c>
      <c r="N36" s="40" t="s">
        <v>2683</v>
      </c>
      <c r="O36" s="40" t="s">
        <v>2966</v>
      </c>
      <c r="P36" s="40" t="s">
        <v>2685</v>
      </c>
      <c r="Q36" s="40" t="s">
        <v>2706</v>
      </c>
      <c r="R36" s="40" t="s">
        <v>2987</v>
      </c>
      <c r="S36" s="40" t="s">
        <v>2988</v>
      </c>
      <c r="T36" s="40" t="s">
        <v>2989</v>
      </c>
      <c r="U36" s="40" t="s">
        <v>2990</v>
      </c>
      <c r="V36" s="40" t="s">
        <v>1920</v>
      </c>
      <c r="W36" s="40" t="s">
        <v>2991</v>
      </c>
      <c r="X36" s="40" t="s">
        <v>471</v>
      </c>
      <c r="Y36" s="40" t="s">
        <v>2973</v>
      </c>
      <c r="Z36" s="40" t="s">
        <v>2992</v>
      </c>
      <c r="AA36" s="40" t="s">
        <v>2689</v>
      </c>
      <c r="AB36" s="40" t="s">
        <v>536</v>
      </c>
      <c r="AC36" s="40" t="s">
        <v>2691</v>
      </c>
      <c r="AD36" s="40" t="s">
        <v>2993</v>
      </c>
      <c r="AE36" s="40" t="s">
        <v>2994</v>
      </c>
      <c r="AF36" s="54" t="s">
        <v>2977</v>
      </c>
      <c r="AG36" s="40" t="s">
        <v>2693</v>
      </c>
      <c r="AH36" s="40" t="s">
        <v>2776</v>
      </c>
      <c r="AI36" s="40" t="s">
        <v>2952</v>
      </c>
      <c r="AJ36" s="40" t="s">
        <v>2978</v>
      </c>
      <c r="AK36" s="40" t="s">
        <v>2995</v>
      </c>
      <c r="AL36" s="40" t="s">
        <v>2996</v>
      </c>
      <c r="AM36" s="40" t="s">
        <v>2981</v>
      </c>
      <c r="AN36" s="40" t="s">
        <v>2982</v>
      </c>
      <c r="AO36" s="36" t="s">
        <v>2997</v>
      </c>
    </row>
    <row r="37" spans="1:41" ht="110.4" hidden="1">
      <c r="A37" s="40" t="s">
        <v>2677</v>
      </c>
      <c r="B37" s="40" t="s">
        <v>2850</v>
      </c>
      <c r="C37" s="40" t="s">
        <v>623</v>
      </c>
      <c r="D37" s="40" t="s">
        <v>2963</v>
      </c>
      <c r="E37" s="40" t="s">
        <v>476</v>
      </c>
      <c r="F37" s="40" t="s">
        <v>2998</v>
      </c>
      <c r="G37" s="40" t="s">
        <v>393</v>
      </c>
      <c r="H37" s="40" t="s">
        <v>2999</v>
      </c>
      <c r="I37" s="40" t="s">
        <v>3000</v>
      </c>
      <c r="J37" s="40" t="s">
        <v>318</v>
      </c>
      <c r="K37" s="40" t="s">
        <v>318</v>
      </c>
      <c r="L37" s="40" t="s">
        <v>879</v>
      </c>
      <c r="M37" s="40" t="s">
        <v>393</v>
      </c>
      <c r="N37" s="40" t="s">
        <v>2683</v>
      </c>
      <c r="O37" s="40" t="s">
        <v>2966</v>
      </c>
      <c r="P37" s="40" t="s">
        <v>2705</v>
      </c>
      <c r="Q37" s="40" t="s">
        <v>2706</v>
      </c>
      <c r="R37" s="40" t="s">
        <v>3001</v>
      </c>
      <c r="S37" s="40" t="s">
        <v>3002</v>
      </c>
      <c r="T37" s="40" t="s">
        <v>3003</v>
      </c>
      <c r="U37" s="40" t="s">
        <v>3004</v>
      </c>
      <c r="V37" s="40" t="s">
        <v>3005</v>
      </c>
      <c r="W37" s="40" t="s">
        <v>3006</v>
      </c>
      <c r="X37" s="40" t="s">
        <v>3007</v>
      </c>
      <c r="Y37" s="40" t="s">
        <v>3008</v>
      </c>
      <c r="Z37" s="40" t="s">
        <v>3009</v>
      </c>
      <c r="AA37" s="40" t="s">
        <v>2689</v>
      </c>
      <c r="AB37" s="40" t="s">
        <v>2131</v>
      </c>
      <c r="AC37" s="40" t="s">
        <v>2691</v>
      </c>
      <c r="AD37" s="40" t="s">
        <v>3010</v>
      </c>
      <c r="AE37" s="40" t="s">
        <v>3011</v>
      </c>
      <c r="AF37" s="55" t="s">
        <v>3012</v>
      </c>
      <c r="AG37" s="40" t="s">
        <v>2693</v>
      </c>
      <c r="AH37" s="40" t="s">
        <v>3013</v>
      </c>
      <c r="AI37" s="40" t="s">
        <v>3014</v>
      </c>
      <c r="AJ37" s="40" t="s">
        <v>3015</v>
      </c>
      <c r="AK37" s="40" t="s">
        <v>3016</v>
      </c>
      <c r="AL37" s="40" t="s">
        <v>3017</v>
      </c>
      <c r="AM37" s="40" t="s">
        <v>3018</v>
      </c>
      <c r="AN37" s="40" t="s">
        <v>3019</v>
      </c>
      <c r="AO37" s="36" t="s">
        <v>3020</v>
      </c>
    </row>
    <row r="38" spans="1:41" hidden="1">
      <c r="A38" s="40" t="s">
        <v>2677</v>
      </c>
      <c r="B38" s="40" t="s">
        <v>2766</v>
      </c>
      <c r="C38" s="40" t="s">
        <v>623</v>
      </c>
      <c r="D38" s="40" t="s">
        <v>2963</v>
      </c>
      <c r="E38" s="40" t="s">
        <v>476</v>
      </c>
      <c r="F38" s="40" t="s">
        <v>2715</v>
      </c>
      <c r="G38" s="40" t="s">
        <v>393</v>
      </c>
      <c r="H38" s="40" t="s">
        <v>3021</v>
      </c>
      <c r="I38" s="40" t="s">
        <v>2965</v>
      </c>
      <c r="J38" s="40" t="s">
        <v>318</v>
      </c>
      <c r="K38" s="40" t="s">
        <v>318</v>
      </c>
      <c r="L38" s="40" t="s">
        <v>879</v>
      </c>
      <c r="M38" s="40" t="s">
        <v>393</v>
      </c>
      <c r="N38" s="40" t="s">
        <v>2683</v>
      </c>
      <c r="O38" s="40" t="s">
        <v>2966</v>
      </c>
      <c r="P38" s="40" t="s">
        <v>2685</v>
      </c>
      <c r="Q38" s="40" t="s">
        <v>2686</v>
      </c>
      <c r="R38" s="40" t="s">
        <v>2967</v>
      </c>
      <c r="S38" s="40" t="s">
        <v>2968</v>
      </c>
      <c r="T38" s="40" t="s">
        <v>2969</v>
      </c>
      <c r="U38" s="40" t="s">
        <v>2970</v>
      </c>
      <c r="V38" s="40" t="s">
        <v>2971</v>
      </c>
      <c r="W38" s="40" t="s">
        <v>2776</v>
      </c>
      <c r="X38" s="40" t="s">
        <v>2972</v>
      </c>
      <c r="Y38" s="40" t="s">
        <v>2973</v>
      </c>
      <c r="Z38" s="40" t="s">
        <v>2974</v>
      </c>
      <c r="AA38" s="40" t="s">
        <v>2689</v>
      </c>
      <c r="AB38" s="40" t="s">
        <v>490</v>
      </c>
      <c r="AC38" s="40" t="s">
        <v>2691</v>
      </c>
      <c r="AD38" s="40" t="s">
        <v>2975</v>
      </c>
      <c r="AE38" s="40" t="s">
        <v>2976</v>
      </c>
      <c r="AF38" s="40" t="s">
        <v>2977</v>
      </c>
      <c r="AG38" s="40" t="s">
        <v>2693</v>
      </c>
      <c r="AH38" s="40" t="s">
        <v>2776</v>
      </c>
      <c r="AI38" s="40" t="s">
        <v>2894</v>
      </c>
      <c r="AJ38" s="40" t="s">
        <v>2978</v>
      </c>
      <c r="AK38" s="40" t="s">
        <v>2979</v>
      </c>
      <c r="AL38" s="40" t="s">
        <v>2980</v>
      </c>
      <c r="AM38" s="40" t="s">
        <v>2981</v>
      </c>
      <c r="AN38" s="40" t="s">
        <v>2982</v>
      </c>
      <c r="AO38" s="36" t="s">
        <v>3022</v>
      </c>
    </row>
    <row r="39" spans="1:41" hidden="1">
      <c r="A39" s="40" t="s">
        <v>2677</v>
      </c>
      <c r="B39" s="40" t="s">
        <v>2766</v>
      </c>
      <c r="C39" s="40" t="s">
        <v>623</v>
      </c>
      <c r="D39" s="40" t="s">
        <v>2963</v>
      </c>
      <c r="E39" s="40" t="s">
        <v>476</v>
      </c>
      <c r="F39" s="40" t="s">
        <v>3023</v>
      </c>
      <c r="G39" s="40" t="s">
        <v>393</v>
      </c>
      <c r="H39" s="40" t="s">
        <v>3024</v>
      </c>
      <c r="I39" s="40" t="s">
        <v>2986</v>
      </c>
      <c r="J39" s="40" t="s">
        <v>318</v>
      </c>
      <c r="K39" s="40" t="s">
        <v>318</v>
      </c>
      <c r="L39" s="40" t="s">
        <v>879</v>
      </c>
      <c r="M39" s="40" t="s">
        <v>393</v>
      </c>
      <c r="N39" s="40" t="s">
        <v>2683</v>
      </c>
      <c r="O39" s="40" t="s">
        <v>2966</v>
      </c>
      <c r="P39" s="40" t="s">
        <v>2685</v>
      </c>
      <c r="Q39" s="40" t="s">
        <v>2706</v>
      </c>
      <c r="R39" s="40" t="s">
        <v>2987</v>
      </c>
      <c r="S39" s="40" t="s">
        <v>2988</v>
      </c>
      <c r="T39" s="40" t="s">
        <v>2989</v>
      </c>
      <c r="U39" s="40" t="s">
        <v>2990</v>
      </c>
      <c r="V39" s="40" t="s">
        <v>1920</v>
      </c>
      <c r="W39" s="40" t="s">
        <v>2991</v>
      </c>
      <c r="X39" s="40" t="s">
        <v>471</v>
      </c>
      <c r="Y39" s="40" t="s">
        <v>2973</v>
      </c>
      <c r="Z39" s="40" t="s">
        <v>2992</v>
      </c>
      <c r="AA39" s="40" t="s">
        <v>2689</v>
      </c>
      <c r="AB39" s="40" t="s">
        <v>536</v>
      </c>
      <c r="AC39" s="40" t="s">
        <v>2691</v>
      </c>
      <c r="AD39" s="40" t="s">
        <v>2993</v>
      </c>
      <c r="AE39" s="40" t="s">
        <v>2994</v>
      </c>
      <c r="AF39" s="40" t="s">
        <v>2977</v>
      </c>
      <c r="AG39" s="40" t="s">
        <v>2693</v>
      </c>
      <c r="AH39" s="40" t="s">
        <v>2776</v>
      </c>
      <c r="AI39" s="40" t="s">
        <v>2952</v>
      </c>
      <c r="AJ39" s="40" t="s">
        <v>2978</v>
      </c>
      <c r="AK39" s="40" t="s">
        <v>2995</v>
      </c>
      <c r="AL39" s="40" t="s">
        <v>2996</v>
      </c>
      <c r="AM39" s="40" t="s">
        <v>2981</v>
      </c>
      <c r="AN39" s="40" t="s">
        <v>2982</v>
      </c>
      <c r="AO39" s="36" t="s">
        <v>3022</v>
      </c>
    </row>
    <row r="40" spans="1:41" hidden="1">
      <c r="A40" s="40" t="s">
        <v>2677</v>
      </c>
      <c r="B40" s="40" t="s">
        <v>2850</v>
      </c>
      <c r="C40" s="40" t="s">
        <v>623</v>
      </c>
      <c r="D40" s="40" t="s">
        <v>2963</v>
      </c>
      <c r="E40" s="40" t="s">
        <v>476</v>
      </c>
      <c r="F40" s="40" t="s">
        <v>3025</v>
      </c>
      <c r="G40" s="40" t="s">
        <v>393</v>
      </c>
      <c r="H40" s="40" t="s">
        <v>3026</v>
      </c>
      <c r="I40" s="40" t="s">
        <v>3000</v>
      </c>
      <c r="J40" s="40" t="s">
        <v>318</v>
      </c>
      <c r="K40" s="40" t="s">
        <v>318</v>
      </c>
      <c r="L40" s="40" t="s">
        <v>879</v>
      </c>
      <c r="M40" s="40" t="s">
        <v>393</v>
      </c>
      <c r="N40" s="40" t="s">
        <v>2683</v>
      </c>
      <c r="O40" s="40" t="s">
        <v>2966</v>
      </c>
      <c r="P40" s="40" t="s">
        <v>2705</v>
      </c>
      <c r="Q40" s="40" t="s">
        <v>2706</v>
      </c>
      <c r="R40" s="40" t="s">
        <v>3001</v>
      </c>
      <c r="S40" s="40" t="s">
        <v>3002</v>
      </c>
      <c r="T40" s="40" t="s">
        <v>3003</v>
      </c>
      <c r="U40" s="40" t="s">
        <v>3004</v>
      </c>
      <c r="V40" s="40" t="s">
        <v>3005</v>
      </c>
      <c r="W40" s="40" t="s">
        <v>3006</v>
      </c>
      <c r="X40" s="40" t="s">
        <v>3007</v>
      </c>
      <c r="Y40" s="40" t="s">
        <v>3008</v>
      </c>
      <c r="Z40" s="40" t="s">
        <v>3009</v>
      </c>
      <c r="AA40" s="40" t="s">
        <v>2689</v>
      </c>
      <c r="AB40" s="40" t="s">
        <v>2131</v>
      </c>
      <c r="AC40" s="40" t="s">
        <v>2691</v>
      </c>
      <c r="AD40" s="40" t="s">
        <v>3010</v>
      </c>
      <c r="AE40" s="40" t="s">
        <v>3011</v>
      </c>
      <c r="AF40" s="55" t="s">
        <v>3012</v>
      </c>
      <c r="AG40" s="40" t="s">
        <v>2693</v>
      </c>
      <c r="AH40" s="40" t="s">
        <v>3013</v>
      </c>
      <c r="AI40" s="40" t="s">
        <v>3014</v>
      </c>
      <c r="AJ40" s="40" t="s">
        <v>3015</v>
      </c>
      <c r="AK40" s="40" t="s">
        <v>3016</v>
      </c>
      <c r="AL40" s="40" t="s">
        <v>3017</v>
      </c>
      <c r="AM40" s="40" t="s">
        <v>3018</v>
      </c>
      <c r="AN40" s="40" t="s">
        <v>3027</v>
      </c>
      <c r="AO40" s="36" t="s">
        <v>3022</v>
      </c>
    </row>
    <row r="41" spans="1:41" ht="193.2" hidden="1">
      <c r="A41" s="40" t="s">
        <v>2677</v>
      </c>
      <c r="B41" s="40" t="s">
        <v>2766</v>
      </c>
      <c r="C41" s="40" t="s">
        <v>623</v>
      </c>
      <c r="D41" s="40" t="s">
        <v>3028</v>
      </c>
      <c r="E41" s="40" t="s">
        <v>476</v>
      </c>
      <c r="F41" s="40" t="s">
        <v>2701</v>
      </c>
      <c r="G41" s="40" t="s">
        <v>393</v>
      </c>
      <c r="H41" s="40" t="s">
        <v>3029</v>
      </c>
      <c r="I41" s="40" t="s">
        <v>3030</v>
      </c>
      <c r="J41" s="40" t="s">
        <v>318</v>
      </c>
      <c r="K41" s="40" t="s">
        <v>318</v>
      </c>
      <c r="L41" s="40" t="s">
        <v>879</v>
      </c>
      <c r="M41" s="40" t="s">
        <v>393</v>
      </c>
      <c r="N41" s="40" t="s">
        <v>2683</v>
      </c>
      <c r="O41" s="40" t="s">
        <v>3031</v>
      </c>
      <c r="P41" s="40" t="s">
        <v>2785</v>
      </c>
      <c r="Q41" s="40" t="s">
        <v>2706</v>
      </c>
      <c r="R41" s="40" t="s">
        <v>3032</v>
      </c>
      <c r="S41" s="40" t="s">
        <v>3033</v>
      </c>
      <c r="T41" s="40" t="s">
        <v>2969</v>
      </c>
      <c r="U41" s="40" t="s">
        <v>2970</v>
      </c>
      <c r="V41" s="40" t="s">
        <v>393</v>
      </c>
      <c r="W41" s="40" t="s">
        <v>3034</v>
      </c>
      <c r="X41" s="40" t="s">
        <v>3035</v>
      </c>
      <c r="Y41" s="40" t="s">
        <v>3036</v>
      </c>
      <c r="Z41" s="40" t="s">
        <v>3037</v>
      </c>
      <c r="AA41" s="40" t="s">
        <v>2689</v>
      </c>
      <c r="AB41" s="40" t="s">
        <v>490</v>
      </c>
      <c r="AC41" s="40" t="s">
        <v>2691</v>
      </c>
      <c r="AD41" s="40" t="s">
        <v>2975</v>
      </c>
      <c r="AE41" s="40" t="s">
        <v>3038</v>
      </c>
      <c r="AF41" s="40" t="s">
        <v>2807</v>
      </c>
      <c r="AG41" s="40" t="s">
        <v>2693</v>
      </c>
      <c r="AH41" s="40" t="s">
        <v>3039</v>
      </c>
      <c r="AI41" s="40" t="s">
        <v>2959</v>
      </c>
      <c r="AJ41" s="40" t="s">
        <v>3040</v>
      </c>
      <c r="AK41" s="40" t="s">
        <v>3041</v>
      </c>
      <c r="AL41" s="40" t="s">
        <v>3042</v>
      </c>
      <c r="AM41" s="40" t="s">
        <v>2981</v>
      </c>
      <c r="AN41" s="40" t="s">
        <v>3043</v>
      </c>
      <c r="AO41" s="36" t="s">
        <v>3044</v>
      </c>
    </row>
    <row r="42" spans="1:41" hidden="1">
      <c r="A42" s="40" t="s">
        <v>2677</v>
      </c>
      <c r="B42" s="40" t="s">
        <v>2766</v>
      </c>
      <c r="C42" s="40" t="s">
        <v>623</v>
      </c>
      <c r="D42" s="40" t="s">
        <v>3028</v>
      </c>
      <c r="E42" s="40" t="s">
        <v>476</v>
      </c>
      <c r="F42" s="40" t="s">
        <v>2984</v>
      </c>
      <c r="G42" s="40" t="s">
        <v>393</v>
      </c>
      <c r="H42" s="40" t="s">
        <v>3045</v>
      </c>
      <c r="I42" s="40" t="s">
        <v>3046</v>
      </c>
      <c r="J42" s="40" t="s">
        <v>318</v>
      </c>
      <c r="K42" s="40" t="s">
        <v>318</v>
      </c>
      <c r="L42" s="40" t="s">
        <v>879</v>
      </c>
      <c r="M42" s="40" t="s">
        <v>393</v>
      </c>
      <c r="N42" s="40" t="s">
        <v>2683</v>
      </c>
      <c r="O42" s="40" t="s">
        <v>3031</v>
      </c>
      <c r="P42" s="40" t="s">
        <v>2785</v>
      </c>
      <c r="Q42" s="40" t="s">
        <v>2706</v>
      </c>
      <c r="R42" s="40" t="s">
        <v>3047</v>
      </c>
      <c r="S42" s="40" t="s">
        <v>3048</v>
      </c>
      <c r="T42" s="40" t="s">
        <v>3049</v>
      </c>
      <c r="U42" s="40" t="s">
        <v>3050</v>
      </c>
      <c r="V42" s="40" t="s">
        <v>393</v>
      </c>
      <c r="W42" s="40" t="s">
        <v>3051</v>
      </c>
      <c r="X42" s="40" t="s">
        <v>3052</v>
      </c>
      <c r="Y42" s="40" t="s">
        <v>3053</v>
      </c>
      <c r="Z42" s="40" t="s">
        <v>3054</v>
      </c>
      <c r="AA42" s="40" t="s">
        <v>2689</v>
      </c>
      <c r="AB42" s="40" t="s">
        <v>598</v>
      </c>
      <c r="AC42" s="40" t="s">
        <v>2691</v>
      </c>
      <c r="AD42" s="40" t="s">
        <v>2182</v>
      </c>
      <c r="AE42" s="40" t="s">
        <v>3055</v>
      </c>
      <c r="AF42" s="40" t="s">
        <v>3055</v>
      </c>
      <c r="AG42" s="40" t="s">
        <v>2693</v>
      </c>
      <c r="AH42" s="40" t="s">
        <v>3055</v>
      </c>
      <c r="AI42" s="40" t="s">
        <v>3055</v>
      </c>
      <c r="AJ42" s="40" t="s">
        <v>3055</v>
      </c>
      <c r="AK42" s="40" t="s">
        <v>3055</v>
      </c>
      <c r="AL42" s="40" t="s">
        <v>3055</v>
      </c>
      <c r="AM42" s="40" t="s">
        <v>2981</v>
      </c>
      <c r="AN42" s="40" t="s">
        <v>3043</v>
      </c>
      <c r="AO42" s="36" t="s">
        <v>3056</v>
      </c>
    </row>
    <row r="43" spans="1:41" ht="331.2" hidden="1">
      <c r="A43" s="40" t="s">
        <v>2677</v>
      </c>
      <c r="B43" s="40" t="s">
        <v>2850</v>
      </c>
      <c r="C43" s="40" t="s">
        <v>623</v>
      </c>
      <c r="D43" s="40" t="s">
        <v>3028</v>
      </c>
      <c r="E43" s="40" t="s">
        <v>476</v>
      </c>
      <c r="F43" s="40" t="s">
        <v>3057</v>
      </c>
      <c r="G43" s="40" t="s">
        <v>393</v>
      </c>
      <c r="H43" s="40" t="s">
        <v>3058</v>
      </c>
      <c r="I43" s="40" t="s">
        <v>3059</v>
      </c>
      <c r="J43" s="40" t="s">
        <v>318</v>
      </c>
      <c r="K43" s="40" t="s">
        <v>318</v>
      </c>
      <c r="L43" s="40" t="s">
        <v>879</v>
      </c>
      <c r="M43" s="40" t="s">
        <v>393</v>
      </c>
      <c r="N43" s="40" t="s">
        <v>2683</v>
      </c>
      <c r="O43" s="40" t="s">
        <v>3060</v>
      </c>
      <c r="P43" s="40" t="s">
        <v>2705</v>
      </c>
      <c r="Q43" s="40" t="s">
        <v>2706</v>
      </c>
      <c r="R43" s="40" t="s">
        <v>3061</v>
      </c>
      <c r="S43" s="40" t="s">
        <v>3062</v>
      </c>
      <c r="T43" s="40" t="s">
        <v>3063</v>
      </c>
      <c r="U43" s="40" t="s">
        <v>3064</v>
      </c>
      <c r="V43" s="40" t="s">
        <v>393</v>
      </c>
      <c r="W43" s="40" t="s">
        <v>3065</v>
      </c>
      <c r="X43" s="40" t="s">
        <v>3066</v>
      </c>
      <c r="Y43" s="40" t="s">
        <v>3067</v>
      </c>
      <c r="Z43" s="40" t="s">
        <v>3068</v>
      </c>
      <c r="AA43" s="40" t="s">
        <v>2689</v>
      </c>
      <c r="AB43" s="40" t="s">
        <v>2131</v>
      </c>
      <c r="AC43" s="40" t="s">
        <v>2691</v>
      </c>
      <c r="AD43" s="40" t="s">
        <v>3010</v>
      </c>
      <c r="AE43" s="40" t="s">
        <v>3069</v>
      </c>
      <c r="AF43" s="40" t="s">
        <v>3070</v>
      </c>
      <c r="AG43" s="40" t="s">
        <v>2693</v>
      </c>
      <c r="AH43" s="40" t="s">
        <v>3071</v>
      </c>
      <c r="AI43" s="40" t="s">
        <v>3072</v>
      </c>
      <c r="AJ43" s="40" t="s">
        <v>3073</v>
      </c>
      <c r="AK43" s="40" t="s">
        <v>3074</v>
      </c>
      <c r="AL43" s="40" t="s">
        <v>393</v>
      </c>
      <c r="AM43" s="40" t="s">
        <v>3018</v>
      </c>
      <c r="AN43" s="40" t="s">
        <v>3075</v>
      </c>
      <c r="AO43" s="36" t="s">
        <v>3076</v>
      </c>
    </row>
    <row r="44" spans="1:41" ht="193.2" hidden="1">
      <c r="A44" s="40" t="s">
        <v>2677</v>
      </c>
      <c r="B44" s="40" t="s">
        <v>2766</v>
      </c>
      <c r="C44" s="40" t="s">
        <v>623</v>
      </c>
      <c r="D44" s="40" t="s">
        <v>3028</v>
      </c>
      <c r="E44" s="40" t="s">
        <v>476</v>
      </c>
      <c r="F44" s="40" t="s">
        <v>2715</v>
      </c>
      <c r="G44" s="40" t="s">
        <v>393</v>
      </c>
      <c r="H44" s="40" t="s">
        <v>3077</v>
      </c>
      <c r="I44" s="40" t="s">
        <v>3030</v>
      </c>
      <c r="J44" s="40" t="s">
        <v>318</v>
      </c>
      <c r="K44" s="40" t="s">
        <v>318</v>
      </c>
      <c r="L44" s="40" t="s">
        <v>879</v>
      </c>
      <c r="M44" s="40" t="s">
        <v>393</v>
      </c>
      <c r="N44" s="40" t="s">
        <v>2683</v>
      </c>
      <c r="O44" s="40" t="s">
        <v>3031</v>
      </c>
      <c r="P44" s="40" t="s">
        <v>2785</v>
      </c>
      <c r="Q44" s="40" t="s">
        <v>2706</v>
      </c>
      <c r="R44" s="40" t="s">
        <v>3032</v>
      </c>
      <c r="S44" s="40" t="s">
        <v>3033</v>
      </c>
      <c r="T44" s="40" t="s">
        <v>2969</v>
      </c>
      <c r="U44" s="40" t="s">
        <v>2970</v>
      </c>
      <c r="V44" s="40" t="s">
        <v>393</v>
      </c>
      <c r="W44" s="40" t="s">
        <v>3034</v>
      </c>
      <c r="X44" s="40" t="s">
        <v>3035</v>
      </c>
      <c r="Y44" s="40" t="s">
        <v>3036</v>
      </c>
      <c r="Z44" s="40" t="s">
        <v>3037</v>
      </c>
      <c r="AA44" s="40" t="s">
        <v>2689</v>
      </c>
      <c r="AB44" s="40" t="s">
        <v>490</v>
      </c>
      <c r="AC44" s="40" t="s">
        <v>2691</v>
      </c>
      <c r="AD44" s="40" t="s">
        <v>2975</v>
      </c>
      <c r="AE44" s="40" t="s">
        <v>3038</v>
      </c>
      <c r="AF44" s="40" t="s">
        <v>2807</v>
      </c>
      <c r="AG44" s="40" t="s">
        <v>2693</v>
      </c>
      <c r="AH44" s="40" t="s">
        <v>3039</v>
      </c>
      <c r="AI44" s="40" t="s">
        <v>2959</v>
      </c>
      <c r="AJ44" s="40" t="s">
        <v>3040</v>
      </c>
      <c r="AK44" s="40" t="s">
        <v>3041</v>
      </c>
      <c r="AL44" s="40" t="s">
        <v>3042</v>
      </c>
      <c r="AM44" s="40" t="s">
        <v>2981</v>
      </c>
      <c r="AN44" s="40" t="s">
        <v>3043</v>
      </c>
      <c r="AO44" s="36" t="s">
        <v>3044</v>
      </c>
    </row>
    <row r="45" spans="1:41" hidden="1">
      <c r="A45" s="40" t="s">
        <v>2677</v>
      </c>
      <c r="B45" s="40" t="s">
        <v>2766</v>
      </c>
      <c r="C45" s="40" t="s">
        <v>623</v>
      </c>
      <c r="D45" s="40" t="s">
        <v>3028</v>
      </c>
      <c r="E45" s="40" t="s">
        <v>476</v>
      </c>
      <c r="F45" s="40" t="s">
        <v>3023</v>
      </c>
      <c r="G45" s="40" t="s">
        <v>393</v>
      </c>
      <c r="H45" s="40" t="s">
        <v>3078</v>
      </c>
      <c r="I45" s="40" t="s">
        <v>3046</v>
      </c>
      <c r="J45" s="40" t="s">
        <v>318</v>
      </c>
      <c r="K45" s="40" t="s">
        <v>318</v>
      </c>
      <c r="L45" s="40" t="s">
        <v>879</v>
      </c>
      <c r="M45" s="40" t="s">
        <v>393</v>
      </c>
      <c r="N45" s="40" t="s">
        <v>2683</v>
      </c>
      <c r="O45" s="40" t="s">
        <v>3031</v>
      </c>
      <c r="P45" s="40" t="s">
        <v>2785</v>
      </c>
      <c r="Q45" s="40" t="s">
        <v>2706</v>
      </c>
      <c r="R45" s="40" t="s">
        <v>3047</v>
      </c>
      <c r="S45" s="40" t="s">
        <v>3048</v>
      </c>
      <c r="T45" s="40" t="s">
        <v>3049</v>
      </c>
      <c r="U45" s="40" t="s">
        <v>3050</v>
      </c>
      <c r="V45" s="40" t="s">
        <v>393</v>
      </c>
      <c r="W45" s="40" t="s">
        <v>3051</v>
      </c>
      <c r="X45" s="40" t="s">
        <v>3052</v>
      </c>
      <c r="Y45" s="40" t="s">
        <v>3053</v>
      </c>
      <c r="Z45" s="40" t="s">
        <v>3054</v>
      </c>
      <c r="AA45" s="40" t="s">
        <v>2689</v>
      </c>
      <c r="AB45" s="40" t="s">
        <v>598</v>
      </c>
      <c r="AC45" s="40" t="s">
        <v>2691</v>
      </c>
      <c r="AD45" s="40" t="s">
        <v>2182</v>
      </c>
      <c r="AE45" s="40" t="s">
        <v>3055</v>
      </c>
      <c r="AF45" s="40" t="s">
        <v>3055</v>
      </c>
      <c r="AG45" s="40" t="s">
        <v>2693</v>
      </c>
      <c r="AH45" s="40" t="s">
        <v>3055</v>
      </c>
      <c r="AI45" s="40" t="s">
        <v>3055</v>
      </c>
      <c r="AJ45" s="40" t="s">
        <v>3055</v>
      </c>
      <c r="AK45" s="40" t="s">
        <v>3055</v>
      </c>
      <c r="AL45" s="40" t="s">
        <v>3055</v>
      </c>
      <c r="AM45" s="40" t="s">
        <v>2981</v>
      </c>
      <c r="AN45" s="40" t="s">
        <v>3043</v>
      </c>
      <c r="AO45" s="36" t="s">
        <v>3056</v>
      </c>
    </row>
    <row r="46" spans="1:41" hidden="1">
      <c r="A46" s="40" t="s">
        <v>2677</v>
      </c>
      <c r="B46" s="40" t="s">
        <v>2850</v>
      </c>
      <c r="C46" s="40" t="s">
        <v>623</v>
      </c>
      <c r="D46" s="40" t="s">
        <v>3028</v>
      </c>
      <c r="E46" s="40" t="s">
        <v>476</v>
      </c>
      <c r="F46" s="40" t="s">
        <v>3079</v>
      </c>
      <c r="G46" s="40" t="s">
        <v>393</v>
      </c>
      <c r="H46" s="40" t="s">
        <v>3080</v>
      </c>
      <c r="I46" s="40" t="s">
        <v>3059</v>
      </c>
      <c r="J46" s="40" t="s">
        <v>318</v>
      </c>
      <c r="K46" s="40" t="s">
        <v>318</v>
      </c>
      <c r="L46" s="40" t="s">
        <v>879</v>
      </c>
      <c r="M46" s="40" t="s">
        <v>393</v>
      </c>
      <c r="N46" s="40" t="s">
        <v>2683</v>
      </c>
      <c r="O46" s="40" t="s">
        <v>3060</v>
      </c>
      <c r="P46" s="40" t="s">
        <v>2705</v>
      </c>
      <c r="Q46" s="40" t="s">
        <v>2706</v>
      </c>
      <c r="R46" s="40" t="s">
        <v>3061</v>
      </c>
      <c r="S46" s="40" t="s">
        <v>3062</v>
      </c>
      <c r="T46" s="40" t="s">
        <v>3063</v>
      </c>
      <c r="U46" s="40" t="s">
        <v>3064</v>
      </c>
      <c r="V46" s="40" t="s">
        <v>393</v>
      </c>
      <c r="W46" s="40" t="s">
        <v>3065</v>
      </c>
      <c r="X46" s="40" t="s">
        <v>3066</v>
      </c>
      <c r="Y46" s="40" t="s">
        <v>3067</v>
      </c>
      <c r="Z46" s="40" t="s">
        <v>3068</v>
      </c>
      <c r="AA46" s="40" t="s">
        <v>2689</v>
      </c>
      <c r="AB46" s="40" t="s">
        <v>2131</v>
      </c>
      <c r="AC46" s="40" t="s">
        <v>2691</v>
      </c>
      <c r="AD46" s="40" t="s">
        <v>3010</v>
      </c>
      <c r="AE46" s="40" t="s">
        <v>3069</v>
      </c>
      <c r="AF46" s="40" t="s">
        <v>3070</v>
      </c>
      <c r="AG46" s="40" t="s">
        <v>2693</v>
      </c>
      <c r="AH46" s="40" t="s">
        <v>3071</v>
      </c>
      <c r="AI46" s="40" t="s">
        <v>3072</v>
      </c>
      <c r="AJ46" s="40" t="s">
        <v>3073</v>
      </c>
      <c r="AK46" s="40" t="s">
        <v>3074</v>
      </c>
      <c r="AL46" s="40" t="s">
        <v>393</v>
      </c>
      <c r="AM46" s="40" t="s">
        <v>3018</v>
      </c>
      <c r="AN46" s="40" t="s">
        <v>3075</v>
      </c>
      <c r="AO46" s="36" t="s">
        <v>3022</v>
      </c>
    </row>
    <row r="47" spans="1:41" ht="82.8" hidden="1">
      <c r="A47" s="40" t="s">
        <v>2677</v>
      </c>
      <c r="B47" s="40" t="s">
        <v>2766</v>
      </c>
      <c r="C47" s="40" t="s">
        <v>623</v>
      </c>
      <c r="D47" s="40" t="s">
        <v>3081</v>
      </c>
      <c r="E47" s="40" t="s">
        <v>476</v>
      </c>
      <c r="F47" s="40" t="s">
        <v>3057</v>
      </c>
      <c r="G47" s="40" t="s">
        <v>393</v>
      </c>
      <c r="H47" s="40" t="s">
        <v>3082</v>
      </c>
      <c r="I47" s="40" t="s">
        <v>3083</v>
      </c>
      <c r="J47" s="40" t="s">
        <v>318</v>
      </c>
      <c r="K47" s="40" t="s">
        <v>318</v>
      </c>
      <c r="L47" s="40" t="s">
        <v>879</v>
      </c>
      <c r="M47" s="40" t="s">
        <v>393</v>
      </c>
      <c r="N47" s="40" t="s">
        <v>2683</v>
      </c>
      <c r="O47" s="40" t="s">
        <v>3084</v>
      </c>
      <c r="P47" s="40" t="s">
        <v>2685</v>
      </c>
      <c r="Q47" s="40" t="s">
        <v>2686</v>
      </c>
      <c r="R47" s="40" t="s">
        <v>393</v>
      </c>
      <c r="S47" s="40" t="s">
        <v>3085</v>
      </c>
      <c r="T47" s="40" t="s">
        <v>393</v>
      </c>
      <c r="U47" s="40" t="s">
        <v>393</v>
      </c>
      <c r="V47" s="40" t="s">
        <v>393</v>
      </c>
      <c r="W47" s="40" t="s">
        <v>3086</v>
      </c>
      <c r="X47" s="40" t="s">
        <v>3087</v>
      </c>
      <c r="Y47" s="40" t="s">
        <v>527</v>
      </c>
      <c r="Z47" s="40" t="s">
        <v>536</v>
      </c>
      <c r="AA47" s="40" t="s">
        <v>2689</v>
      </c>
      <c r="AB47" s="40" t="s">
        <v>490</v>
      </c>
      <c r="AC47" s="40" t="s">
        <v>2691</v>
      </c>
      <c r="AD47" s="40" t="s">
        <v>2993</v>
      </c>
      <c r="AE47" s="40" t="s">
        <v>765</v>
      </c>
      <c r="AF47" s="40" t="s">
        <v>766</v>
      </c>
      <c r="AG47" s="40" t="s">
        <v>2693</v>
      </c>
      <c r="AH47" s="40" t="s">
        <v>318</v>
      </c>
      <c r="AI47" s="40" t="s">
        <v>305</v>
      </c>
      <c r="AJ47" s="40" t="s">
        <v>305</v>
      </c>
      <c r="AK47" s="40" t="s">
        <v>3088</v>
      </c>
      <c r="AL47" s="40" t="s">
        <v>3089</v>
      </c>
      <c r="AM47" s="40" t="s">
        <v>2981</v>
      </c>
      <c r="AN47" s="40" t="s">
        <v>3090</v>
      </c>
      <c r="AO47" s="36" t="s">
        <v>3091</v>
      </c>
    </row>
    <row r="48" spans="1:41" ht="55.2" hidden="1">
      <c r="A48" s="40" t="s">
        <v>2677</v>
      </c>
      <c r="B48" s="40" t="s">
        <v>2766</v>
      </c>
      <c r="C48" s="40" t="s">
        <v>623</v>
      </c>
      <c r="D48" s="40" t="s">
        <v>3081</v>
      </c>
      <c r="E48" s="40" t="s">
        <v>476</v>
      </c>
      <c r="F48" s="40" t="s">
        <v>3079</v>
      </c>
      <c r="G48" s="40" t="s">
        <v>393</v>
      </c>
      <c r="H48" s="40" t="s">
        <v>3092</v>
      </c>
      <c r="I48" s="40" t="s">
        <v>3083</v>
      </c>
      <c r="J48" s="40" t="s">
        <v>318</v>
      </c>
      <c r="K48" s="40" t="s">
        <v>318</v>
      </c>
      <c r="L48" s="40" t="s">
        <v>879</v>
      </c>
      <c r="M48" s="40" t="s">
        <v>393</v>
      </c>
      <c r="N48" s="40" t="s">
        <v>2683</v>
      </c>
      <c r="O48" s="40" t="s">
        <v>3084</v>
      </c>
      <c r="P48" s="40" t="s">
        <v>2685</v>
      </c>
      <c r="Q48" s="40" t="s">
        <v>2686</v>
      </c>
      <c r="R48" s="40" t="s">
        <v>393</v>
      </c>
      <c r="S48" s="40" t="s">
        <v>3085</v>
      </c>
      <c r="T48" s="40" t="s">
        <v>393</v>
      </c>
      <c r="U48" s="40" t="s">
        <v>393</v>
      </c>
      <c r="V48" s="40" t="s">
        <v>393</v>
      </c>
      <c r="W48" s="40" t="s">
        <v>3086</v>
      </c>
      <c r="X48" s="40" t="s">
        <v>3087</v>
      </c>
      <c r="Y48" s="40" t="s">
        <v>527</v>
      </c>
      <c r="Z48" s="40" t="s">
        <v>536</v>
      </c>
      <c r="AA48" s="40" t="s">
        <v>2689</v>
      </c>
      <c r="AB48" s="40" t="s">
        <v>490</v>
      </c>
      <c r="AC48" s="40" t="s">
        <v>2691</v>
      </c>
      <c r="AD48" s="40" t="s">
        <v>2993</v>
      </c>
      <c r="AE48" s="40" t="s">
        <v>765</v>
      </c>
      <c r="AF48" s="40" t="s">
        <v>766</v>
      </c>
      <c r="AG48" s="40" t="s">
        <v>2693</v>
      </c>
      <c r="AH48" s="40" t="s">
        <v>318</v>
      </c>
      <c r="AI48" s="40" t="s">
        <v>305</v>
      </c>
      <c r="AJ48" s="40" t="s">
        <v>305</v>
      </c>
      <c r="AK48" s="40" t="s">
        <v>3088</v>
      </c>
      <c r="AL48" s="40" t="s">
        <v>3089</v>
      </c>
      <c r="AM48" s="40" t="s">
        <v>2981</v>
      </c>
      <c r="AN48" s="40" t="s">
        <v>3090</v>
      </c>
      <c r="AO48" s="36" t="s">
        <v>3093</v>
      </c>
    </row>
    <row r="49" spans="1:41" ht="55.2" hidden="1">
      <c r="A49" s="40" t="s">
        <v>2677</v>
      </c>
      <c r="B49" s="40" t="s">
        <v>2766</v>
      </c>
      <c r="C49" s="40" t="s">
        <v>623</v>
      </c>
      <c r="D49" s="40" t="s">
        <v>2700</v>
      </c>
      <c r="E49" s="40" t="s">
        <v>476</v>
      </c>
      <c r="F49" s="40" t="s">
        <v>2701</v>
      </c>
      <c r="G49" s="40" t="s">
        <v>393</v>
      </c>
      <c r="H49" s="40" t="s">
        <v>3094</v>
      </c>
      <c r="I49" s="40" t="s">
        <v>3095</v>
      </c>
      <c r="J49" s="40" t="s">
        <v>318</v>
      </c>
      <c r="K49" s="40" t="s">
        <v>318</v>
      </c>
      <c r="L49" s="40" t="s">
        <v>879</v>
      </c>
      <c r="M49" s="40" t="s">
        <v>393</v>
      </c>
      <c r="N49" s="40" t="s">
        <v>2683</v>
      </c>
      <c r="O49" s="40" t="s">
        <v>2704</v>
      </c>
      <c r="P49" s="40" t="s">
        <v>2785</v>
      </c>
      <c r="Q49" s="40" t="s">
        <v>2706</v>
      </c>
      <c r="R49" s="40" t="s">
        <v>393</v>
      </c>
      <c r="S49" s="40" t="s">
        <v>3096</v>
      </c>
      <c r="T49" s="40" t="s">
        <v>393</v>
      </c>
      <c r="U49" s="40" t="s">
        <v>3097</v>
      </c>
      <c r="V49" s="40" t="s">
        <v>3098</v>
      </c>
      <c r="W49" s="40" t="s">
        <v>3099</v>
      </c>
      <c r="X49" s="40" t="s">
        <v>3099</v>
      </c>
      <c r="Y49" s="40" t="s">
        <v>533</v>
      </c>
      <c r="Z49" s="40" t="s">
        <v>536</v>
      </c>
      <c r="AA49" s="40" t="s">
        <v>2689</v>
      </c>
      <c r="AB49" s="40" t="s">
        <v>490</v>
      </c>
      <c r="AC49" s="40" t="s">
        <v>2691</v>
      </c>
      <c r="AD49" s="40" t="s">
        <v>2993</v>
      </c>
      <c r="AE49" s="40" t="s">
        <v>2692</v>
      </c>
      <c r="AF49" s="40" t="s">
        <v>2692</v>
      </c>
      <c r="AG49" s="40" t="s">
        <v>2693</v>
      </c>
      <c r="AH49" s="40" t="s">
        <v>393</v>
      </c>
      <c r="AI49" s="40" t="s">
        <v>766</v>
      </c>
      <c r="AJ49" s="40" t="s">
        <v>3100</v>
      </c>
      <c r="AK49" s="40" t="s">
        <v>3101</v>
      </c>
      <c r="AL49" s="40" t="s">
        <v>393</v>
      </c>
      <c r="AM49" s="40" t="s">
        <v>2981</v>
      </c>
      <c r="AN49" s="40" t="s">
        <v>3102</v>
      </c>
      <c r="AO49" s="36" t="s">
        <v>3103</v>
      </c>
    </row>
    <row r="50" spans="1:41" ht="55.2" hidden="1">
      <c r="A50" s="40" t="s">
        <v>2677</v>
      </c>
      <c r="B50" s="40" t="s">
        <v>2766</v>
      </c>
      <c r="C50" s="40" t="s">
        <v>623</v>
      </c>
      <c r="D50" s="40" t="s">
        <v>2700</v>
      </c>
      <c r="E50" s="40" t="s">
        <v>476</v>
      </c>
      <c r="F50" s="40" t="s">
        <v>2984</v>
      </c>
      <c r="G50" s="40" t="s">
        <v>393</v>
      </c>
      <c r="H50" s="40" t="s">
        <v>3104</v>
      </c>
      <c r="I50" s="40" t="s">
        <v>3105</v>
      </c>
      <c r="J50" s="40" t="s">
        <v>318</v>
      </c>
      <c r="K50" s="40" t="s">
        <v>318</v>
      </c>
      <c r="L50" s="40" t="s">
        <v>879</v>
      </c>
      <c r="M50" s="40" t="s">
        <v>393</v>
      </c>
      <c r="N50" s="40" t="s">
        <v>2683</v>
      </c>
      <c r="O50" s="40" t="s">
        <v>2704</v>
      </c>
      <c r="P50" s="40" t="s">
        <v>2785</v>
      </c>
      <c r="Q50" s="40" t="s">
        <v>2706</v>
      </c>
      <c r="R50" s="40" t="s">
        <v>393</v>
      </c>
      <c r="S50" s="40" t="s">
        <v>3106</v>
      </c>
      <c r="T50" s="40" t="s">
        <v>393</v>
      </c>
      <c r="U50" s="40" t="s">
        <v>3107</v>
      </c>
      <c r="V50" s="40" t="s">
        <v>3098</v>
      </c>
      <c r="W50" s="40" t="s">
        <v>3108</v>
      </c>
      <c r="X50" s="40" t="s">
        <v>3108</v>
      </c>
      <c r="Y50" s="40" t="s">
        <v>527</v>
      </c>
      <c r="Z50" s="40" t="s">
        <v>527</v>
      </c>
      <c r="AA50" s="40" t="s">
        <v>2689</v>
      </c>
      <c r="AB50" s="40" t="s">
        <v>536</v>
      </c>
      <c r="AC50" s="40" t="s">
        <v>2691</v>
      </c>
      <c r="AD50" s="40" t="s">
        <v>2182</v>
      </c>
      <c r="AE50" s="40" t="s">
        <v>2692</v>
      </c>
      <c r="AF50" s="40" t="s">
        <v>2692</v>
      </c>
      <c r="AG50" s="40" t="s">
        <v>2693</v>
      </c>
      <c r="AH50" s="40" t="s">
        <v>393</v>
      </c>
      <c r="AI50" s="40" t="s">
        <v>766</v>
      </c>
      <c r="AJ50" s="40" t="s">
        <v>3100</v>
      </c>
      <c r="AK50" s="40" t="s">
        <v>3109</v>
      </c>
      <c r="AL50" s="40" t="s">
        <v>393</v>
      </c>
      <c r="AM50" s="40" t="s">
        <v>2981</v>
      </c>
      <c r="AN50" s="40" t="s">
        <v>3102</v>
      </c>
      <c r="AO50" s="36" t="s">
        <v>3103</v>
      </c>
    </row>
    <row r="51" spans="1:41" hidden="1">
      <c r="A51" s="40" t="s">
        <v>2677</v>
      </c>
      <c r="B51" s="40" t="s">
        <v>2766</v>
      </c>
      <c r="C51" s="40" t="s">
        <v>623</v>
      </c>
      <c r="D51" s="40" t="s">
        <v>2700</v>
      </c>
      <c r="E51" s="40" t="s">
        <v>476</v>
      </c>
      <c r="F51" s="40" t="s">
        <v>2715</v>
      </c>
      <c r="G51" s="40" t="s">
        <v>393</v>
      </c>
      <c r="H51" s="40" t="s">
        <v>3110</v>
      </c>
      <c r="I51" s="40" t="s">
        <v>3095</v>
      </c>
      <c r="J51" s="40" t="s">
        <v>318</v>
      </c>
      <c r="K51" s="40" t="s">
        <v>318</v>
      </c>
      <c r="L51" s="40" t="s">
        <v>879</v>
      </c>
      <c r="M51" s="40" t="s">
        <v>393</v>
      </c>
      <c r="N51" s="40" t="s">
        <v>2683</v>
      </c>
      <c r="O51" s="40" t="s">
        <v>2704</v>
      </c>
      <c r="P51" s="40" t="s">
        <v>2785</v>
      </c>
      <c r="Q51" s="40" t="s">
        <v>2706</v>
      </c>
      <c r="R51" s="40" t="s">
        <v>393</v>
      </c>
      <c r="S51" s="40" t="s">
        <v>3096</v>
      </c>
      <c r="T51" s="40" t="s">
        <v>393</v>
      </c>
      <c r="U51" s="40" t="s">
        <v>3097</v>
      </c>
      <c r="V51" s="40" t="s">
        <v>3098</v>
      </c>
      <c r="W51" s="40" t="s">
        <v>3099</v>
      </c>
      <c r="X51" s="40" t="s">
        <v>3099</v>
      </c>
      <c r="Y51" s="40" t="s">
        <v>533</v>
      </c>
      <c r="Z51" s="40" t="s">
        <v>536</v>
      </c>
      <c r="AA51" s="40" t="s">
        <v>2689</v>
      </c>
      <c r="AB51" s="40" t="s">
        <v>490</v>
      </c>
      <c r="AC51" s="40" t="s">
        <v>2691</v>
      </c>
      <c r="AD51" s="40" t="s">
        <v>2993</v>
      </c>
      <c r="AE51" s="40" t="s">
        <v>2692</v>
      </c>
      <c r="AF51" s="40" t="s">
        <v>2692</v>
      </c>
      <c r="AG51" s="40" t="s">
        <v>2693</v>
      </c>
      <c r="AH51" s="40" t="s">
        <v>393</v>
      </c>
      <c r="AI51" s="40" t="s">
        <v>766</v>
      </c>
      <c r="AJ51" s="40" t="s">
        <v>3100</v>
      </c>
      <c r="AK51" s="40" t="s">
        <v>3101</v>
      </c>
      <c r="AL51" s="40" t="s">
        <v>393</v>
      </c>
      <c r="AM51" s="40" t="s">
        <v>2981</v>
      </c>
      <c r="AN51" s="40" t="s">
        <v>3102</v>
      </c>
      <c r="AO51" s="36" t="s">
        <v>3022</v>
      </c>
    </row>
    <row r="52" spans="1:41" hidden="1">
      <c r="A52" s="40" t="s">
        <v>2677</v>
      </c>
      <c r="B52" s="40" t="s">
        <v>2766</v>
      </c>
      <c r="C52" s="40" t="s">
        <v>623</v>
      </c>
      <c r="D52" s="40" t="s">
        <v>2700</v>
      </c>
      <c r="E52" s="40" t="s">
        <v>476</v>
      </c>
      <c r="F52" s="40" t="s">
        <v>3023</v>
      </c>
      <c r="G52" s="40" t="s">
        <v>393</v>
      </c>
      <c r="H52" s="40" t="s">
        <v>3111</v>
      </c>
      <c r="I52" s="40" t="s">
        <v>3105</v>
      </c>
      <c r="J52" s="40" t="s">
        <v>318</v>
      </c>
      <c r="K52" s="40" t="s">
        <v>318</v>
      </c>
      <c r="L52" s="40" t="s">
        <v>879</v>
      </c>
      <c r="M52" s="40" t="s">
        <v>393</v>
      </c>
      <c r="N52" s="40" t="s">
        <v>2683</v>
      </c>
      <c r="O52" s="40" t="s">
        <v>2704</v>
      </c>
      <c r="P52" s="40" t="s">
        <v>2785</v>
      </c>
      <c r="Q52" s="40" t="s">
        <v>2706</v>
      </c>
      <c r="R52" s="40" t="s">
        <v>393</v>
      </c>
      <c r="S52" s="40" t="s">
        <v>3106</v>
      </c>
      <c r="T52" s="40" t="s">
        <v>393</v>
      </c>
      <c r="U52" s="40" t="s">
        <v>3107</v>
      </c>
      <c r="V52" s="40" t="s">
        <v>3098</v>
      </c>
      <c r="W52" s="40" t="s">
        <v>3108</v>
      </c>
      <c r="X52" s="40" t="s">
        <v>3108</v>
      </c>
      <c r="Y52" s="40" t="s">
        <v>527</v>
      </c>
      <c r="Z52" s="40" t="s">
        <v>527</v>
      </c>
      <c r="AA52" s="40" t="s">
        <v>2689</v>
      </c>
      <c r="AB52" s="40" t="s">
        <v>536</v>
      </c>
      <c r="AC52" s="40" t="s">
        <v>2691</v>
      </c>
      <c r="AD52" s="40" t="s">
        <v>2182</v>
      </c>
      <c r="AE52" s="40" t="s">
        <v>2692</v>
      </c>
      <c r="AF52" s="40" t="s">
        <v>2692</v>
      </c>
      <c r="AG52" s="40" t="s">
        <v>2693</v>
      </c>
      <c r="AH52" s="40" t="s">
        <v>393</v>
      </c>
      <c r="AI52" s="40" t="s">
        <v>766</v>
      </c>
      <c r="AJ52" s="40" t="s">
        <v>3100</v>
      </c>
      <c r="AK52" s="40" t="s">
        <v>3109</v>
      </c>
      <c r="AL52" s="40" t="s">
        <v>393</v>
      </c>
      <c r="AM52" s="40" t="s">
        <v>2981</v>
      </c>
      <c r="AN52" s="40" t="s">
        <v>3102</v>
      </c>
      <c r="AO52" s="36" t="s">
        <v>3022</v>
      </c>
    </row>
    <row r="53" spans="1:41" ht="55.2" hidden="1">
      <c r="A53" s="40" t="s">
        <v>2677</v>
      </c>
      <c r="B53" s="40" t="s">
        <v>2850</v>
      </c>
      <c r="C53" s="40" t="s">
        <v>623</v>
      </c>
      <c r="D53" s="40" t="s">
        <v>2700</v>
      </c>
      <c r="E53" s="40" t="s">
        <v>476</v>
      </c>
      <c r="F53" s="40" t="s">
        <v>3057</v>
      </c>
      <c r="G53" s="40" t="s">
        <v>393</v>
      </c>
      <c r="H53" s="40" t="s">
        <v>3112</v>
      </c>
      <c r="I53" s="40" t="s">
        <v>3113</v>
      </c>
      <c r="J53" s="40" t="s">
        <v>318</v>
      </c>
      <c r="K53" s="40" t="s">
        <v>318</v>
      </c>
      <c r="L53" s="40" t="s">
        <v>879</v>
      </c>
      <c r="M53" s="40" t="s">
        <v>393</v>
      </c>
      <c r="N53" s="40" t="s">
        <v>2683</v>
      </c>
      <c r="O53" s="40" t="s">
        <v>2704</v>
      </c>
      <c r="P53" s="40" t="s">
        <v>2705</v>
      </c>
      <c r="Q53" s="40" t="s">
        <v>2706</v>
      </c>
      <c r="R53" s="40" t="s">
        <v>393</v>
      </c>
      <c r="S53" s="40" t="s">
        <v>3114</v>
      </c>
      <c r="T53" s="40" t="s">
        <v>3063</v>
      </c>
      <c r="U53" s="40" t="s">
        <v>3115</v>
      </c>
      <c r="V53" s="40" t="s">
        <v>3116</v>
      </c>
      <c r="W53" s="40" t="s">
        <v>3117</v>
      </c>
      <c r="X53" s="40" t="s">
        <v>3118</v>
      </c>
      <c r="Y53" s="40" t="s">
        <v>3119</v>
      </c>
      <c r="Z53" s="40" t="s">
        <v>365</v>
      </c>
      <c r="AA53" s="40" t="s">
        <v>2689</v>
      </c>
      <c r="AB53" s="40" t="s">
        <v>668</v>
      </c>
      <c r="AC53" s="40" t="s">
        <v>2691</v>
      </c>
      <c r="AD53" s="40" t="s">
        <v>2131</v>
      </c>
      <c r="AE53" s="40" t="s">
        <v>2692</v>
      </c>
      <c r="AF53" s="40" t="s">
        <v>2692</v>
      </c>
      <c r="AG53" s="40" t="s">
        <v>2693</v>
      </c>
      <c r="AH53" s="40" t="s">
        <v>393</v>
      </c>
      <c r="AI53" s="40" t="s">
        <v>3120</v>
      </c>
      <c r="AJ53" s="40" t="s">
        <v>3072</v>
      </c>
      <c r="AK53" s="40" t="s">
        <v>3121</v>
      </c>
      <c r="AL53" s="40" t="s">
        <v>393</v>
      </c>
      <c r="AM53" s="40" t="s">
        <v>3018</v>
      </c>
      <c r="AN53" s="40" t="s">
        <v>3122</v>
      </c>
      <c r="AO53" s="36" t="s">
        <v>3123</v>
      </c>
    </row>
    <row r="54" spans="1:41" hidden="1">
      <c r="A54" s="40" t="s">
        <v>2677</v>
      </c>
      <c r="B54" s="40" t="s">
        <v>2850</v>
      </c>
      <c r="C54" s="40" t="s">
        <v>623</v>
      </c>
      <c r="D54" s="40" t="s">
        <v>2700</v>
      </c>
      <c r="E54" s="40" t="s">
        <v>476</v>
      </c>
      <c r="F54" s="40" t="s">
        <v>3079</v>
      </c>
      <c r="G54" s="40" t="s">
        <v>393</v>
      </c>
      <c r="H54" s="40" t="s">
        <v>3124</v>
      </c>
      <c r="I54" s="40" t="s">
        <v>3113</v>
      </c>
      <c r="J54" s="40" t="s">
        <v>318</v>
      </c>
      <c r="K54" s="40" t="s">
        <v>318</v>
      </c>
      <c r="L54" s="40" t="s">
        <v>879</v>
      </c>
      <c r="M54" s="40" t="s">
        <v>393</v>
      </c>
      <c r="N54" s="40" t="s">
        <v>2683</v>
      </c>
      <c r="O54" s="40" t="s">
        <v>2704</v>
      </c>
      <c r="P54" s="40" t="s">
        <v>2705</v>
      </c>
      <c r="Q54" s="40" t="s">
        <v>2706</v>
      </c>
      <c r="R54" s="40" t="s">
        <v>393</v>
      </c>
      <c r="S54" s="40" t="s">
        <v>3114</v>
      </c>
      <c r="T54" s="40" t="s">
        <v>3063</v>
      </c>
      <c r="U54" s="40" t="s">
        <v>3115</v>
      </c>
      <c r="V54" s="40" t="s">
        <v>3116</v>
      </c>
      <c r="W54" s="40" t="s">
        <v>3117</v>
      </c>
      <c r="X54" s="40" t="s">
        <v>3118</v>
      </c>
      <c r="Y54" s="40" t="s">
        <v>3119</v>
      </c>
      <c r="Z54" s="40" t="s">
        <v>365</v>
      </c>
      <c r="AA54" s="40" t="s">
        <v>2689</v>
      </c>
      <c r="AB54" s="40" t="s">
        <v>668</v>
      </c>
      <c r="AC54" s="40" t="s">
        <v>2691</v>
      </c>
      <c r="AD54" s="40" t="s">
        <v>2131</v>
      </c>
      <c r="AE54" s="40" t="s">
        <v>2692</v>
      </c>
      <c r="AF54" s="40" t="s">
        <v>2692</v>
      </c>
      <c r="AG54" s="40" t="s">
        <v>2693</v>
      </c>
      <c r="AH54" s="40" t="s">
        <v>393</v>
      </c>
      <c r="AI54" s="40" t="s">
        <v>3120</v>
      </c>
      <c r="AJ54" s="40" t="s">
        <v>3072</v>
      </c>
      <c r="AK54" s="40" t="s">
        <v>3121</v>
      </c>
      <c r="AL54" s="40" t="s">
        <v>393</v>
      </c>
      <c r="AM54" s="40" t="s">
        <v>3018</v>
      </c>
      <c r="AN54" s="40" t="s">
        <v>3122</v>
      </c>
      <c r="AO54" s="36" t="s">
        <v>3022</v>
      </c>
    </row>
    <row r="55" spans="1:41" ht="69" hidden="1">
      <c r="A55" s="40" t="s">
        <v>2677</v>
      </c>
      <c r="B55" s="40" t="s">
        <v>2850</v>
      </c>
      <c r="C55" s="40" t="s">
        <v>623</v>
      </c>
      <c r="D55" s="40" t="s">
        <v>2717</v>
      </c>
      <c r="E55" s="40" t="s">
        <v>479</v>
      </c>
      <c r="F55" s="40" t="s">
        <v>2680</v>
      </c>
      <c r="G55" s="40" t="s">
        <v>15</v>
      </c>
      <c r="H55" s="40" t="s">
        <v>3125</v>
      </c>
      <c r="I55" s="40" t="s">
        <v>3126</v>
      </c>
      <c r="J55" s="40" t="s">
        <v>318</v>
      </c>
      <c r="K55" s="40" t="s">
        <v>318</v>
      </c>
      <c r="L55" s="40" t="s">
        <v>879</v>
      </c>
      <c r="M55" s="40" t="s">
        <v>393</v>
      </c>
      <c r="N55" s="40" t="s">
        <v>2683</v>
      </c>
      <c r="O55" s="40" t="s">
        <v>2720</v>
      </c>
      <c r="P55" s="40" t="s">
        <v>2705</v>
      </c>
      <c r="Q55" s="40" t="s">
        <v>2706</v>
      </c>
      <c r="R55" s="40" t="s">
        <v>3127</v>
      </c>
      <c r="S55" s="40" t="s">
        <v>3128</v>
      </c>
      <c r="T55" s="40" t="s">
        <v>3129</v>
      </c>
      <c r="U55" s="40" t="s">
        <v>3130</v>
      </c>
      <c r="V55" s="40" t="s">
        <v>3131</v>
      </c>
      <c r="W55" s="40" t="s">
        <v>3132</v>
      </c>
      <c r="X55" s="40" t="s">
        <v>3133</v>
      </c>
      <c r="Y55" s="40" t="s">
        <v>3134</v>
      </c>
      <c r="Z55" s="40" t="s">
        <v>3135</v>
      </c>
      <c r="AA55" s="40" t="s">
        <v>2689</v>
      </c>
      <c r="AB55" s="40" t="s">
        <v>598</v>
      </c>
      <c r="AC55" s="40" t="s">
        <v>2691</v>
      </c>
      <c r="AD55" s="40" t="s">
        <v>580</v>
      </c>
      <c r="AE55" s="40" t="s">
        <v>2692</v>
      </c>
      <c r="AF55" s="40" t="s">
        <v>2692</v>
      </c>
      <c r="AG55" s="40" t="s">
        <v>2693</v>
      </c>
      <c r="AH55" s="40" t="s">
        <v>3136</v>
      </c>
      <c r="AI55" s="40" t="s">
        <v>2821</v>
      </c>
      <c r="AJ55" s="40" t="s">
        <v>3137</v>
      </c>
      <c r="AK55" s="40" t="s">
        <v>3138</v>
      </c>
      <c r="AL55" s="40" t="s">
        <v>3139</v>
      </c>
      <c r="AM55" s="40" t="s">
        <v>3140</v>
      </c>
      <c r="AN55" s="40" t="s">
        <v>3141</v>
      </c>
      <c r="AO55" s="36" t="s">
        <v>3142</v>
      </c>
    </row>
    <row r="56" spans="1:41" hidden="1">
      <c r="A56" s="40" t="s">
        <v>2677</v>
      </c>
      <c r="B56" s="40" t="s">
        <v>2850</v>
      </c>
      <c r="C56" s="40" t="s">
        <v>623</v>
      </c>
      <c r="D56" s="40" t="s">
        <v>2717</v>
      </c>
      <c r="E56" s="40" t="s">
        <v>479</v>
      </c>
      <c r="F56" s="40" t="s">
        <v>2680</v>
      </c>
      <c r="G56" s="40" t="s">
        <v>321</v>
      </c>
      <c r="H56" s="40" t="s">
        <v>3143</v>
      </c>
      <c r="I56" s="40" t="s">
        <v>3126</v>
      </c>
      <c r="J56" s="40" t="s">
        <v>318</v>
      </c>
      <c r="K56" s="40" t="s">
        <v>318</v>
      </c>
      <c r="L56" s="40" t="s">
        <v>879</v>
      </c>
      <c r="M56" s="40" t="s">
        <v>393</v>
      </c>
      <c r="N56" s="40" t="s">
        <v>2683</v>
      </c>
      <c r="O56" s="40" t="s">
        <v>2720</v>
      </c>
      <c r="P56" s="40" t="s">
        <v>2705</v>
      </c>
      <c r="Q56" s="40" t="s">
        <v>2706</v>
      </c>
      <c r="R56" s="40" t="s">
        <v>3127</v>
      </c>
      <c r="S56" s="40" t="s">
        <v>3128</v>
      </c>
      <c r="T56" s="40" t="s">
        <v>3129</v>
      </c>
      <c r="U56" s="40" t="s">
        <v>3130</v>
      </c>
      <c r="V56" s="40" t="s">
        <v>3131</v>
      </c>
      <c r="W56" s="40" t="s">
        <v>3132</v>
      </c>
      <c r="X56" s="40" t="s">
        <v>3133</v>
      </c>
      <c r="Y56" s="40" t="s">
        <v>3134</v>
      </c>
      <c r="Z56" s="40" t="s">
        <v>3144</v>
      </c>
      <c r="AA56" s="40" t="s">
        <v>2689</v>
      </c>
      <c r="AB56" s="40" t="s">
        <v>598</v>
      </c>
      <c r="AC56" s="40" t="s">
        <v>2691</v>
      </c>
      <c r="AD56" s="40" t="s">
        <v>580</v>
      </c>
      <c r="AE56" s="40" t="s">
        <v>2692</v>
      </c>
      <c r="AF56" s="40" t="s">
        <v>2692</v>
      </c>
      <c r="AG56" s="40" t="s">
        <v>2693</v>
      </c>
      <c r="AH56" s="40" t="s">
        <v>3136</v>
      </c>
      <c r="AI56" s="40" t="s">
        <v>2821</v>
      </c>
      <c r="AJ56" s="40" t="s">
        <v>3137</v>
      </c>
      <c r="AK56" s="40" t="s">
        <v>3138</v>
      </c>
      <c r="AL56" s="40" t="s">
        <v>3139</v>
      </c>
      <c r="AM56" s="40" t="s">
        <v>3140</v>
      </c>
      <c r="AN56" s="40" t="s">
        <v>3141</v>
      </c>
      <c r="AO56" s="36" t="s">
        <v>3145</v>
      </c>
    </row>
    <row r="57" spans="1:41" ht="110.4" hidden="1">
      <c r="A57" s="40" t="s">
        <v>2677</v>
      </c>
      <c r="B57" s="40" t="s">
        <v>2850</v>
      </c>
      <c r="C57" s="40" t="s">
        <v>623</v>
      </c>
      <c r="D57" s="40" t="s">
        <v>3146</v>
      </c>
      <c r="E57" s="40" t="s">
        <v>479</v>
      </c>
      <c r="F57" s="40" t="s">
        <v>3147</v>
      </c>
      <c r="G57" s="40" t="s">
        <v>393</v>
      </c>
      <c r="H57" s="40" t="s">
        <v>3148</v>
      </c>
      <c r="I57" s="40" t="s">
        <v>3149</v>
      </c>
      <c r="J57" s="40" t="s">
        <v>318</v>
      </c>
      <c r="K57" s="40" t="s">
        <v>318</v>
      </c>
      <c r="L57" s="40" t="s">
        <v>393</v>
      </c>
      <c r="M57" s="40" t="s">
        <v>3150</v>
      </c>
      <c r="N57" s="40" t="s">
        <v>2683</v>
      </c>
      <c r="O57" s="40" t="s">
        <v>3151</v>
      </c>
      <c r="P57" s="40" t="s">
        <v>2685</v>
      </c>
      <c r="Q57" s="40" t="s">
        <v>2706</v>
      </c>
      <c r="R57" s="40" t="s">
        <v>3152</v>
      </c>
      <c r="S57" s="40" t="s">
        <v>3153</v>
      </c>
      <c r="T57" s="40" t="s">
        <v>3154</v>
      </c>
      <c r="U57" s="40" t="s">
        <v>3155</v>
      </c>
      <c r="V57" s="40" t="s">
        <v>393</v>
      </c>
      <c r="W57" s="40" t="s">
        <v>3156</v>
      </c>
      <c r="X57" s="40" t="s">
        <v>3157</v>
      </c>
      <c r="Y57" s="40" t="s">
        <v>3158</v>
      </c>
      <c r="Z57" s="40" t="s">
        <v>3159</v>
      </c>
      <c r="AA57" s="40" t="s">
        <v>2689</v>
      </c>
      <c r="AB57" s="40" t="s">
        <v>598</v>
      </c>
      <c r="AC57" s="40" t="s">
        <v>2691</v>
      </c>
      <c r="AD57" s="40" t="s">
        <v>580</v>
      </c>
      <c r="AE57" s="40" t="s">
        <v>2692</v>
      </c>
      <c r="AF57" s="40" t="s">
        <v>2692</v>
      </c>
      <c r="AG57" s="40" t="s">
        <v>2693</v>
      </c>
      <c r="AH57" s="40" t="s">
        <v>3160</v>
      </c>
      <c r="AI57" s="40" t="s">
        <v>3161</v>
      </c>
      <c r="AJ57" s="40" t="s">
        <v>3162</v>
      </c>
      <c r="AK57" s="40" t="s">
        <v>3163</v>
      </c>
      <c r="AL57" s="40" t="s">
        <v>3164</v>
      </c>
      <c r="AM57" s="40" t="s">
        <v>3140</v>
      </c>
      <c r="AN57" s="40" t="s">
        <v>3165</v>
      </c>
      <c r="AO57" s="36" t="s">
        <v>3166</v>
      </c>
    </row>
    <row r="58" spans="1:41" hidden="1">
      <c r="A58" s="40" t="s">
        <v>2677</v>
      </c>
      <c r="B58" s="40" t="s">
        <v>2850</v>
      </c>
      <c r="C58" s="40" t="s">
        <v>623</v>
      </c>
      <c r="D58" s="40" t="s">
        <v>3146</v>
      </c>
      <c r="E58" s="40" t="s">
        <v>479</v>
      </c>
      <c r="F58" s="40" t="s">
        <v>3167</v>
      </c>
      <c r="G58" s="40" t="s">
        <v>393</v>
      </c>
      <c r="H58" s="40" t="s">
        <v>3168</v>
      </c>
      <c r="I58" s="40" t="s">
        <v>3149</v>
      </c>
      <c r="J58" s="40" t="s">
        <v>318</v>
      </c>
      <c r="K58" s="40" t="s">
        <v>318</v>
      </c>
      <c r="L58" s="40" t="s">
        <v>393</v>
      </c>
      <c r="M58" s="40" t="s">
        <v>3150</v>
      </c>
      <c r="N58" s="40" t="s">
        <v>2683</v>
      </c>
      <c r="O58" s="40" t="s">
        <v>3169</v>
      </c>
      <c r="P58" s="40" t="s">
        <v>2685</v>
      </c>
      <c r="Q58" s="40" t="s">
        <v>2706</v>
      </c>
      <c r="R58" s="40" t="s">
        <v>3170</v>
      </c>
      <c r="S58" s="40" t="s">
        <v>3171</v>
      </c>
      <c r="T58" s="40" t="s">
        <v>3172</v>
      </c>
      <c r="U58" s="40" t="s">
        <v>3173</v>
      </c>
      <c r="V58" s="40" t="s">
        <v>393</v>
      </c>
      <c r="W58" s="40" t="s">
        <v>3174</v>
      </c>
      <c r="X58" s="40" t="s">
        <v>3175</v>
      </c>
      <c r="Y58" s="40" t="s">
        <v>3176</v>
      </c>
      <c r="Z58" s="40" t="s">
        <v>3177</v>
      </c>
      <c r="AA58" s="40" t="s">
        <v>2689</v>
      </c>
      <c r="AB58" s="40" t="s">
        <v>598</v>
      </c>
      <c r="AC58" s="40" t="s">
        <v>2691</v>
      </c>
      <c r="AD58" s="40" t="s">
        <v>580</v>
      </c>
      <c r="AE58" s="40" t="s">
        <v>2692</v>
      </c>
      <c r="AF58" s="40" t="s">
        <v>2692</v>
      </c>
      <c r="AG58" s="40" t="s">
        <v>2693</v>
      </c>
      <c r="AH58" s="40" t="s">
        <v>3178</v>
      </c>
      <c r="AI58" s="40" t="s">
        <v>3178</v>
      </c>
      <c r="AJ58" s="40" t="s">
        <v>3178</v>
      </c>
      <c r="AK58" s="40" t="s">
        <v>3178</v>
      </c>
      <c r="AL58" s="40" t="s">
        <v>3178</v>
      </c>
      <c r="AM58" s="40" t="s">
        <v>3140</v>
      </c>
      <c r="AN58" s="40" t="s">
        <v>3165</v>
      </c>
      <c r="AO58" s="36" t="s">
        <v>3179</v>
      </c>
    </row>
    <row r="59" spans="1:41" ht="27.6" hidden="1">
      <c r="A59" s="40" t="s">
        <v>2677</v>
      </c>
      <c r="B59" s="40" t="s">
        <v>2850</v>
      </c>
      <c r="C59" s="40" t="s">
        <v>623</v>
      </c>
      <c r="D59" s="40" t="s">
        <v>2700</v>
      </c>
      <c r="E59" s="40" t="s">
        <v>479</v>
      </c>
      <c r="F59" s="40" t="s">
        <v>2680</v>
      </c>
      <c r="G59" s="40" t="s">
        <v>393</v>
      </c>
      <c r="H59" s="40" t="s">
        <v>3180</v>
      </c>
      <c r="I59" s="40" t="s">
        <v>3181</v>
      </c>
      <c r="J59" s="40" t="s">
        <v>318</v>
      </c>
      <c r="K59" s="40" t="s">
        <v>318</v>
      </c>
      <c r="L59" s="40" t="s">
        <v>879</v>
      </c>
      <c r="M59" s="40" t="s">
        <v>393</v>
      </c>
      <c r="N59" s="40" t="s">
        <v>2683</v>
      </c>
      <c r="O59" s="40" t="s">
        <v>2704</v>
      </c>
      <c r="P59" s="40" t="s">
        <v>2685</v>
      </c>
      <c r="Q59" s="40" t="s">
        <v>2706</v>
      </c>
      <c r="R59" s="40" t="s">
        <v>393</v>
      </c>
      <c r="S59" s="40" t="s">
        <v>3182</v>
      </c>
      <c r="T59" s="40" t="s">
        <v>393</v>
      </c>
      <c r="U59" s="40" t="s">
        <v>3183</v>
      </c>
      <c r="V59" s="40" t="s">
        <v>3184</v>
      </c>
      <c r="W59" s="40" t="s">
        <v>3185</v>
      </c>
      <c r="X59" s="40" t="s">
        <v>3185</v>
      </c>
      <c r="Y59" s="40" t="s">
        <v>2688</v>
      </c>
      <c r="Z59" s="40" t="s">
        <v>374</v>
      </c>
      <c r="AA59" s="40" t="s">
        <v>2689</v>
      </c>
      <c r="AB59" s="40" t="s">
        <v>598</v>
      </c>
      <c r="AC59" s="40" t="s">
        <v>2691</v>
      </c>
      <c r="AD59" s="40" t="s">
        <v>580</v>
      </c>
      <c r="AE59" s="40" t="s">
        <v>2692</v>
      </c>
      <c r="AF59" s="40" t="s">
        <v>2692</v>
      </c>
      <c r="AG59" s="40" t="s">
        <v>2693</v>
      </c>
      <c r="AH59" s="40" t="s">
        <v>393</v>
      </c>
      <c r="AI59" s="40" t="s">
        <v>2869</v>
      </c>
      <c r="AJ59" s="40" t="s">
        <v>3186</v>
      </c>
      <c r="AK59" s="40" t="s">
        <v>3187</v>
      </c>
      <c r="AL59" s="40" t="s">
        <v>393</v>
      </c>
      <c r="AM59" s="40" t="s">
        <v>3140</v>
      </c>
      <c r="AN59" s="40" t="s">
        <v>3188</v>
      </c>
      <c r="AO59" s="36" t="s">
        <v>3189</v>
      </c>
    </row>
    <row r="60" spans="1:41" ht="69" hidden="1">
      <c r="A60" s="40" t="s">
        <v>2677</v>
      </c>
      <c r="B60" s="40" t="s">
        <v>2850</v>
      </c>
      <c r="C60" s="40" t="s">
        <v>623</v>
      </c>
      <c r="D60" s="40" t="s">
        <v>2700</v>
      </c>
      <c r="E60" s="40" t="s">
        <v>479</v>
      </c>
      <c r="F60" s="40" t="s">
        <v>2782</v>
      </c>
      <c r="G60" s="40" t="s">
        <v>393</v>
      </c>
      <c r="H60" s="40" t="s">
        <v>3190</v>
      </c>
      <c r="I60" s="40" t="s">
        <v>3191</v>
      </c>
      <c r="J60" s="40" t="s">
        <v>318</v>
      </c>
      <c r="K60" s="40" t="s">
        <v>318</v>
      </c>
      <c r="L60" s="40" t="s">
        <v>879</v>
      </c>
      <c r="M60" s="40" t="s">
        <v>393</v>
      </c>
      <c r="N60" s="40" t="s">
        <v>2683</v>
      </c>
      <c r="O60" s="40" t="s">
        <v>2704</v>
      </c>
      <c r="P60" s="40" t="s">
        <v>2685</v>
      </c>
      <c r="Q60" s="40" t="s">
        <v>2706</v>
      </c>
      <c r="R60" s="40" t="s">
        <v>393</v>
      </c>
      <c r="S60" s="40" t="s">
        <v>3192</v>
      </c>
      <c r="T60" s="40" t="s">
        <v>393</v>
      </c>
      <c r="U60" s="40" t="s">
        <v>3193</v>
      </c>
      <c r="V60" s="40" t="s">
        <v>3194</v>
      </c>
      <c r="W60" s="40" t="s">
        <v>3195</v>
      </c>
      <c r="X60" s="40" t="s">
        <v>3195</v>
      </c>
      <c r="Y60" s="40" t="s">
        <v>3196</v>
      </c>
      <c r="Z60" s="40" t="s">
        <v>3197</v>
      </c>
      <c r="AA60" s="40" t="s">
        <v>2689</v>
      </c>
      <c r="AB60" s="40" t="s">
        <v>598</v>
      </c>
      <c r="AC60" s="40" t="s">
        <v>2691</v>
      </c>
      <c r="AD60" s="40" t="s">
        <v>580</v>
      </c>
      <c r="AE60" s="40" t="s">
        <v>2692</v>
      </c>
      <c r="AF60" s="40" t="s">
        <v>2692</v>
      </c>
      <c r="AG60" s="40" t="s">
        <v>2693</v>
      </c>
      <c r="AH60" s="40" t="s">
        <v>393</v>
      </c>
      <c r="AI60" s="40" t="s">
        <v>3198</v>
      </c>
      <c r="AJ60" s="40" t="s">
        <v>3199</v>
      </c>
      <c r="AK60" s="40" t="s">
        <v>3200</v>
      </c>
      <c r="AL60" s="40" t="s">
        <v>393</v>
      </c>
      <c r="AM60" s="40" t="s">
        <v>3140</v>
      </c>
      <c r="AN60" s="40" t="s">
        <v>3201</v>
      </c>
      <c r="AO60" s="36" t="s">
        <v>3202</v>
      </c>
    </row>
    <row r="61" spans="1:41" ht="69" hidden="1">
      <c r="A61" s="40" t="s">
        <v>2677</v>
      </c>
      <c r="B61" s="40" t="s">
        <v>2850</v>
      </c>
      <c r="C61" s="40" t="s">
        <v>623</v>
      </c>
      <c r="D61" s="40" t="s">
        <v>2700</v>
      </c>
      <c r="E61" s="40" t="s">
        <v>479</v>
      </c>
      <c r="F61" s="40" t="s">
        <v>2740</v>
      </c>
      <c r="G61" s="40" t="s">
        <v>393</v>
      </c>
      <c r="H61" s="40" t="s">
        <v>3203</v>
      </c>
      <c r="I61" s="40" t="s">
        <v>3204</v>
      </c>
      <c r="J61" s="40" t="s">
        <v>318</v>
      </c>
      <c r="K61" s="40" t="s">
        <v>318</v>
      </c>
      <c r="L61" s="40" t="s">
        <v>879</v>
      </c>
      <c r="M61" s="40" t="s">
        <v>393</v>
      </c>
      <c r="N61" s="40" t="s">
        <v>2683</v>
      </c>
      <c r="O61" s="40" t="s">
        <v>2704</v>
      </c>
      <c r="P61" s="40" t="s">
        <v>2685</v>
      </c>
      <c r="Q61" s="40" t="s">
        <v>2706</v>
      </c>
      <c r="R61" s="40" t="s">
        <v>393</v>
      </c>
      <c r="S61" s="40" t="s">
        <v>3205</v>
      </c>
      <c r="T61" s="40" t="s">
        <v>393</v>
      </c>
      <c r="U61" s="40" t="s">
        <v>3206</v>
      </c>
      <c r="V61" s="40" t="s">
        <v>3207</v>
      </c>
      <c r="W61" s="40" t="s">
        <v>3208</v>
      </c>
      <c r="X61" s="40" t="s">
        <v>3209</v>
      </c>
      <c r="Y61" s="40" t="s">
        <v>3210</v>
      </c>
      <c r="Z61" s="40" t="s">
        <v>3119</v>
      </c>
      <c r="AA61" s="40" t="s">
        <v>2689</v>
      </c>
      <c r="AB61" s="40" t="s">
        <v>598</v>
      </c>
      <c r="AC61" s="40" t="s">
        <v>3211</v>
      </c>
      <c r="AD61" s="40" t="s">
        <v>580</v>
      </c>
      <c r="AE61" s="40" t="s">
        <v>2692</v>
      </c>
      <c r="AF61" s="40" t="s">
        <v>2692</v>
      </c>
      <c r="AG61" s="40" t="s">
        <v>2693</v>
      </c>
      <c r="AH61" s="40" t="s">
        <v>393</v>
      </c>
      <c r="AI61" s="40" t="s">
        <v>327</v>
      </c>
      <c r="AJ61" s="40" t="s">
        <v>3212</v>
      </c>
      <c r="AK61" s="40" t="s">
        <v>3213</v>
      </c>
      <c r="AL61" s="40" t="s">
        <v>393</v>
      </c>
      <c r="AM61" s="40" t="s">
        <v>3140</v>
      </c>
      <c r="AN61" s="40" t="s">
        <v>3214</v>
      </c>
      <c r="AO61" s="36" t="s">
        <v>3215</v>
      </c>
    </row>
    <row r="62" spans="1:41" ht="69" hidden="1">
      <c r="A62" s="40" t="s">
        <v>2677</v>
      </c>
      <c r="B62" s="40" t="s">
        <v>2850</v>
      </c>
      <c r="C62" s="40" t="s">
        <v>623</v>
      </c>
      <c r="D62" s="40" t="s">
        <v>2717</v>
      </c>
      <c r="E62" s="40" t="s">
        <v>490</v>
      </c>
      <c r="F62" s="40" t="s">
        <v>2740</v>
      </c>
      <c r="G62" s="40" t="s">
        <v>393</v>
      </c>
      <c r="H62" s="40" t="s">
        <v>3216</v>
      </c>
      <c r="I62" s="40" t="s">
        <v>3217</v>
      </c>
      <c r="J62" s="40" t="s">
        <v>318</v>
      </c>
      <c r="K62" s="40" t="s">
        <v>318</v>
      </c>
      <c r="L62" s="40" t="s">
        <v>879</v>
      </c>
      <c r="M62" s="40" t="s">
        <v>393</v>
      </c>
      <c r="N62" s="40" t="s">
        <v>2683</v>
      </c>
      <c r="O62" s="40" t="s">
        <v>2720</v>
      </c>
      <c r="P62" s="40" t="s">
        <v>2685</v>
      </c>
      <c r="Q62" s="40" t="s">
        <v>2686</v>
      </c>
      <c r="R62" s="40" t="s">
        <v>3218</v>
      </c>
      <c r="S62" s="40" t="s">
        <v>3219</v>
      </c>
      <c r="T62" s="40" t="s">
        <v>3220</v>
      </c>
      <c r="U62" s="40" t="s">
        <v>3221</v>
      </c>
      <c r="V62" s="40" t="s">
        <v>3222</v>
      </c>
      <c r="W62" s="40" t="s">
        <v>3223</v>
      </c>
      <c r="X62" s="40" t="s">
        <v>3224</v>
      </c>
      <c r="Y62" s="40" t="s">
        <v>3225</v>
      </c>
      <c r="Z62" s="40" t="s">
        <v>3226</v>
      </c>
      <c r="AA62" s="40" t="s">
        <v>2752</v>
      </c>
      <c r="AB62" s="40" t="s">
        <v>3227</v>
      </c>
      <c r="AC62" s="40" t="s">
        <v>2691</v>
      </c>
      <c r="AD62" s="40" t="s">
        <v>3228</v>
      </c>
      <c r="AE62" s="40" t="s">
        <v>2692</v>
      </c>
      <c r="AF62" s="40" t="s">
        <v>2692</v>
      </c>
      <c r="AG62" s="40" t="s">
        <v>2693</v>
      </c>
      <c r="AH62" s="40" t="s">
        <v>3229</v>
      </c>
      <c r="AI62" s="40" t="s">
        <v>2842</v>
      </c>
      <c r="AJ62" s="40" t="s">
        <v>3230</v>
      </c>
      <c r="AK62" s="40" t="s">
        <v>3231</v>
      </c>
      <c r="AL62" s="40" t="s">
        <v>3232</v>
      </c>
      <c r="AM62" s="40" t="s">
        <v>3018</v>
      </c>
      <c r="AN62" s="40" t="s">
        <v>3233</v>
      </c>
      <c r="AO62" s="36" t="s">
        <v>3234</v>
      </c>
    </row>
    <row r="63" spans="1:41" ht="69" hidden="1">
      <c r="A63" s="40" t="s">
        <v>2677</v>
      </c>
      <c r="B63" s="40" t="s">
        <v>2850</v>
      </c>
      <c r="C63" s="40" t="s">
        <v>623</v>
      </c>
      <c r="D63" s="40" t="s">
        <v>2866</v>
      </c>
      <c r="E63" s="40" t="s">
        <v>490</v>
      </c>
      <c r="F63" s="40" t="s">
        <v>2680</v>
      </c>
      <c r="G63" s="40" t="s">
        <v>393</v>
      </c>
      <c r="H63" s="40" t="s">
        <v>850</v>
      </c>
      <c r="I63" s="40" t="s">
        <v>851</v>
      </c>
      <c r="J63" s="40" t="s">
        <v>318</v>
      </c>
      <c r="K63" s="40" t="s">
        <v>318</v>
      </c>
      <c r="L63" s="40" t="s">
        <v>879</v>
      </c>
      <c r="M63" s="40" t="s">
        <v>393</v>
      </c>
      <c r="N63" s="40" t="s">
        <v>2683</v>
      </c>
      <c r="O63" s="40" t="s">
        <v>2867</v>
      </c>
      <c r="P63" s="40" t="s">
        <v>2685</v>
      </c>
      <c r="Q63" s="40" t="s">
        <v>2686</v>
      </c>
      <c r="R63" s="40" t="s">
        <v>3235</v>
      </c>
      <c r="S63" s="40" t="s">
        <v>393</v>
      </c>
      <c r="T63" s="40" t="s">
        <v>393</v>
      </c>
      <c r="U63" s="40" t="s">
        <v>3236</v>
      </c>
      <c r="V63" s="40" t="s">
        <v>393</v>
      </c>
      <c r="W63" s="40" t="s">
        <v>393</v>
      </c>
      <c r="X63" s="40" t="s">
        <v>3237</v>
      </c>
      <c r="Y63" s="40" t="s">
        <v>2709</v>
      </c>
      <c r="Z63" s="40" t="s">
        <v>442</v>
      </c>
      <c r="AA63" s="40" t="s">
        <v>2689</v>
      </c>
      <c r="AB63" s="40" t="s">
        <v>2131</v>
      </c>
      <c r="AC63" s="40" t="s">
        <v>2691</v>
      </c>
      <c r="AD63" s="40" t="s">
        <v>598</v>
      </c>
      <c r="AE63" s="40" t="s">
        <v>3238</v>
      </c>
      <c r="AF63" s="40" t="s">
        <v>3239</v>
      </c>
      <c r="AG63" s="40" t="s">
        <v>2693</v>
      </c>
      <c r="AH63" s="40" t="s">
        <v>2831</v>
      </c>
      <c r="AI63" s="40" t="s">
        <v>3085</v>
      </c>
      <c r="AJ63" s="40" t="s">
        <v>393</v>
      </c>
      <c r="AK63" s="40" t="s">
        <v>2815</v>
      </c>
      <c r="AL63" s="40" t="s">
        <v>393</v>
      </c>
      <c r="AM63" s="40" t="s">
        <v>3018</v>
      </c>
      <c r="AN63" s="40" t="s">
        <v>3240</v>
      </c>
      <c r="AO63" s="36" t="s">
        <v>3241</v>
      </c>
    </row>
    <row r="64" spans="1:41" hidden="1">
      <c r="A64" s="40" t="s">
        <v>2677</v>
      </c>
      <c r="B64" s="40" t="s">
        <v>2850</v>
      </c>
      <c r="C64" s="40" t="s">
        <v>623</v>
      </c>
      <c r="D64" s="40" t="s">
        <v>2857</v>
      </c>
      <c r="E64" s="40" t="s">
        <v>490</v>
      </c>
      <c r="F64" s="40" t="s">
        <v>2782</v>
      </c>
      <c r="G64" s="40" t="s">
        <v>393</v>
      </c>
      <c r="H64" s="40" t="s">
        <v>1356</v>
      </c>
      <c r="I64" s="55" t="s">
        <v>3242</v>
      </c>
      <c r="J64" s="40" t="s">
        <v>318</v>
      </c>
      <c r="K64" s="40" t="s">
        <v>318</v>
      </c>
      <c r="L64" s="40" t="s">
        <v>879</v>
      </c>
      <c r="M64" s="40" t="s">
        <v>393</v>
      </c>
      <c r="N64" s="40" t="s">
        <v>2859</v>
      </c>
      <c r="O64" s="40" t="s">
        <v>2860</v>
      </c>
      <c r="P64" s="40" t="s">
        <v>2685</v>
      </c>
      <c r="Q64" s="40" t="s">
        <v>2706</v>
      </c>
      <c r="R64" s="40" t="s">
        <v>393</v>
      </c>
      <c r="S64" s="40" t="s">
        <v>393</v>
      </c>
      <c r="T64" s="40" t="s">
        <v>3243</v>
      </c>
      <c r="U64" s="40" t="s">
        <v>393</v>
      </c>
      <c r="V64" s="40" t="s">
        <v>393</v>
      </c>
      <c r="W64" s="40" t="s">
        <v>3237</v>
      </c>
      <c r="X64" s="40" t="s">
        <v>3244</v>
      </c>
      <c r="Y64" s="40" t="s">
        <v>516</v>
      </c>
      <c r="Z64" s="40" t="s">
        <v>532</v>
      </c>
      <c r="AA64" s="40" t="s">
        <v>2689</v>
      </c>
      <c r="AB64" s="40" t="s">
        <v>2131</v>
      </c>
      <c r="AC64" s="40" t="s">
        <v>2691</v>
      </c>
      <c r="AD64" s="40" t="s">
        <v>2131</v>
      </c>
      <c r="AE64" s="40" t="s">
        <v>393</v>
      </c>
      <c r="AF64" s="40" t="s">
        <v>393</v>
      </c>
      <c r="AG64" s="40" t="s">
        <v>2693</v>
      </c>
      <c r="AH64" s="40" t="s">
        <v>435</v>
      </c>
      <c r="AI64" s="40" t="s">
        <v>330</v>
      </c>
      <c r="AJ64" s="40" t="s">
        <v>327</v>
      </c>
      <c r="AK64" s="40" t="s">
        <v>3245</v>
      </c>
      <c r="AL64" s="40" t="s">
        <v>393</v>
      </c>
      <c r="AM64" s="40" t="s">
        <v>3018</v>
      </c>
      <c r="AN64" s="40" t="s">
        <v>3246</v>
      </c>
      <c r="AO64" s="36" t="s">
        <v>393</v>
      </c>
    </row>
    <row r="65" spans="1:41" hidden="1">
      <c r="A65" s="40" t="s">
        <v>2677</v>
      </c>
      <c r="B65" s="40" t="s">
        <v>2850</v>
      </c>
      <c r="C65" s="40" t="s">
        <v>623</v>
      </c>
      <c r="D65" s="40" t="s">
        <v>2857</v>
      </c>
      <c r="E65" s="40" t="s">
        <v>490</v>
      </c>
      <c r="F65" s="40" t="s">
        <v>2740</v>
      </c>
      <c r="G65" s="40" t="s">
        <v>393</v>
      </c>
      <c r="H65" s="40" t="s">
        <v>1358</v>
      </c>
      <c r="I65" s="55" t="s">
        <v>3247</v>
      </c>
      <c r="J65" s="40" t="s">
        <v>318</v>
      </c>
      <c r="K65" s="40" t="s">
        <v>318</v>
      </c>
      <c r="L65" s="40" t="s">
        <v>879</v>
      </c>
      <c r="M65" s="40" t="s">
        <v>393</v>
      </c>
      <c r="N65" s="40" t="s">
        <v>2859</v>
      </c>
      <c r="O65" s="40" t="s">
        <v>2860</v>
      </c>
      <c r="P65" s="40" t="s">
        <v>2685</v>
      </c>
      <c r="Q65" s="40" t="s">
        <v>2706</v>
      </c>
      <c r="R65" s="40" t="s">
        <v>393</v>
      </c>
      <c r="S65" s="40" t="s">
        <v>393</v>
      </c>
      <c r="T65" s="40" t="s">
        <v>3243</v>
      </c>
      <c r="U65" s="40" t="s">
        <v>393</v>
      </c>
      <c r="V65" s="40" t="s">
        <v>393</v>
      </c>
      <c r="W65" s="40" t="s">
        <v>3248</v>
      </c>
      <c r="X65" s="40" t="s">
        <v>3249</v>
      </c>
      <c r="Y65" s="40" t="s">
        <v>3250</v>
      </c>
      <c r="Z65" s="40" t="s">
        <v>3251</v>
      </c>
      <c r="AA65" s="40" t="s">
        <v>2689</v>
      </c>
      <c r="AB65" s="40" t="s">
        <v>2131</v>
      </c>
      <c r="AC65" s="40" t="s">
        <v>2691</v>
      </c>
      <c r="AD65" s="40" t="s">
        <v>1918</v>
      </c>
      <c r="AE65" s="40" t="s">
        <v>393</v>
      </c>
      <c r="AF65" s="40" t="s">
        <v>393</v>
      </c>
      <c r="AG65" s="40" t="s">
        <v>2693</v>
      </c>
      <c r="AH65" s="40" t="s">
        <v>380</v>
      </c>
      <c r="AI65" s="40" t="s">
        <v>330</v>
      </c>
      <c r="AJ65" s="40" t="s">
        <v>327</v>
      </c>
      <c r="AK65" s="40" t="s">
        <v>3252</v>
      </c>
      <c r="AL65" s="40" t="s">
        <v>393</v>
      </c>
      <c r="AM65" s="40" t="s">
        <v>3018</v>
      </c>
      <c r="AN65" s="40" t="s">
        <v>3246</v>
      </c>
      <c r="AO65" s="36" t="s">
        <v>393</v>
      </c>
    </row>
    <row r="66" spans="1:41" hidden="1">
      <c r="A66" s="40" t="s">
        <v>2677</v>
      </c>
      <c r="B66" s="40" t="s">
        <v>2850</v>
      </c>
      <c r="C66" s="40" t="s">
        <v>623</v>
      </c>
      <c r="D66" s="40" t="s">
        <v>2857</v>
      </c>
      <c r="E66" s="40" t="s">
        <v>490</v>
      </c>
      <c r="F66" s="40" t="s">
        <v>2920</v>
      </c>
      <c r="G66" s="40" t="s">
        <v>393</v>
      </c>
      <c r="H66" s="40" t="s">
        <v>1360</v>
      </c>
      <c r="I66" s="55" t="s">
        <v>3253</v>
      </c>
      <c r="J66" s="40" t="s">
        <v>318</v>
      </c>
      <c r="K66" s="40" t="s">
        <v>318</v>
      </c>
      <c r="L66" s="40" t="s">
        <v>879</v>
      </c>
      <c r="M66" s="40" t="s">
        <v>393</v>
      </c>
      <c r="N66" s="40" t="s">
        <v>2859</v>
      </c>
      <c r="O66" s="40" t="s">
        <v>2860</v>
      </c>
      <c r="P66" s="40" t="s">
        <v>2685</v>
      </c>
      <c r="Q66" s="40" t="s">
        <v>2686</v>
      </c>
      <c r="R66" s="40" t="s">
        <v>393</v>
      </c>
      <c r="S66" s="40" t="s">
        <v>393</v>
      </c>
      <c r="T66" s="40" t="s">
        <v>359</v>
      </c>
      <c r="U66" s="40" t="s">
        <v>393</v>
      </c>
      <c r="V66" s="40" t="s">
        <v>393</v>
      </c>
      <c r="W66" s="40" t="s">
        <v>3254</v>
      </c>
      <c r="X66" s="40" t="s">
        <v>3237</v>
      </c>
      <c r="Y66" s="40" t="s">
        <v>510</v>
      </c>
      <c r="Z66" s="40" t="s">
        <v>532</v>
      </c>
      <c r="AA66" s="40" t="s">
        <v>2689</v>
      </c>
      <c r="AB66" s="40" t="s">
        <v>2131</v>
      </c>
      <c r="AC66" s="40" t="s">
        <v>2691</v>
      </c>
      <c r="AD66" s="40" t="s">
        <v>598</v>
      </c>
      <c r="AE66" s="40" t="s">
        <v>393</v>
      </c>
      <c r="AF66" s="40" t="s">
        <v>393</v>
      </c>
      <c r="AG66" s="40" t="s">
        <v>2693</v>
      </c>
      <c r="AH66" s="40" t="s">
        <v>339</v>
      </c>
      <c r="AI66" s="40" t="s">
        <v>322</v>
      </c>
      <c r="AJ66" s="40" t="s">
        <v>327</v>
      </c>
      <c r="AK66" s="40" t="s">
        <v>3255</v>
      </c>
      <c r="AL66" s="40" t="s">
        <v>393</v>
      </c>
      <c r="AM66" s="40" t="s">
        <v>3018</v>
      </c>
      <c r="AN66" s="40" t="s">
        <v>3246</v>
      </c>
      <c r="AO66" s="36" t="s">
        <v>393</v>
      </c>
    </row>
    <row r="67" spans="1:41" ht="110.4" hidden="1">
      <c r="A67" s="40" t="s">
        <v>2677</v>
      </c>
      <c r="B67" s="40" t="s">
        <v>2865</v>
      </c>
      <c r="C67" s="40" t="s">
        <v>623</v>
      </c>
      <c r="D67" s="40" t="s">
        <v>3256</v>
      </c>
      <c r="E67" s="40" t="s">
        <v>493</v>
      </c>
      <c r="F67" s="40" t="s">
        <v>2680</v>
      </c>
      <c r="G67" s="40" t="s">
        <v>393</v>
      </c>
      <c r="H67" s="40" t="s">
        <v>3257</v>
      </c>
      <c r="I67" s="55" t="s">
        <v>3258</v>
      </c>
      <c r="J67" s="40" t="s">
        <v>318</v>
      </c>
      <c r="K67" s="40" t="s">
        <v>318</v>
      </c>
      <c r="L67" s="40" t="s">
        <v>879</v>
      </c>
      <c r="M67" s="40" t="s">
        <v>393</v>
      </c>
      <c r="N67" s="40" t="s">
        <v>2683</v>
      </c>
      <c r="O67" s="40" t="s">
        <v>3259</v>
      </c>
      <c r="P67" s="40" t="s">
        <v>2685</v>
      </c>
      <c r="Q67" s="40" t="s">
        <v>2686</v>
      </c>
      <c r="R67" s="40" t="s">
        <v>393</v>
      </c>
      <c r="S67" s="40" t="s">
        <v>393</v>
      </c>
      <c r="T67" s="40" t="s">
        <v>393</v>
      </c>
      <c r="U67" s="40" t="s">
        <v>3260</v>
      </c>
      <c r="V67" s="40" t="s">
        <v>393</v>
      </c>
      <c r="W67" s="40" t="s">
        <v>364</v>
      </c>
      <c r="X67" s="40" t="s">
        <v>327</v>
      </c>
      <c r="Y67" s="40" t="s">
        <v>3261</v>
      </c>
      <c r="Z67" s="40" t="s">
        <v>1918</v>
      </c>
      <c r="AA67" s="40" t="s">
        <v>2689</v>
      </c>
      <c r="AB67" s="40" t="s">
        <v>374</v>
      </c>
      <c r="AC67" s="40" t="s">
        <v>3211</v>
      </c>
      <c r="AD67" s="40" t="s">
        <v>3262</v>
      </c>
      <c r="AE67" s="40" t="s">
        <v>393</v>
      </c>
      <c r="AF67" s="40" t="s">
        <v>393</v>
      </c>
      <c r="AG67" s="40" t="s">
        <v>2693</v>
      </c>
      <c r="AH67" s="40" t="s">
        <v>3263</v>
      </c>
      <c r="AI67" s="40" t="s">
        <v>3264</v>
      </c>
      <c r="AJ67" s="40" t="s">
        <v>3265</v>
      </c>
      <c r="AK67" s="40" t="s">
        <v>3266</v>
      </c>
      <c r="AL67" s="40" t="s">
        <v>393</v>
      </c>
      <c r="AM67" s="40" t="s">
        <v>3267</v>
      </c>
      <c r="AN67" s="40" t="s">
        <v>3268</v>
      </c>
      <c r="AO67" s="36" t="s">
        <v>3269</v>
      </c>
    </row>
    <row r="68" spans="1:41" ht="151.80000000000001" hidden="1">
      <c r="A68" s="40" t="s">
        <v>2677</v>
      </c>
      <c r="B68" s="40" t="s">
        <v>2865</v>
      </c>
      <c r="C68" s="40" t="s">
        <v>623</v>
      </c>
      <c r="D68" s="40" t="s">
        <v>3270</v>
      </c>
      <c r="E68" s="40" t="s">
        <v>493</v>
      </c>
      <c r="F68" s="40" t="s">
        <v>2680</v>
      </c>
      <c r="G68" s="40" t="s">
        <v>393</v>
      </c>
      <c r="H68" s="40" t="s">
        <v>3271</v>
      </c>
      <c r="I68" s="55" t="s">
        <v>3272</v>
      </c>
      <c r="J68" s="40" t="s">
        <v>318</v>
      </c>
      <c r="K68" s="40" t="s">
        <v>318</v>
      </c>
      <c r="L68" s="40" t="s">
        <v>879</v>
      </c>
      <c r="M68" s="40" t="s">
        <v>393</v>
      </c>
      <c r="N68" s="40" t="s">
        <v>2683</v>
      </c>
      <c r="O68" s="40" t="s">
        <v>3259</v>
      </c>
      <c r="P68" s="40" t="s">
        <v>2685</v>
      </c>
      <c r="Q68" s="40" t="s">
        <v>2686</v>
      </c>
      <c r="R68" s="40" t="s">
        <v>393</v>
      </c>
      <c r="S68" s="40" t="s">
        <v>393</v>
      </c>
      <c r="T68" s="40" t="s">
        <v>393</v>
      </c>
      <c r="U68" s="40" t="s">
        <v>3273</v>
      </c>
      <c r="V68" s="40" t="s">
        <v>393</v>
      </c>
      <c r="W68" s="40" t="s">
        <v>2868</v>
      </c>
      <c r="X68" s="40" t="s">
        <v>364</v>
      </c>
      <c r="Y68" s="40" t="s">
        <v>2709</v>
      </c>
      <c r="Z68" s="40" t="s">
        <v>3274</v>
      </c>
      <c r="AA68" s="40" t="s">
        <v>2689</v>
      </c>
      <c r="AB68" s="40" t="s">
        <v>342</v>
      </c>
      <c r="AC68" s="40" t="s">
        <v>2691</v>
      </c>
      <c r="AD68" s="40" t="s">
        <v>3275</v>
      </c>
      <c r="AE68" s="40" t="s">
        <v>393</v>
      </c>
      <c r="AF68" s="40" t="s">
        <v>393</v>
      </c>
      <c r="AG68" s="40" t="s">
        <v>2693</v>
      </c>
      <c r="AH68" s="40" t="s">
        <v>3263</v>
      </c>
      <c r="AI68" s="40" t="s">
        <v>3276</v>
      </c>
      <c r="AJ68" s="40" t="s">
        <v>3265</v>
      </c>
      <c r="AK68" s="40" t="s">
        <v>3277</v>
      </c>
      <c r="AL68" s="40" t="s">
        <v>393</v>
      </c>
      <c r="AM68" s="40" t="s">
        <v>3278</v>
      </c>
      <c r="AN68" s="40" t="s">
        <v>3279</v>
      </c>
      <c r="AO68" s="36" t="s">
        <v>3280</v>
      </c>
    </row>
    <row r="69" spans="1:41" ht="55.2" hidden="1">
      <c r="A69" s="40" t="s">
        <v>2677</v>
      </c>
      <c r="B69" s="40" t="s">
        <v>2865</v>
      </c>
      <c r="C69" s="40" t="s">
        <v>623</v>
      </c>
      <c r="D69" s="40" t="s">
        <v>2866</v>
      </c>
      <c r="E69" s="40" t="s">
        <v>493</v>
      </c>
      <c r="F69" s="40" t="s">
        <v>2782</v>
      </c>
      <c r="G69" s="40" t="s">
        <v>15</v>
      </c>
      <c r="H69" s="40" t="s">
        <v>591</v>
      </c>
      <c r="I69" s="40" t="s">
        <v>3281</v>
      </c>
      <c r="J69" s="40" t="s">
        <v>318</v>
      </c>
      <c r="K69" s="40" t="s">
        <v>318</v>
      </c>
      <c r="L69" s="40" t="s">
        <v>879</v>
      </c>
      <c r="M69" s="40" t="s">
        <v>393</v>
      </c>
      <c r="N69" s="40" t="s">
        <v>2683</v>
      </c>
      <c r="O69" s="40" t="s">
        <v>2867</v>
      </c>
      <c r="P69" s="40" t="s">
        <v>2705</v>
      </c>
      <c r="Q69" s="40" t="s">
        <v>2686</v>
      </c>
      <c r="R69" s="40" t="s">
        <v>3282</v>
      </c>
      <c r="S69" s="40" t="s">
        <v>393</v>
      </c>
      <c r="T69" s="40" t="s">
        <v>393</v>
      </c>
      <c r="U69" s="40" t="s">
        <v>393</v>
      </c>
      <c r="V69" s="40" t="s">
        <v>393</v>
      </c>
      <c r="W69" s="40" t="s">
        <v>393</v>
      </c>
      <c r="X69" s="40" t="s">
        <v>364</v>
      </c>
      <c r="Y69" s="40" t="s">
        <v>2709</v>
      </c>
      <c r="Z69" s="40" t="s">
        <v>1918</v>
      </c>
      <c r="AA69" s="40" t="s">
        <v>2689</v>
      </c>
      <c r="AB69" s="40" t="s">
        <v>374</v>
      </c>
      <c r="AC69" s="40" t="s">
        <v>2829</v>
      </c>
      <c r="AD69" s="40" t="s">
        <v>3262</v>
      </c>
      <c r="AE69" s="40" t="s">
        <v>3282</v>
      </c>
      <c r="AF69" s="40" t="s">
        <v>3283</v>
      </c>
      <c r="AG69" s="40" t="s">
        <v>2693</v>
      </c>
      <c r="AH69" s="40" t="s">
        <v>330</v>
      </c>
      <c r="AI69" s="40" t="s">
        <v>2925</v>
      </c>
      <c r="AJ69" s="40" t="s">
        <v>393</v>
      </c>
      <c r="AK69" s="40" t="s">
        <v>3089</v>
      </c>
      <c r="AL69" s="40" t="s">
        <v>393</v>
      </c>
      <c r="AM69" s="40" t="s">
        <v>3267</v>
      </c>
      <c r="AN69" s="40" t="s">
        <v>3284</v>
      </c>
      <c r="AO69" s="36" t="s">
        <v>3285</v>
      </c>
    </row>
    <row r="70" spans="1:41" ht="55.2" hidden="1">
      <c r="A70" s="40" t="s">
        <v>2677</v>
      </c>
      <c r="B70" s="40" t="s">
        <v>2865</v>
      </c>
      <c r="C70" s="40" t="s">
        <v>623</v>
      </c>
      <c r="D70" s="40" t="s">
        <v>2866</v>
      </c>
      <c r="E70" s="40" t="s">
        <v>493</v>
      </c>
      <c r="F70" s="40" t="s">
        <v>2782</v>
      </c>
      <c r="G70" s="40" t="s">
        <v>321</v>
      </c>
      <c r="H70" s="40" t="s">
        <v>596</v>
      </c>
      <c r="I70" s="40" t="s">
        <v>3286</v>
      </c>
      <c r="J70" s="40" t="s">
        <v>318</v>
      </c>
      <c r="K70" s="40" t="s">
        <v>318</v>
      </c>
      <c r="L70" s="40" t="s">
        <v>879</v>
      </c>
      <c r="M70" s="40" t="s">
        <v>393</v>
      </c>
      <c r="N70" s="40" t="s">
        <v>2683</v>
      </c>
      <c r="O70" s="40" t="s">
        <v>2867</v>
      </c>
      <c r="P70" s="40" t="s">
        <v>2705</v>
      </c>
      <c r="Q70" s="40" t="s">
        <v>2686</v>
      </c>
      <c r="R70" s="40" t="s">
        <v>3282</v>
      </c>
      <c r="S70" s="40" t="s">
        <v>393</v>
      </c>
      <c r="T70" s="40" t="s">
        <v>393</v>
      </c>
      <c r="U70" s="40" t="s">
        <v>393</v>
      </c>
      <c r="V70" s="40" t="s">
        <v>393</v>
      </c>
      <c r="W70" s="40" t="s">
        <v>393</v>
      </c>
      <c r="X70" s="40" t="s">
        <v>364</v>
      </c>
      <c r="Y70" s="40" t="s">
        <v>2709</v>
      </c>
      <c r="Z70" s="40" t="s">
        <v>1918</v>
      </c>
      <c r="AA70" s="40" t="s">
        <v>2689</v>
      </c>
      <c r="AB70" s="40" t="s">
        <v>374</v>
      </c>
      <c r="AC70" s="40" t="s">
        <v>2829</v>
      </c>
      <c r="AD70" s="40" t="s">
        <v>3262</v>
      </c>
      <c r="AE70" s="40" t="s">
        <v>3282</v>
      </c>
      <c r="AF70" s="40" t="s">
        <v>3283</v>
      </c>
      <c r="AG70" s="40" t="s">
        <v>3287</v>
      </c>
      <c r="AH70" s="40" t="s">
        <v>330</v>
      </c>
      <c r="AI70" s="40" t="s">
        <v>2925</v>
      </c>
      <c r="AJ70" s="40" t="s">
        <v>393</v>
      </c>
      <c r="AK70" s="40" t="s">
        <v>3089</v>
      </c>
      <c r="AL70" s="40" t="s">
        <v>393</v>
      </c>
      <c r="AM70" s="40" t="s">
        <v>3267</v>
      </c>
      <c r="AN70" s="40" t="s">
        <v>3284</v>
      </c>
      <c r="AO70" s="36" t="s">
        <v>3285</v>
      </c>
    </row>
    <row r="71" spans="1:41" ht="68.400000000000006" hidden="1">
      <c r="A71" s="40" t="s">
        <v>2677</v>
      </c>
      <c r="B71" s="40" t="s">
        <v>2865</v>
      </c>
      <c r="C71" s="40" t="s">
        <v>623</v>
      </c>
      <c r="D71" s="40" t="s">
        <v>2866</v>
      </c>
      <c r="E71" s="40" t="s">
        <v>493</v>
      </c>
      <c r="F71" s="40" t="s">
        <v>2740</v>
      </c>
      <c r="G71" s="40" t="s">
        <v>393</v>
      </c>
      <c r="H71" s="40" t="s">
        <v>619</v>
      </c>
      <c r="I71" s="120" t="s">
        <v>620</v>
      </c>
      <c r="J71" s="40" t="s">
        <v>318</v>
      </c>
      <c r="K71" s="40" t="s">
        <v>318</v>
      </c>
      <c r="L71" s="40" t="s">
        <v>879</v>
      </c>
      <c r="M71" s="40" t="s">
        <v>393</v>
      </c>
      <c r="N71" s="40" t="s">
        <v>2683</v>
      </c>
      <c r="O71" s="40" t="s">
        <v>2867</v>
      </c>
      <c r="P71" s="40" t="s">
        <v>2685</v>
      </c>
      <c r="Q71" s="40" t="s">
        <v>2686</v>
      </c>
      <c r="R71" s="40" t="s">
        <v>3288</v>
      </c>
      <c r="S71" s="40" t="s">
        <v>393</v>
      </c>
      <c r="T71" s="40" t="s">
        <v>393</v>
      </c>
      <c r="U71" s="40" t="s">
        <v>393</v>
      </c>
      <c r="V71" s="40" t="s">
        <v>393</v>
      </c>
      <c r="W71" s="40" t="s">
        <v>2868</v>
      </c>
      <c r="X71" s="40" t="s">
        <v>393</v>
      </c>
      <c r="Y71" s="40" t="s">
        <v>2709</v>
      </c>
      <c r="Z71" s="40" t="s">
        <v>2153</v>
      </c>
      <c r="AA71" s="40" t="s">
        <v>2689</v>
      </c>
      <c r="AB71" s="40" t="s">
        <v>342</v>
      </c>
      <c r="AC71" s="40" t="s">
        <v>2829</v>
      </c>
      <c r="AD71" s="40" t="s">
        <v>2711</v>
      </c>
      <c r="AE71" s="40" t="s">
        <v>3288</v>
      </c>
      <c r="AF71" s="40" t="s">
        <v>2035</v>
      </c>
      <c r="AG71" s="40" t="s">
        <v>3287</v>
      </c>
      <c r="AH71" s="40" t="s">
        <v>3289</v>
      </c>
      <c r="AI71" s="40" t="s">
        <v>354</v>
      </c>
      <c r="AJ71" s="40" t="s">
        <v>393</v>
      </c>
      <c r="AK71" s="40" t="s">
        <v>3290</v>
      </c>
      <c r="AL71" s="40" t="s">
        <v>393</v>
      </c>
      <c r="AM71" s="40" t="s">
        <v>3278</v>
      </c>
      <c r="AN71" s="40" t="s">
        <v>3291</v>
      </c>
      <c r="AO71" s="36" t="s">
        <v>3292</v>
      </c>
    </row>
    <row r="72" spans="1:41" ht="55.2" hidden="1">
      <c r="A72" s="40" t="s">
        <v>2677</v>
      </c>
      <c r="B72" s="40" t="s">
        <v>2865</v>
      </c>
      <c r="C72" s="40" t="s">
        <v>623</v>
      </c>
      <c r="D72" s="40" t="s">
        <v>2866</v>
      </c>
      <c r="E72" s="40" t="s">
        <v>493</v>
      </c>
      <c r="F72" s="40" t="s">
        <v>3293</v>
      </c>
      <c r="G72" s="40" t="s">
        <v>15</v>
      </c>
      <c r="H72" s="40" t="s">
        <v>703</v>
      </c>
      <c r="I72" s="40" t="s">
        <v>704</v>
      </c>
      <c r="J72" s="40" t="s">
        <v>318</v>
      </c>
      <c r="K72" s="40" t="s">
        <v>318</v>
      </c>
      <c r="L72" s="40" t="s">
        <v>879</v>
      </c>
      <c r="M72" s="40" t="s">
        <v>393</v>
      </c>
      <c r="N72" s="40" t="s">
        <v>2683</v>
      </c>
      <c r="O72" s="40" t="s">
        <v>2867</v>
      </c>
      <c r="P72" s="40" t="s">
        <v>2705</v>
      </c>
      <c r="Q72" s="40" t="s">
        <v>2686</v>
      </c>
      <c r="R72" s="40" t="s">
        <v>3282</v>
      </c>
      <c r="S72" s="40" t="s">
        <v>393</v>
      </c>
      <c r="T72" s="40" t="s">
        <v>393</v>
      </c>
      <c r="U72" s="40" t="s">
        <v>393</v>
      </c>
      <c r="V72" s="40" t="s">
        <v>393</v>
      </c>
      <c r="W72" s="40" t="s">
        <v>393</v>
      </c>
      <c r="X72" s="40" t="s">
        <v>364</v>
      </c>
      <c r="Y72" s="40" t="s">
        <v>2709</v>
      </c>
      <c r="Z72" s="40" t="s">
        <v>1918</v>
      </c>
      <c r="AA72" s="40" t="s">
        <v>2689</v>
      </c>
      <c r="AB72" s="40" t="s">
        <v>374</v>
      </c>
      <c r="AC72" s="40" t="s">
        <v>2829</v>
      </c>
      <c r="AD72" s="40" t="s">
        <v>3262</v>
      </c>
      <c r="AE72" s="40" t="s">
        <v>3282</v>
      </c>
      <c r="AF72" s="40" t="s">
        <v>3294</v>
      </c>
      <c r="AG72" s="40" t="s">
        <v>2693</v>
      </c>
      <c r="AH72" s="40" t="s">
        <v>2869</v>
      </c>
      <c r="AI72" s="40" t="s">
        <v>2870</v>
      </c>
      <c r="AJ72" s="40" t="s">
        <v>393</v>
      </c>
      <c r="AK72" s="40" t="s">
        <v>2871</v>
      </c>
      <c r="AL72" s="40" t="s">
        <v>393</v>
      </c>
      <c r="AM72" s="40" t="s">
        <v>3267</v>
      </c>
      <c r="AN72" s="40" t="s">
        <v>3284</v>
      </c>
      <c r="AO72" s="36" t="s">
        <v>3285</v>
      </c>
    </row>
    <row r="73" spans="1:41" ht="55.2" hidden="1">
      <c r="A73" s="40" t="s">
        <v>2677</v>
      </c>
      <c r="B73" s="40" t="s">
        <v>2865</v>
      </c>
      <c r="C73" s="40" t="s">
        <v>623</v>
      </c>
      <c r="D73" s="40" t="s">
        <v>2866</v>
      </c>
      <c r="E73" s="40" t="s">
        <v>493</v>
      </c>
      <c r="F73" s="40" t="s">
        <v>3293</v>
      </c>
      <c r="G73" s="40" t="s">
        <v>321</v>
      </c>
      <c r="H73" s="40" t="s">
        <v>706</v>
      </c>
      <c r="I73" s="40" t="s">
        <v>707</v>
      </c>
      <c r="J73" s="40" t="s">
        <v>318</v>
      </c>
      <c r="K73" s="40" t="s">
        <v>318</v>
      </c>
      <c r="L73" s="40" t="s">
        <v>879</v>
      </c>
      <c r="M73" s="40" t="s">
        <v>393</v>
      </c>
      <c r="N73" s="40" t="s">
        <v>2683</v>
      </c>
      <c r="O73" s="40" t="s">
        <v>2867</v>
      </c>
      <c r="P73" s="40" t="s">
        <v>2705</v>
      </c>
      <c r="Q73" s="40" t="s">
        <v>2686</v>
      </c>
      <c r="R73" s="40" t="s">
        <v>3282</v>
      </c>
      <c r="S73" s="40" t="s">
        <v>393</v>
      </c>
      <c r="T73" s="40" t="s">
        <v>393</v>
      </c>
      <c r="U73" s="40" t="s">
        <v>393</v>
      </c>
      <c r="V73" s="40" t="s">
        <v>393</v>
      </c>
      <c r="W73" s="40" t="s">
        <v>393</v>
      </c>
      <c r="X73" s="40" t="s">
        <v>364</v>
      </c>
      <c r="Y73" s="40" t="s">
        <v>2709</v>
      </c>
      <c r="Z73" s="40" t="s">
        <v>1918</v>
      </c>
      <c r="AA73" s="40" t="s">
        <v>2689</v>
      </c>
      <c r="AB73" s="40" t="s">
        <v>374</v>
      </c>
      <c r="AC73" s="40" t="s">
        <v>2829</v>
      </c>
      <c r="AD73" s="40" t="s">
        <v>3262</v>
      </c>
      <c r="AE73" s="40" t="s">
        <v>3282</v>
      </c>
      <c r="AF73" s="40" t="s">
        <v>3294</v>
      </c>
      <c r="AG73" s="40" t="s">
        <v>3287</v>
      </c>
      <c r="AH73" s="40" t="s">
        <v>2869</v>
      </c>
      <c r="AI73" s="40" t="s">
        <v>2870</v>
      </c>
      <c r="AJ73" s="40" t="s">
        <v>393</v>
      </c>
      <c r="AK73" s="40" t="s">
        <v>2871</v>
      </c>
      <c r="AL73" s="40" t="s">
        <v>393</v>
      </c>
      <c r="AM73" s="40" t="s">
        <v>3267</v>
      </c>
      <c r="AN73" s="40" t="s">
        <v>3284</v>
      </c>
      <c r="AO73" s="36" t="s">
        <v>3285</v>
      </c>
    </row>
    <row r="74" spans="1:41" ht="110.4" hidden="1">
      <c r="A74" s="40" t="s">
        <v>2677</v>
      </c>
      <c r="B74" s="40" t="s">
        <v>2865</v>
      </c>
      <c r="C74" s="40" t="s">
        <v>623</v>
      </c>
      <c r="D74" s="40" t="s">
        <v>2767</v>
      </c>
      <c r="E74" s="40" t="s">
        <v>493</v>
      </c>
      <c r="F74" s="40" t="s">
        <v>2680</v>
      </c>
      <c r="G74" s="40" t="s">
        <v>15</v>
      </c>
      <c r="H74" s="40" t="s">
        <v>3295</v>
      </c>
      <c r="I74" s="40" t="s">
        <v>3296</v>
      </c>
      <c r="J74" s="40" t="s">
        <v>318</v>
      </c>
      <c r="K74" s="40" t="s">
        <v>318</v>
      </c>
      <c r="L74" s="40" t="s">
        <v>879</v>
      </c>
      <c r="M74" s="40" t="s">
        <v>393</v>
      </c>
      <c r="N74" s="40" t="s">
        <v>2683</v>
      </c>
      <c r="O74" s="40" t="s">
        <v>2770</v>
      </c>
      <c r="P74" s="40" t="s">
        <v>2785</v>
      </c>
      <c r="Q74" s="40" t="s">
        <v>2686</v>
      </c>
      <c r="R74" s="40" t="s">
        <v>393</v>
      </c>
      <c r="S74" s="40" t="s">
        <v>359</v>
      </c>
      <c r="T74" s="40" t="s">
        <v>393</v>
      </c>
      <c r="U74" s="40" t="s">
        <v>393</v>
      </c>
      <c r="V74" s="40" t="s">
        <v>393</v>
      </c>
      <c r="W74" s="40" t="s">
        <v>3297</v>
      </c>
      <c r="X74" s="40" t="s">
        <v>3298</v>
      </c>
      <c r="Y74" s="40" t="s">
        <v>2709</v>
      </c>
      <c r="Z74" s="40" t="s">
        <v>510</v>
      </c>
      <c r="AA74" s="40" t="s">
        <v>2689</v>
      </c>
      <c r="AB74" s="40" t="s">
        <v>359</v>
      </c>
      <c r="AC74" s="40" t="s">
        <v>2829</v>
      </c>
      <c r="AD74" s="40" t="s">
        <v>580</v>
      </c>
      <c r="AE74" s="40" t="s">
        <v>3299</v>
      </c>
      <c r="AF74" s="40" t="s">
        <v>3300</v>
      </c>
      <c r="AG74" s="40" t="s">
        <v>3287</v>
      </c>
      <c r="AH74" s="40" t="s">
        <v>3301</v>
      </c>
      <c r="AI74" s="40" t="s">
        <v>3301</v>
      </c>
      <c r="AJ74" s="40" t="s">
        <v>3302</v>
      </c>
      <c r="AK74" s="40" t="s">
        <v>3303</v>
      </c>
      <c r="AL74" s="40" t="s">
        <v>3304</v>
      </c>
      <c r="AM74" s="40" t="s">
        <v>3267</v>
      </c>
      <c r="AN74" s="40" t="s">
        <v>3305</v>
      </c>
      <c r="AO74" s="36" t="s">
        <v>3306</v>
      </c>
    </row>
    <row r="75" spans="1:41" ht="110.4" hidden="1">
      <c r="A75" s="40" t="s">
        <v>2677</v>
      </c>
      <c r="B75" s="40" t="s">
        <v>2865</v>
      </c>
      <c r="C75" s="40" t="s">
        <v>623</v>
      </c>
      <c r="D75" s="40" t="s">
        <v>2767</v>
      </c>
      <c r="E75" s="40" t="s">
        <v>493</v>
      </c>
      <c r="F75" s="40" t="s">
        <v>2680</v>
      </c>
      <c r="G75" s="40" t="s">
        <v>321</v>
      </c>
      <c r="H75" s="40" t="s">
        <v>3307</v>
      </c>
      <c r="I75" s="40" t="s">
        <v>3296</v>
      </c>
      <c r="J75" s="40" t="s">
        <v>318</v>
      </c>
      <c r="K75" s="40" t="s">
        <v>318</v>
      </c>
      <c r="L75" s="40" t="s">
        <v>879</v>
      </c>
      <c r="M75" s="40" t="s">
        <v>393</v>
      </c>
      <c r="N75" s="40" t="s">
        <v>2683</v>
      </c>
      <c r="O75" s="40" t="s">
        <v>2770</v>
      </c>
      <c r="P75" s="40" t="s">
        <v>2785</v>
      </c>
      <c r="Q75" s="40" t="s">
        <v>2686</v>
      </c>
      <c r="R75" s="40" t="s">
        <v>393</v>
      </c>
      <c r="S75" s="40" t="s">
        <v>359</v>
      </c>
      <c r="T75" s="40" t="s">
        <v>393</v>
      </c>
      <c r="U75" s="40" t="s">
        <v>393</v>
      </c>
      <c r="V75" s="40" t="s">
        <v>393</v>
      </c>
      <c r="W75" s="40" t="s">
        <v>3297</v>
      </c>
      <c r="X75" s="40" t="s">
        <v>3298</v>
      </c>
      <c r="Y75" s="40" t="s">
        <v>2709</v>
      </c>
      <c r="Z75" s="40" t="s">
        <v>510</v>
      </c>
      <c r="AA75" s="40" t="s">
        <v>2689</v>
      </c>
      <c r="AB75" s="40" t="s">
        <v>359</v>
      </c>
      <c r="AC75" s="40" t="s">
        <v>2829</v>
      </c>
      <c r="AD75" s="40" t="s">
        <v>580</v>
      </c>
      <c r="AE75" s="40" t="s">
        <v>3299</v>
      </c>
      <c r="AF75" s="40" t="s">
        <v>3300</v>
      </c>
      <c r="AG75" s="40" t="s">
        <v>2693</v>
      </c>
      <c r="AH75" s="40" t="s">
        <v>3301</v>
      </c>
      <c r="AI75" s="40" t="s">
        <v>3301</v>
      </c>
      <c r="AJ75" s="40" t="s">
        <v>3302</v>
      </c>
      <c r="AK75" s="40" t="s">
        <v>3303</v>
      </c>
      <c r="AL75" s="40" t="s">
        <v>3304</v>
      </c>
      <c r="AM75" s="40" t="s">
        <v>3267</v>
      </c>
      <c r="AN75" s="40" t="s">
        <v>2899</v>
      </c>
      <c r="AO75" s="36" t="s">
        <v>3306</v>
      </c>
    </row>
    <row r="76" spans="1:41" ht="96.6" hidden="1">
      <c r="A76" s="40" t="s">
        <v>2677</v>
      </c>
      <c r="B76" s="40" t="s">
        <v>2865</v>
      </c>
      <c r="C76" s="40" t="s">
        <v>623</v>
      </c>
      <c r="D76" s="40" t="s">
        <v>2767</v>
      </c>
      <c r="E76" s="40" t="s">
        <v>493</v>
      </c>
      <c r="F76" s="40" t="s">
        <v>2920</v>
      </c>
      <c r="G76" s="40" t="s">
        <v>15</v>
      </c>
      <c r="H76" s="40" t="s">
        <v>3308</v>
      </c>
      <c r="I76" s="40" t="s">
        <v>3309</v>
      </c>
      <c r="J76" s="40" t="s">
        <v>318</v>
      </c>
      <c r="K76" s="40" t="s">
        <v>318</v>
      </c>
      <c r="L76" s="40" t="s">
        <v>879</v>
      </c>
      <c r="M76" s="40" t="s">
        <v>393</v>
      </c>
      <c r="N76" s="40" t="s">
        <v>2683</v>
      </c>
      <c r="O76" s="40" t="s">
        <v>2770</v>
      </c>
      <c r="P76" s="40" t="s">
        <v>2785</v>
      </c>
      <c r="Q76" s="40" t="s">
        <v>2686</v>
      </c>
      <c r="R76" s="40" t="s">
        <v>393</v>
      </c>
      <c r="S76" s="40" t="s">
        <v>3310</v>
      </c>
      <c r="T76" s="40" t="s">
        <v>393</v>
      </c>
      <c r="U76" s="40" t="s">
        <v>393</v>
      </c>
      <c r="V76" s="40" t="s">
        <v>393</v>
      </c>
      <c r="W76" s="40" t="s">
        <v>2870</v>
      </c>
      <c r="X76" s="40" t="s">
        <v>3311</v>
      </c>
      <c r="Y76" s="40" t="s">
        <v>2709</v>
      </c>
      <c r="Z76" s="40" t="s">
        <v>510</v>
      </c>
      <c r="AA76" s="40" t="s">
        <v>2689</v>
      </c>
      <c r="AB76" s="40" t="s">
        <v>359</v>
      </c>
      <c r="AC76" s="40" t="s">
        <v>2829</v>
      </c>
      <c r="AD76" s="40" t="s">
        <v>580</v>
      </c>
      <c r="AE76" s="40" t="s">
        <v>3312</v>
      </c>
      <c r="AF76" s="40" t="s">
        <v>2843</v>
      </c>
      <c r="AG76" s="40" t="s">
        <v>3287</v>
      </c>
      <c r="AH76" s="40" t="s">
        <v>2925</v>
      </c>
      <c r="AI76" s="40" t="s">
        <v>2925</v>
      </c>
      <c r="AJ76" s="40" t="s">
        <v>3313</v>
      </c>
      <c r="AK76" s="40" t="s">
        <v>2854</v>
      </c>
      <c r="AL76" s="40" t="s">
        <v>3314</v>
      </c>
      <c r="AM76" s="40" t="s">
        <v>3278</v>
      </c>
      <c r="AN76" s="40" t="s">
        <v>3315</v>
      </c>
      <c r="AO76" s="36" t="s">
        <v>3316</v>
      </c>
    </row>
    <row r="77" spans="1:41" ht="96.6" hidden="1">
      <c r="A77" s="40" t="s">
        <v>2677</v>
      </c>
      <c r="B77" s="40" t="s">
        <v>2865</v>
      </c>
      <c r="C77" s="40" t="s">
        <v>623</v>
      </c>
      <c r="D77" s="40" t="s">
        <v>2767</v>
      </c>
      <c r="E77" s="40" t="s">
        <v>493</v>
      </c>
      <c r="F77" s="40" t="s">
        <v>2920</v>
      </c>
      <c r="G77" s="40" t="s">
        <v>321</v>
      </c>
      <c r="H77" s="40" t="s">
        <v>3317</v>
      </c>
      <c r="I77" s="40" t="s">
        <v>3309</v>
      </c>
      <c r="J77" s="40" t="s">
        <v>318</v>
      </c>
      <c r="K77" s="40" t="s">
        <v>318</v>
      </c>
      <c r="L77" s="40" t="s">
        <v>879</v>
      </c>
      <c r="M77" s="40" t="s">
        <v>393</v>
      </c>
      <c r="N77" s="40" t="s">
        <v>2683</v>
      </c>
      <c r="O77" s="40" t="s">
        <v>2770</v>
      </c>
      <c r="P77" s="40" t="s">
        <v>2785</v>
      </c>
      <c r="Q77" s="40" t="s">
        <v>2686</v>
      </c>
      <c r="R77" s="40" t="s">
        <v>393</v>
      </c>
      <c r="S77" s="40" t="s">
        <v>3310</v>
      </c>
      <c r="T77" s="40" t="s">
        <v>393</v>
      </c>
      <c r="U77" s="40" t="s">
        <v>393</v>
      </c>
      <c r="V77" s="40" t="s">
        <v>393</v>
      </c>
      <c r="W77" s="40" t="s">
        <v>2870</v>
      </c>
      <c r="X77" s="40" t="s">
        <v>3311</v>
      </c>
      <c r="Y77" s="40" t="s">
        <v>2709</v>
      </c>
      <c r="Z77" s="40" t="s">
        <v>510</v>
      </c>
      <c r="AA77" s="40" t="s">
        <v>2689</v>
      </c>
      <c r="AB77" s="40" t="s">
        <v>359</v>
      </c>
      <c r="AC77" s="40" t="s">
        <v>2829</v>
      </c>
      <c r="AD77" s="40" t="s">
        <v>580</v>
      </c>
      <c r="AE77" s="40" t="s">
        <v>3312</v>
      </c>
      <c r="AF77" s="40" t="s">
        <v>2843</v>
      </c>
      <c r="AG77" s="40" t="s">
        <v>2693</v>
      </c>
      <c r="AH77" s="40" t="s">
        <v>2925</v>
      </c>
      <c r="AI77" s="40" t="s">
        <v>2925</v>
      </c>
      <c r="AJ77" s="40" t="s">
        <v>3313</v>
      </c>
      <c r="AK77" s="40" t="s">
        <v>2854</v>
      </c>
      <c r="AL77" s="40" t="s">
        <v>3314</v>
      </c>
      <c r="AM77" s="40" t="s">
        <v>3278</v>
      </c>
      <c r="AN77" s="40" t="s">
        <v>3315</v>
      </c>
      <c r="AO77" s="36" t="s">
        <v>3316</v>
      </c>
    </row>
    <row r="78" spans="1:41" ht="69" hidden="1">
      <c r="A78" s="40" t="s">
        <v>2677</v>
      </c>
      <c r="B78" s="40" t="s">
        <v>2865</v>
      </c>
      <c r="C78" s="40" t="s">
        <v>623</v>
      </c>
      <c r="D78" s="40" t="s">
        <v>2857</v>
      </c>
      <c r="E78" s="40" t="s">
        <v>493</v>
      </c>
      <c r="F78" s="40" t="s">
        <v>2680</v>
      </c>
      <c r="G78" s="40" t="s">
        <v>393</v>
      </c>
      <c r="H78" s="40" t="s">
        <v>3318</v>
      </c>
      <c r="I78" s="55" t="s">
        <v>3319</v>
      </c>
      <c r="J78" s="40" t="s">
        <v>318</v>
      </c>
      <c r="K78" s="40" t="s">
        <v>318</v>
      </c>
      <c r="L78" s="40" t="s">
        <v>879</v>
      </c>
      <c r="M78" s="40" t="s">
        <v>393</v>
      </c>
      <c r="N78" s="40" t="s">
        <v>2859</v>
      </c>
      <c r="O78" s="40" t="s">
        <v>2860</v>
      </c>
      <c r="P78" s="40" t="s">
        <v>2685</v>
      </c>
      <c r="Q78" s="40" t="s">
        <v>2706</v>
      </c>
      <c r="R78" s="40" t="s">
        <v>393</v>
      </c>
      <c r="S78" s="40" t="s">
        <v>393</v>
      </c>
      <c r="T78" s="40" t="s">
        <v>3320</v>
      </c>
      <c r="U78" s="40" t="s">
        <v>3321</v>
      </c>
      <c r="V78" s="40" t="s">
        <v>393</v>
      </c>
      <c r="W78" s="40" t="s">
        <v>364</v>
      </c>
      <c r="X78" s="40" t="s">
        <v>334</v>
      </c>
      <c r="Y78" s="40" t="s">
        <v>3261</v>
      </c>
      <c r="Z78" s="40" t="s">
        <v>1918</v>
      </c>
      <c r="AA78" s="40" t="s">
        <v>2689</v>
      </c>
      <c r="AB78" s="40" t="s">
        <v>374</v>
      </c>
      <c r="AC78" s="40" t="s">
        <v>3211</v>
      </c>
      <c r="AD78" s="40" t="s">
        <v>3262</v>
      </c>
      <c r="AE78" s="40" t="s">
        <v>393</v>
      </c>
      <c r="AF78" s="40" t="s">
        <v>393</v>
      </c>
      <c r="AG78" s="40" t="s">
        <v>2693</v>
      </c>
      <c r="AH78" s="40" t="s">
        <v>322</v>
      </c>
      <c r="AI78" s="40" t="s">
        <v>322</v>
      </c>
      <c r="AJ78" s="40" t="s">
        <v>2893</v>
      </c>
      <c r="AK78" s="40" t="s">
        <v>393</v>
      </c>
      <c r="AL78" s="40" t="s">
        <v>393</v>
      </c>
      <c r="AM78" s="40" t="s">
        <v>3267</v>
      </c>
      <c r="AN78" s="40" t="s">
        <v>3322</v>
      </c>
      <c r="AO78" s="36" t="s">
        <v>3323</v>
      </c>
    </row>
    <row r="79" spans="1:41" ht="69" hidden="1">
      <c r="A79" s="40" t="s">
        <v>2677</v>
      </c>
      <c r="B79" s="40" t="s">
        <v>2865</v>
      </c>
      <c r="C79" s="40" t="s">
        <v>623</v>
      </c>
      <c r="D79" s="40" t="s">
        <v>2857</v>
      </c>
      <c r="E79" s="40" t="s">
        <v>493</v>
      </c>
      <c r="F79" s="40" t="s">
        <v>2782</v>
      </c>
      <c r="G79" s="40" t="s">
        <v>393</v>
      </c>
      <c r="H79" s="40" t="s">
        <v>3324</v>
      </c>
      <c r="I79" s="55" t="s">
        <v>3325</v>
      </c>
      <c r="J79" s="40" t="s">
        <v>318</v>
      </c>
      <c r="K79" s="40" t="s">
        <v>318</v>
      </c>
      <c r="L79" s="40" t="s">
        <v>879</v>
      </c>
      <c r="M79" s="40" t="s">
        <v>393</v>
      </c>
      <c r="N79" s="40" t="s">
        <v>2859</v>
      </c>
      <c r="O79" s="40" t="s">
        <v>2860</v>
      </c>
      <c r="P79" s="40" t="s">
        <v>2685</v>
      </c>
      <c r="Q79" s="40" t="s">
        <v>2706</v>
      </c>
      <c r="R79" s="40" t="s">
        <v>393</v>
      </c>
      <c r="S79" s="40" t="s">
        <v>393</v>
      </c>
      <c r="T79" s="40" t="s">
        <v>3326</v>
      </c>
      <c r="U79" s="40" t="s">
        <v>3327</v>
      </c>
      <c r="V79" s="40" t="s">
        <v>393</v>
      </c>
      <c r="W79" s="40" t="s">
        <v>2868</v>
      </c>
      <c r="X79" s="40" t="s">
        <v>364</v>
      </c>
      <c r="Y79" s="40" t="s">
        <v>2709</v>
      </c>
      <c r="Z79" s="40" t="s">
        <v>2153</v>
      </c>
      <c r="AA79" s="40" t="s">
        <v>2689</v>
      </c>
      <c r="AB79" s="40" t="s">
        <v>342</v>
      </c>
      <c r="AC79" s="40" t="s">
        <v>2691</v>
      </c>
      <c r="AD79" s="40" t="s">
        <v>2711</v>
      </c>
      <c r="AE79" s="40" t="s">
        <v>393</v>
      </c>
      <c r="AF79" s="40" t="s">
        <v>393</v>
      </c>
      <c r="AG79" s="40" t="s">
        <v>2693</v>
      </c>
      <c r="AH79" s="40" t="s">
        <v>2893</v>
      </c>
      <c r="AI79" s="40" t="s">
        <v>2893</v>
      </c>
      <c r="AJ79" s="40" t="s">
        <v>2893</v>
      </c>
      <c r="AK79" s="40" t="s">
        <v>393</v>
      </c>
      <c r="AL79" s="40" t="s">
        <v>393</v>
      </c>
      <c r="AM79" s="40" t="s">
        <v>3278</v>
      </c>
      <c r="AN79" s="40" t="s">
        <v>3328</v>
      </c>
      <c r="AO79" s="36" t="s">
        <v>3329</v>
      </c>
    </row>
    <row r="80" spans="1:41" ht="96.6" hidden="1">
      <c r="A80" s="40" t="s">
        <v>2677</v>
      </c>
      <c r="B80" s="40" t="s">
        <v>2865</v>
      </c>
      <c r="C80" s="40" t="s">
        <v>623</v>
      </c>
      <c r="D80" s="40" t="s">
        <v>3330</v>
      </c>
      <c r="E80" s="40" t="s">
        <v>493</v>
      </c>
      <c r="F80" s="40" t="s">
        <v>2782</v>
      </c>
      <c r="G80" s="40" t="s">
        <v>393</v>
      </c>
      <c r="H80" s="40" t="s">
        <v>3331</v>
      </c>
      <c r="I80" s="55" t="s">
        <v>3332</v>
      </c>
      <c r="J80" s="40" t="s">
        <v>318</v>
      </c>
      <c r="K80" s="40" t="s">
        <v>318</v>
      </c>
      <c r="L80" s="40" t="s">
        <v>879</v>
      </c>
      <c r="M80" s="40" t="s">
        <v>393</v>
      </c>
      <c r="N80" s="40" t="s">
        <v>2683</v>
      </c>
      <c r="O80" s="40" t="s">
        <v>3333</v>
      </c>
      <c r="P80" s="40" t="s">
        <v>2685</v>
      </c>
      <c r="Q80" s="40" t="s">
        <v>2686</v>
      </c>
      <c r="R80" s="40" t="s">
        <v>393</v>
      </c>
      <c r="S80" s="40" t="s">
        <v>393</v>
      </c>
      <c r="T80" s="40" t="s">
        <v>393</v>
      </c>
      <c r="U80" s="40" t="s">
        <v>393</v>
      </c>
      <c r="V80" s="40" t="s">
        <v>393</v>
      </c>
      <c r="W80" s="40" t="s">
        <v>364</v>
      </c>
      <c r="X80" s="40" t="s">
        <v>334</v>
      </c>
      <c r="Y80" s="40" t="s">
        <v>442</v>
      </c>
      <c r="Z80" s="40" t="s">
        <v>442</v>
      </c>
      <c r="AA80" s="40" t="s">
        <v>2689</v>
      </c>
      <c r="AB80" s="40" t="s">
        <v>374</v>
      </c>
      <c r="AC80" s="40" t="s">
        <v>2691</v>
      </c>
      <c r="AD80" s="40" t="s">
        <v>580</v>
      </c>
      <c r="AE80" s="40" t="s">
        <v>393</v>
      </c>
      <c r="AF80" s="40" t="s">
        <v>393</v>
      </c>
      <c r="AG80" s="40" t="s">
        <v>3287</v>
      </c>
      <c r="AH80" s="40" t="s">
        <v>2735</v>
      </c>
      <c r="AI80" s="40" t="s">
        <v>3334</v>
      </c>
      <c r="AJ80" s="40" t="s">
        <v>393</v>
      </c>
      <c r="AK80" s="40" t="s">
        <v>2806</v>
      </c>
      <c r="AL80" s="40" t="s">
        <v>393</v>
      </c>
      <c r="AM80" s="40" t="s">
        <v>3267</v>
      </c>
      <c r="AN80" s="40" t="s">
        <v>3328</v>
      </c>
      <c r="AO80" s="36" t="s">
        <v>3335</v>
      </c>
    </row>
    <row r="81" spans="1:41" ht="151.80000000000001" hidden="1">
      <c r="A81" s="40" t="s">
        <v>2677</v>
      </c>
      <c r="B81" s="40" t="s">
        <v>2865</v>
      </c>
      <c r="C81" s="40" t="s">
        <v>623</v>
      </c>
      <c r="D81" s="40" t="s">
        <v>3330</v>
      </c>
      <c r="E81" s="40" t="s">
        <v>493</v>
      </c>
      <c r="F81" s="40" t="s">
        <v>2740</v>
      </c>
      <c r="G81" s="40" t="s">
        <v>393</v>
      </c>
      <c r="H81" s="40" t="s">
        <v>3336</v>
      </c>
      <c r="I81" s="40" t="s">
        <v>3337</v>
      </c>
      <c r="J81" s="40" t="s">
        <v>318</v>
      </c>
      <c r="K81" s="40" t="s">
        <v>318</v>
      </c>
      <c r="L81" s="40" t="s">
        <v>879</v>
      </c>
      <c r="M81" s="40" t="s">
        <v>393</v>
      </c>
      <c r="N81" s="40" t="s">
        <v>2683</v>
      </c>
      <c r="O81" s="40" t="s">
        <v>3338</v>
      </c>
      <c r="P81" s="40" t="s">
        <v>2685</v>
      </c>
      <c r="Q81" s="40" t="s">
        <v>2706</v>
      </c>
      <c r="R81" s="40" t="s">
        <v>393</v>
      </c>
      <c r="S81" s="40" t="s">
        <v>393</v>
      </c>
      <c r="T81" s="40" t="s">
        <v>305</v>
      </c>
      <c r="U81" s="40" t="s">
        <v>393</v>
      </c>
      <c r="V81" s="40" t="s">
        <v>393</v>
      </c>
      <c r="W81" s="40" t="s">
        <v>364</v>
      </c>
      <c r="X81" s="40" t="s">
        <v>3339</v>
      </c>
      <c r="Y81" s="40" t="s">
        <v>490</v>
      </c>
      <c r="Z81" s="40" t="s">
        <v>527</v>
      </c>
      <c r="AA81" s="40" t="s">
        <v>2689</v>
      </c>
      <c r="AB81" s="40" t="s">
        <v>374</v>
      </c>
      <c r="AC81" s="40" t="s">
        <v>2691</v>
      </c>
      <c r="AD81" s="40" t="s">
        <v>580</v>
      </c>
      <c r="AE81" s="40" t="s">
        <v>3340</v>
      </c>
      <c r="AF81" s="40" t="s">
        <v>3341</v>
      </c>
      <c r="AG81" s="40" t="s">
        <v>2693</v>
      </c>
      <c r="AH81" s="40" t="s">
        <v>3342</v>
      </c>
      <c r="AI81" s="40" t="s">
        <v>3343</v>
      </c>
      <c r="AJ81" s="40" t="s">
        <v>3344</v>
      </c>
      <c r="AK81" s="40" t="s">
        <v>393</v>
      </c>
      <c r="AL81" s="40" t="s">
        <v>393</v>
      </c>
      <c r="AM81" s="40" t="s">
        <v>3267</v>
      </c>
      <c r="AN81" s="40" t="s">
        <v>3345</v>
      </c>
      <c r="AO81" s="36" t="s">
        <v>3346</v>
      </c>
    </row>
    <row r="82" spans="1:41" ht="96.6" hidden="1">
      <c r="A82" s="40" t="s">
        <v>2677</v>
      </c>
      <c r="B82" s="40" t="s">
        <v>2865</v>
      </c>
      <c r="C82" s="40" t="s">
        <v>623</v>
      </c>
      <c r="D82" s="40" t="s">
        <v>3330</v>
      </c>
      <c r="E82" s="40" t="s">
        <v>493</v>
      </c>
      <c r="F82" s="40" t="s">
        <v>3293</v>
      </c>
      <c r="G82" s="40" t="s">
        <v>393</v>
      </c>
      <c r="H82" s="40" t="s">
        <v>3347</v>
      </c>
      <c r="I82" s="55" t="s">
        <v>3348</v>
      </c>
      <c r="J82" s="40" t="s">
        <v>318</v>
      </c>
      <c r="K82" s="40" t="s">
        <v>318</v>
      </c>
      <c r="L82" s="40" t="s">
        <v>879</v>
      </c>
      <c r="M82" s="40" t="s">
        <v>393</v>
      </c>
      <c r="N82" s="40" t="s">
        <v>2683</v>
      </c>
      <c r="O82" s="40" t="s">
        <v>3333</v>
      </c>
      <c r="P82" s="40" t="s">
        <v>2685</v>
      </c>
      <c r="Q82" s="40" t="s">
        <v>2686</v>
      </c>
      <c r="R82" s="40" t="s">
        <v>393</v>
      </c>
      <c r="S82" s="40" t="s">
        <v>393</v>
      </c>
      <c r="T82" s="40" t="s">
        <v>393</v>
      </c>
      <c r="U82" s="40" t="s">
        <v>393</v>
      </c>
      <c r="V82" s="40" t="s">
        <v>393</v>
      </c>
      <c r="W82" s="40" t="s">
        <v>2868</v>
      </c>
      <c r="X82" s="40" t="s">
        <v>364</v>
      </c>
      <c r="Y82" s="40" t="s">
        <v>442</v>
      </c>
      <c r="Z82" s="40" t="s">
        <v>442</v>
      </c>
      <c r="AA82" s="40" t="s">
        <v>2689</v>
      </c>
      <c r="AB82" s="40" t="s">
        <v>342</v>
      </c>
      <c r="AC82" s="40" t="s">
        <v>2691</v>
      </c>
      <c r="AD82" s="40" t="s">
        <v>580</v>
      </c>
      <c r="AE82" s="40" t="s">
        <v>393</v>
      </c>
      <c r="AF82" s="40" t="s">
        <v>393</v>
      </c>
      <c r="AG82" s="40" t="s">
        <v>3287</v>
      </c>
      <c r="AH82" s="40" t="s">
        <v>2735</v>
      </c>
      <c r="AI82" s="40" t="s">
        <v>3334</v>
      </c>
      <c r="AJ82" s="40" t="s">
        <v>393</v>
      </c>
      <c r="AK82" s="40" t="s">
        <v>2806</v>
      </c>
      <c r="AL82" s="40" t="s">
        <v>393</v>
      </c>
      <c r="AM82" s="40" t="s">
        <v>3278</v>
      </c>
      <c r="AN82" s="40" t="s">
        <v>3328</v>
      </c>
      <c r="AO82" s="36" t="s">
        <v>3335</v>
      </c>
    </row>
    <row r="83" spans="1:41" ht="124.2" hidden="1">
      <c r="A83" s="40" t="s">
        <v>2677</v>
      </c>
      <c r="B83" s="40" t="s">
        <v>2865</v>
      </c>
      <c r="C83" s="40" t="s">
        <v>623</v>
      </c>
      <c r="D83" s="40" t="s">
        <v>3330</v>
      </c>
      <c r="E83" s="40" t="s">
        <v>493</v>
      </c>
      <c r="F83" s="40" t="s">
        <v>3349</v>
      </c>
      <c r="G83" s="40" t="s">
        <v>393</v>
      </c>
      <c r="H83" s="40" t="s">
        <v>3350</v>
      </c>
      <c r="I83" s="40" t="s">
        <v>3351</v>
      </c>
      <c r="J83" s="40" t="s">
        <v>318</v>
      </c>
      <c r="K83" s="40" t="s">
        <v>318</v>
      </c>
      <c r="L83" s="40" t="s">
        <v>879</v>
      </c>
      <c r="M83" s="40" t="s">
        <v>393</v>
      </c>
      <c r="N83" s="40" t="s">
        <v>2683</v>
      </c>
      <c r="O83" s="40" t="s">
        <v>3338</v>
      </c>
      <c r="P83" s="40" t="s">
        <v>2685</v>
      </c>
      <c r="Q83" s="40" t="s">
        <v>2706</v>
      </c>
      <c r="R83" s="40" t="s">
        <v>393</v>
      </c>
      <c r="S83" s="40" t="s">
        <v>393</v>
      </c>
      <c r="T83" s="40" t="s">
        <v>305</v>
      </c>
      <c r="U83" s="40" t="s">
        <v>393</v>
      </c>
      <c r="V83" s="40" t="s">
        <v>393</v>
      </c>
      <c r="W83" s="40" t="s">
        <v>2868</v>
      </c>
      <c r="X83" s="40" t="s">
        <v>3339</v>
      </c>
      <c r="Y83" s="40" t="s">
        <v>490</v>
      </c>
      <c r="Z83" s="40" t="s">
        <v>527</v>
      </c>
      <c r="AA83" s="40" t="s">
        <v>2689</v>
      </c>
      <c r="AB83" s="40" t="s">
        <v>374</v>
      </c>
      <c r="AC83" s="40" t="s">
        <v>2691</v>
      </c>
      <c r="AD83" s="40" t="s">
        <v>580</v>
      </c>
      <c r="AE83" s="40" t="s">
        <v>3352</v>
      </c>
      <c r="AF83" s="40" t="s">
        <v>3341</v>
      </c>
      <c r="AG83" s="40" t="s">
        <v>2693</v>
      </c>
      <c r="AH83" s="40" t="s">
        <v>3342</v>
      </c>
      <c r="AI83" s="40" t="s">
        <v>3343</v>
      </c>
      <c r="AJ83" s="40" t="s">
        <v>3344</v>
      </c>
      <c r="AK83" s="40" t="s">
        <v>393</v>
      </c>
      <c r="AL83" s="40" t="s">
        <v>393</v>
      </c>
      <c r="AM83" s="40" t="s">
        <v>3278</v>
      </c>
      <c r="AN83" s="40" t="s">
        <v>3353</v>
      </c>
      <c r="AO83" s="36" t="s">
        <v>3354</v>
      </c>
    </row>
    <row r="84" spans="1:41" ht="69" hidden="1">
      <c r="A84" s="40" t="s">
        <v>2677</v>
      </c>
      <c r="B84" s="40" t="s">
        <v>2865</v>
      </c>
      <c r="C84" s="40" t="s">
        <v>623</v>
      </c>
      <c r="D84" s="40" t="s">
        <v>2700</v>
      </c>
      <c r="E84" s="40" t="s">
        <v>493</v>
      </c>
      <c r="F84" s="40" t="s">
        <v>2680</v>
      </c>
      <c r="G84" s="40" t="s">
        <v>15</v>
      </c>
      <c r="H84" s="40" t="s">
        <v>3355</v>
      </c>
      <c r="I84" s="40" t="s">
        <v>3356</v>
      </c>
      <c r="J84" s="40" t="s">
        <v>318</v>
      </c>
      <c r="K84" s="40" t="s">
        <v>318</v>
      </c>
      <c r="L84" s="40" t="s">
        <v>879</v>
      </c>
      <c r="M84" s="40" t="s">
        <v>393</v>
      </c>
      <c r="N84" s="40" t="s">
        <v>2683</v>
      </c>
      <c r="O84" s="40" t="s">
        <v>2704</v>
      </c>
      <c r="P84" s="40" t="s">
        <v>2705</v>
      </c>
      <c r="Q84" s="40" t="s">
        <v>2706</v>
      </c>
      <c r="R84" s="40" t="s">
        <v>393</v>
      </c>
      <c r="S84" s="40" t="s">
        <v>393</v>
      </c>
      <c r="T84" s="40" t="s">
        <v>393</v>
      </c>
      <c r="U84" s="40" t="s">
        <v>3357</v>
      </c>
      <c r="V84" s="40" t="s">
        <v>393</v>
      </c>
      <c r="W84" s="40" t="s">
        <v>364</v>
      </c>
      <c r="X84" s="40" t="s">
        <v>334</v>
      </c>
      <c r="Y84" s="40" t="s">
        <v>3261</v>
      </c>
      <c r="Z84" s="40" t="s">
        <v>1918</v>
      </c>
      <c r="AA84" s="40" t="s">
        <v>2689</v>
      </c>
      <c r="AB84" s="40" t="s">
        <v>374</v>
      </c>
      <c r="AC84" s="40" t="s">
        <v>3211</v>
      </c>
      <c r="AD84" s="40" t="s">
        <v>3262</v>
      </c>
      <c r="AE84" s="40" t="s">
        <v>2692</v>
      </c>
      <c r="AF84" s="40" t="s">
        <v>2692</v>
      </c>
      <c r="AG84" s="40" t="s">
        <v>2693</v>
      </c>
      <c r="AH84" s="40" t="s">
        <v>380</v>
      </c>
      <c r="AI84" s="40" t="s">
        <v>3358</v>
      </c>
      <c r="AJ84" s="40" t="s">
        <v>393</v>
      </c>
      <c r="AK84" s="40" t="s">
        <v>3359</v>
      </c>
      <c r="AL84" s="40" t="s">
        <v>3360</v>
      </c>
      <c r="AM84" s="40" t="s">
        <v>3267</v>
      </c>
      <c r="AN84" s="40" t="s">
        <v>3361</v>
      </c>
      <c r="AO84" s="36" t="s">
        <v>3362</v>
      </c>
    </row>
    <row r="85" spans="1:41" ht="69" hidden="1">
      <c r="A85" s="40" t="s">
        <v>2677</v>
      </c>
      <c r="B85" s="40" t="s">
        <v>2865</v>
      </c>
      <c r="C85" s="40" t="s">
        <v>623</v>
      </c>
      <c r="D85" s="40" t="s">
        <v>2700</v>
      </c>
      <c r="E85" s="40" t="s">
        <v>493</v>
      </c>
      <c r="F85" s="40" t="s">
        <v>2680</v>
      </c>
      <c r="G85" s="40" t="s">
        <v>321</v>
      </c>
      <c r="H85" s="40" t="s">
        <v>3363</v>
      </c>
      <c r="I85" s="40" t="s">
        <v>3364</v>
      </c>
      <c r="J85" s="40" t="s">
        <v>318</v>
      </c>
      <c r="K85" s="40" t="s">
        <v>318</v>
      </c>
      <c r="L85" s="40" t="s">
        <v>879</v>
      </c>
      <c r="M85" s="40" t="s">
        <v>393</v>
      </c>
      <c r="N85" s="40" t="s">
        <v>2683</v>
      </c>
      <c r="O85" s="40" t="s">
        <v>2704</v>
      </c>
      <c r="P85" s="40" t="s">
        <v>2705</v>
      </c>
      <c r="Q85" s="40" t="s">
        <v>2706</v>
      </c>
      <c r="R85" s="40" t="s">
        <v>393</v>
      </c>
      <c r="S85" s="40" t="s">
        <v>393</v>
      </c>
      <c r="T85" s="40" t="s">
        <v>393</v>
      </c>
      <c r="U85" s="40" t="s">
        <v>3357</v>
      </c>
      <c r="V85" s="40" t="s">
        <v>393</v>
      </c>
      <c r="W85" s="40" t="s">
        <v>364</v>
      </c>
      <c r="X85" s="40" t="s">
        <v>334</v>
      </c>
      <c r="Y85" s="40" t="s">
        <v>3261</v>
      </c>
      <c r="Z85" s="40" t="s">
        <v>1918</v>
      </c>
      <c r="AA85" s="40" t="s">
        <v>2689</v>
      </c>
      <c r="AB85" s="40" t="s">
        <v>374</v>
      </c>
      <c r="AC85" s="40" t="s">
        <v>3211</v>
      </c>
      <c r="AD85" s="40" t="s">
        <v>3262</v>
      </c>
      <c r="AE85" s="40" t="s">
        <v>2692</v>
      </c>
      <c r="AF85" s="40" t="s">
        <v>2692</v>
      </c>
      <c r="AG85" s="40" t="s">
        <v>2693</v>
      </c>
      <c r="AH85" s="40" t="s">
        <v>380</v>
      </c>
      <c r="AI85" s="40" t="s">
        <v>3358</v>
      </c>
      <c r="AJ85" s="40" t="s">
        <v>393</v>
      </c>
      <c r="AK85" s="40" t="s">
        <v>3359</v>
      </c>
      <c r="AL85" s="40" t="s">
        <v>3360</v>
      </c>
      <c r="AM85" s="40" t="s">
        <v>3267</v>
      </c>
      <c r="AN85" s="40" t="s">
        <v>3361</v>
      </c>
      <c r="AO85" s="36" t="s">
        <v>3362</v>
      </c>
    </row>
    <row r="86" spans="1:41" hidden="1">
      <c r="A86" s="40" t="s">
        <v>2677</v>
      </c>
      <c r="B86" s="40" t="s">
        <v>2865</v>
      </c>
      <c r="C86" s="40" t="s">
        <v>623</v>
      </c>
      <c r="D86" s="40" t="s">
        <v>2700</v>
      </c>
      <c r="E86" s="40" t="s">
        <v>493</v>
      </c>
      <c r="F86" s="40" t="s">
        <v>2782</v>
      </c>
      <c r="G86" s="40" t="s">
        <v>393</v>
      </c>
      <c r="H86" s="40" t="s">
        <v>3365</v>
      </c>
      <c r="I86" s="40" t="s">
        <v>3366</v>
      </c>
      <c r="J86" s="40" t="s">
        <v>318</v>
      </c>
      <c r="K86" s="40" t="s">
        <v>318</v>
      </c>
      <c r="L86" s="40" t="s">
        <v>879</v>
      </c>
      <c r="M86" s="40" t="s">
        <v>393</v>
      </c>
      <c r="N86" s="40" t="s">
        <v>2683</v>
      </c>
      <c r="O86" s="40" t="s">
        <v>2704</v>
      </c>
      <c r="P86" s="40" t="s">
        <v>2685</v>
      </c>
      <c r="Q86" s="40" t="s">
        <v>2706</v>
      </c>
      <c r="R86" s="40" t="s">
        <v>393</v>
      </c>
      <c r="S86" s="40" t="s">
        <v>393</v>
      </c>
      <c r="T86" s="40" t="s">
        <v>393</v>
      </c>
      <c r="U86" s="40" t="s">
        <v>3367</v>
      </c>
      <c r="V86" s="40" t="s">
        <v>393</v>
      </c>
      <c r="W86" s="40" t="s">
        <v>2868</v>
      </c>
      <c r="X86" s="40" t="s">
        <v>364</v>
      </c>
      <c r="Y86" s="40" t="s">
        <v>2709</v>
      </c>
      <c r="Z86" s="40" t="s">
        <v>2153</v>
      </c>
      <c r="AA86" s="40" t="s">
        <v>2689</v>
      </c>
      <c r="AB86" s="40" t="s">
        <v>342</v>
      </c>
      <c r="AC86" s="40" t="s">
        <v>2691</v>
      </c>
      <c r="AD86" s="40" t="s">
        <v>2711</v>
      </c>
      <c r="AE86" s="40" t="s">
        <v>2692</v>
      </c>
      <c r="AF86" s="40" t="s">
        <v>2692</v>
      </c>
      <c r="AG86" s="40" t="s">
        <v>2693</v>
      </c>
      <c r="AH86" s="40" t="s">
        <v>339</v>
      </c>
      <c r="AI86" s="40" t="s">
        <v>2804</v>
      </c>
      <c r="AJ86" s="40" t="s">
        <v>393</v>
      </c>
      <c r="AK86" s="40" t="s">
        <v>2793</v>
      </c>
      <c r="AL86" s="40" t="s">
        <v>393</v>
      </c>
      <c r="AM86" s="40" t="s">
        <v>3278</v>
      </c>
      <c r="AN86" s="40" t="s">
        <v>3368</v>
      </c>
      <c r="AO86" s="36" t="s">
        <v>3369</v>
      </c>
    </row>
    <row r="87" spans="1:41" ht="69" hidden="1">
      <c r="A87" s="40" t="s">
        <v>2677</v>
      </c>
      <c r="B87" s="40" t="s">
        <v>3370</v>
      </c>
      <c r="C87" s="40" t="s">
        <v>623</v>
      </c>
      <c r="D87" s="40" t="s">
        <v>2767</v>
      </c>
      <c r="E87" s="40" t="s">
        <v>519</v>
      </c>
      <c r="F87" s="40" t="s">
        <v>2680</v>
      </c>
      <c r="G87" s="40" t="s">
        <v>15</v>
      </c>
      <c r="H87" s="40" t="s">
        <v>1223</v>
      </c>
      <c r="I87" s="40" t="s">
        <v>1224</v>
      </c>
      <c r="J87" s="40" t="s">
        <v>318</v>
      </c>
      <c r="K87" s="40" t="s">
        <v>318</v>
      </c>
      <c r="L87" s="40" t="s">
        <v>879</v>
      </c>
      <c r="M87" s="40" t="s">
        <v>393</v>
      </c>
      <c r="N87" s="40" t="s">
        <v>2683</v>
      </c>
      <c r="O87" s="40" t="s">
        <v>2770</v>
      </c>
      <c r="P87" s="40" t="s">
        <v>2785</v>
      </c>
      <c r="Q87" s="40" t="s">
        <v>2706</v>
      </c>
      <c r="R87" s="40" t="s">
        <v>393</v>
      </c>
      <c r="S87" s="40" t="s">
        <v>3371</v>
      </c>
      <c r="T87" s="40" t="s">
        <v>393</v>
      </c>
      <c r="U87" s="40" t="s">
        <v>393</v>
      </c>
      <c r="V87" s="40" t="s">
        <v>393</v>
      </c>
      <c r="W87" s="40" t="s">
        <v>364</v>
      </c>
      <c r="X87" s="40" t="s">
        <v>3372</v>
      </c>
      <c r="Y87" s="40" t="s">
        <v>452</v>
      </c>
      <c r="Z87" s="40" t="s">
        <v>496</v>
      </c>
      <c r="AA87" s="40" t="s">
        <v>2689</v>
      </c>
      <c r="AB87" s="40" t="s">
        <v>360</v>
      </c>
      <c r="AC87" s="40" t="s">
        <v>2709</v>
      </c>
      <c r="AD87" s="40" t="s">
        <v>580</v>
      </c>
      <c r="AE87" s="40" t="s">
        <v>793</v>
      </c>
      <c r="AF87" s="40" t="s">
        <v>349</v>
      </c>
      <c r="AG87" s="40" t="s">
        <v>2693</v>
      </c>
      <c r="AH87" s="40" t="s">
        <v>2735</v>
      </c>
      <c r="AI87" s="40" t="s">
        <v>2894</v>
      </c>
      <c r="AJ87" s="40" t="s">
        <v>2895</v>
      </c>
      <c r="AK87" s="40" t="s">
        <v>3373</v>
      </c>
      <c r="AL87" s="40" t="s">
        <v>3374</v>
      </c>
      <c r="AM87" s="40" t="s">
        <v>3375</v>
      </c>
      <c r="AN87" s="40" t="s">
        <v>3376</v>
      </c>
      <c r="AO87" s="36" t="s">
        <v>3377</v>
      </c>
    </row>
    <row r="88" spans="1:41" ht="69" hidden="1">
      <c r="A88" s="40" t="s">
        <v>2677</v>
      </c>
      <c r="B88" s="40" t="s">
        <v>3370</v>
      </c>
      <c r="C88" s="40" t="s">
        <v>623</v>
      </c>
      <c r="D88" s="40" t="s">
        <v>2767</v>
      </c>
      <c r="E88" s="40" t="s">
        <v>519</v>
      </c>
      <c r="F88" s="40" t="s">
        <v>2680</v>
      </c>
      <c r="G88" s="40" t="s">
        <v>321</v>
      </c>
      <c r="H88" s="40" t="s">
        <v>1225</v>
      </c>
      <c r="I88" s="40" t="s">
        <v>1224</v>
      </c>
      <c r="J88" s="40" t="s">
        <v>318</v>
      </c>
      <c r="K88" s="40" t="s">
        <v>318</v>
      </c>
      <c r="L88" s="40" t="s">
        <v>879</v>
      </c>
      <c r="M88" s="40" t="s">
        <v>393</v>
      </c>
      <c r="N88" s="40" t="s">
        <v>2683</v>
      </c>
      <c r="O88" s="40" t="s">
        <v>2770</v>
      </c>
      <c r="P88" s="40" t="s">
        <v>2785</v>
      </c>
      <c r="Q88" s="40" t="s">
        <v>2706</v>
      </c>
      <c r="R88" s="40" t="s">
        <v>393</v>
      </c>
      <c r="S88" s="40" t="s">
        <v>3371</v>
      </c>
      <c r="T88" s="40" t="s">
        <v>393</v>
      </c>
      <c r="U88" s="40" t="s">
        <v>393</v>
      </c>
      <c r="V88" s="40" t="s">
        <v>393</v>
      </c>
      <c r="W88" s="40" t="s">
        <v>364</v>
      </c>
      <c r="X88" s="40" t="s">
        <v>3372</v>
      </c>
      <c r="Y88" s="40" t="s">
        <v>452</v>
      </c>
      <c r="Z88" s="40" t="s">
        <v>496</v>
      </c>
      <c r="AA88" s="40" t="s">
        <v>2689</v>
      </c>
      <c r="AB88" s="40" t="s">
        <v>360</v>
      </c>
      <c r="AC88" s="40" t="s">
        <v>2709</v>
      </c>
      <c r="AD88" s="40" t="s">
        <v>580</v>
      </c>
      <c r="AE88" s="40" t="s">
        <v>793</v>
      </c>
      <c r="AF88" s="40" t="s">
        <v>349</v>
      </c>
      <c r="AG88" s="40" t="s">
        <v>2693</v>
      </c>
      <c r="AH88" s="40" t="s">
        <v>2735</v>
      </c>
      <c r="AI88" s="40" t="s">
        <v>2894</v>
      </c>
      <c r="AJ88" s="40" t="s">
        <v>2895</v>
      </c>
      <c r="AK88" s="40" t="s">
        <v>3373</v>
      </c>
      <c r="AL88" s="40" t="s">
        <v>3374</v>
      </c>
      <c r="AM88" s="40" t="s">
        <v>3375</v>
      </c>
      <c r="AN88" s="40" t="s">
        <v>3376</v>
      </c>
      <c r="AO88" s="36" t="s">
        <v>3377</v>
      </c>
    </row>
    <row r="89" spans="1:41" ht="69" hidden="1">
      <c r="A89" s="40" t="s">
        <v>2677</v>
      </c>
      <c r="B89" s="40" t="s">
        <v>3370</v>
      </c>
      <c r="C89" s="40" t="s">
        <v>623</v>
      </c>
      <c r="D89" s="40" t="s">
        <v>2767</v>
      </c>
      <c r="E89" s="40" t="s">
        <v>519</v>
      </c>
      <c r="F89" s="40" t="s">
        <v>2740</v>
      </c>
      <c r="G89" s="40" t="s">
        <v>15</v>
      </c>
      <c r="H89" s="40" t="s">
        <v>1238</v>
      </c>
      <c r="I89" s="40" t="s">
        <v>1239</v>
      </c>
      <c r="J89" s="40" t="s">
        <v>318</v>
      </c>
      <c r="K89" s="40" t="s">
        <v>318</v>
      </c>
      <c r="L89" s="40" t="s">
        <v>879</v>
      </c>
      <c r="M89" s="40" t="s">
        <v>393</v>
      </c>
      <c r="N89" s="40" t="s">
        <v>2683</v>
      </c>
      <c r="O89" s="40" t="s">
        <v>2770</v>
      </c>
      <c r="P89" s="40" t="s">
        <v>2785</v>
      </c>
      <c r="Q89" s="40" t="s">
        <v>2706</v>
      </c>
      <c r="R89" s="40" t="s">
        <v>393</v>
      </c>
      <c r="S89" s="40" t="s">
        <v>3378</v>
      </c>
      <c r="T89" s="40" t="s">
        <v>393</v>
      </c>
      <c r="U89" s="40" t="s">
        <v>393</v>
      </c>
      <c r="V89" s="40" t="s">
        <v>393</v>
      </c>
      <c r="W89" s="40" t="s">
        <v>354</v>
      </c>
      <c r="X89" s="40" t="s">
        <v>3379</v>
      </c>
      <c r="Y89" s="40" t="s">
        <v>532</v>
      </c>
      <c r="Z89" s="40" t="s">
        <v>532</v>
      </c>
      <c r="AA89" s="40" t="s">
        <v>2689</v>
      </c>
      <c r="AB89" s="40" t="s">
        <v>336</v>
      </c>
      <c r="AC89" s="40" t="s">
        <v>2709</v>
      </c>
      <c r="AD89" s="40" t="s">
        <v>598</v>
      </c>
      <c r="AE89" s="40" t="s">
        <v>2893</v>
      </c>
      <c r="AF89" s="40" t="s">
        <v>2843</v>
      </c>
      <c r="AG89" s="40" t="s">
        <v>2693</v>
      </c>
      <c r="AH89" s="40" t="s">
        <v>3380</v>
      </c>
      <c r="AI89" s="40" t="s">
        <v>3085</v>
      </c>
      <c r="AJ89" s="40" t="s">
        <v>3085</v>
      </c>
      <c r="AK89" s="40" t="s">
        <v>3341</v>
      </c>
      <c r="AL89" s="40" t="s">
        <v>3381</v>
      </c>
      <c r="AM89" s="40" t="s">
        <v>3375</v>
      </c>
      <c r="AN89" s="40" t="s">
        <v>3376</v>
      </c>
      <c r="AO89" s="36" t="s">
        <v>3377</v>
      </c>
    </row>
    <row r="90" spans="1:41" ht="69" hidden="1">
      <c r="A90" s="40" t="s">
        <v>2677</v>
      </c>
      <c r="B90" s="40" t="s">
        <v>3370</v>
      </c>
      <c r="C90" s="40" t="s">
        <v>623</v>
      </c>
      <c r="D90" s="40" t="s">
        <v>2767</v>
      </c>
      <c r="E90" s="40" t="s">
        <v>519</v>
      </c>
      <c r="F90" s="40" t="s">
        <v>2740</v>
      </c>
      <c r="G90" s="40" t="s">
        <v>321</v>
      </c>
      <c r="H90" s="40" t="s">
        <v>1240</v>
      </c>
      <c r="I90" s="40" t="s">
        <v>1239</v>
      </c>
      <c r="J90" s="40" t="s">
        <v>318</v>
      </c>
      <c r="K90" s="40" t="s">
        <v>318</v>
      </c>
      <c r="L90" s="40" t="s">
        <v>879</v>
      </c>
      <c r="M90" s="40" t="s">
        <v>393</v>
      </c>
      <c r="N90" s="40" t="s">
        <v>2683</v>
      </c>
      <c r="O90" s="40" t="s">
        <v>2770</v>
      </c>
      <c r="P90" s="40" t="s">
        <v>2785</v>
      </c>
      <c r="Q90" s="40" t="s">
        <v>2706</v>
      </c>
      <c r="R90" s="40" t="s">
        <v>393</v>
      </c>
      <c r="S90" s="40" t="s">
        <v>3378</v>
      </c>
      <c r="T90" s="40" t="s">
        <v>393</v>
      </c>
      <c r="U90" s="40" t="s">
        <v>393</v>
      </c>
      <c r="V90" s="40" t="s">
        <v>393</v>
      </c>
      <c r="W90" s="40" t="s">
        <v>354</v>
      </c>
      <c r="X90" s="40" t="s">
        <v>3379</v>
      </c>
      <c r="Y90" s="40" t="s">
        <v>532</v>
      </c>
      <c r="Z90" s="40" t="s">
        <v>532</v>
      </c>
      <c r="AA90" s="40" t="s">
        <v>2689</v>
      </c>
      <c r="AB90" s="40" t="s">
        <v>336</v>
      </c>
      <c r="AC90" s="40" t="s">
        <v>2709</v>
      </c>
      <c r="AD90" s="40" t="s">
        <v>598</v>
      </c>
      <c r="AE90" s="40" t="s">
        <v>2893</v>
      </c>
      <c r="AF90" s="40" t="s">
        <v>2843</v>
      </c>
      <c r="AG90" s="40" t="s">
        <v>2693</v>
      </c>
      <c r="AH90" s="40" t="s">
        <v>3380</v>
      </c>
      <c r="AI90" s="40" t="s">
        <v>3085</v>
      </c>
      <c r="AJ90" s="40" t="s">
        <v>3085</v>
      </c>
      <c r="AK90" s="40" t="s">
        <v>3341</v>
      </c>
      <c r="AL90" s="40" t="s">
        <v>3381</v>
      </c>
      <c r="AM90" s="40" t="s">
        <v>3375</v>
      </c>
      <c r="AN90" s="40" t="s">
        <v>3376</v>
      </c>
      <c r="AO90" s="36" t="s">
        <v>3377</v>
      </c>
    </row>
    <row r="91" spans="1:41" ht="69" hidden="1">
      <c r="A91" s="40" t="s">
        <v>2677</v>
      </c>
      <c r="B91" s="40" t="s">
        <v>3370</v>
      </c>
      <c r="C91" s="40" t="s">
        <v>623</v>
      </c>
      <c r="D91" s="40" t="s">
        <v>2767</v>
      </c>
      <c r="E91" s="40" t="s">
        <v>519</v>
      </c>
      <c r="F91" s="40" t="s">
        <v>2920</v>
      </c>
      <c r="G91" s="40" t="s">
        <v>393</v>
      </c>
      <c r="H91" s="40" t="s">
        <v>1241</v>
      </c>
      <c r="I91" s="40" t="s">
        <v>1242</v>
      </c>
      <c r="J91" s="40" t="s">
        <v>318</v>
      </c>
      <c r="K91" s="40" t="s">
        <v>318</v>
      </c>
      <c r="L91" s="40" t="s">
        <v>879</v>
      </c>
      <c r="M91" s="40" t="s">
        <v>393</v>
      </c>
      <c r="N91" s="40" t="s">
        <v>2683</v>
      </c>
      <c r="O91" s="40" t="s">
        <v>2770</v>
      </c>
      <c r="P91" s="40" t="s">
        <v>2685</v>
      </c>
      <c r="Q91" s="40" t="s">
        <v>2686</v>
      </c>
      <c r="R91" s="40" t="s">
        <v>393</v>
      </c>
      <c r="S91" s="40" t="s">
        <v>458</v>
      </c>
      <c r="T91" s="40" t="s">
        <v>393</v>
      </c>
      <c r="U91" s="40" t="s">
        <v>393</v>
      </c>
      <c r="V91" s="40" t="s">
        <v>393</v>
      </c>
      <c r="W91" s="40" t="s">
        <v>2914</v>
      </c>
      <c r="X91" s="40" t="s">
        <v>3382</v>
      </c>
      <c r="Y91" s="40" t="s">
        <v>2958</v>
      </c>
      <c r="Z91" s="40" t="s">
        <v>532</v>
      </c>
      <c r="AA91" s="40" t="s">
        <v>2689</v>
      </c>
      <c r="AB91" s="40" t="s">
        <v>334</v>
      </c>
      <c r="AC91" s="40" t="s">
        <v>2709</v>
      </c>
      <c r="AD91" s="40" t="s">
        <v>580</v>
      </c>
      <c r="AE91" s="40" t="s">
        <v>912</v>
      </c>
      <c r="AF91" s="40" t="s">
        <v>2843</v>
      </c>
      <c r="AG91" s="40" t="s">
        <v>2693</v>
      </c>
      <c r="AH91" s="40" t="s">
        <v>2735</v>
      </c>
      <c r="AI91" s="40" t="s">
        <v>2894</v>
      </c>
      <c r="AJ91" s="40" t="s">
        <v>2895</v>
      </c>
      <c r="AK91" s="40" t="s">
        <v>3383</v>
      </c>
      <c r="AL91" s="40" t="s">
        <v>3384</v>
      </c>
      <c r="AM91" s="40" t="s">
        <v>3375</v>
      </c>
      <c r="AN91" s="40" t="s">
        <v>3376</v>
      </c>
      <c r="AO91" s="36" t="s">
        <v>3385</v>
      </c>
    </row>
    <row r="92" spans="1:41" ht="82.8" hidden="1">
      <c r="A92" s="40" t="s">
        <v>2677</v>
      </c>
      <c r="B92" s="40" t="s">
        <v>3370</v>
      </c>
      <c r="C92" s="40" t="s">
        <v>623</v>
      </c>
      <c r="D92" s="40" t="s">
        <v>2390</v>
      </c>
      <c r="E92" s="40" t="s">
        <v>519</v>
      </c>
      <c r="F92" s="40" t="s">
        <v>2680</v>
      </c>
      <c r="G92" s="40" t="s">
        <v>393</v>
      </c>
      <c r="H92" s="40" t="s">
        <v>3386</v>
      </c>
      <c r="I92" s="40" t="s">
        <v>3387</v>
      </c>
      <c r="J92" s="40" t="s">
        <v>318</v>
      </c>
      <c r="K92" s="40" t="s">
        <v>318</v>
      </c>
      <c r="L92" s="40" t="s">
        <v>879</v>
      </c>
      <c r="M92" s="40" t="s">
        <v>393</v>
      </c>
      <c r="N92" s="40" t="s">
        <v>2683</v>
      </c>
      <c r="O92" s="40" t="s">
        <v>3388</v>
      </c>
      <c r="P92" s="40" t="s">
        <v>2685</v>
      </c>
      <c r="Q92" s="40" t="s">
        <v>2706</v>
      </c>
      <c r="R92" s="40" t="s">
        <v>393</v>
      </c>
      <c r="S92" s="40" t="s">
        <v>393</v>
      </c>
      <c r="T92" s="40" t="s">
        <v>393</v>
      </c>
      <c r="U92" s="40" t="s">
        <v>393</v>
      </c>
      <c r="V92" s="40" t="s">
        <v>3389</v>
      </c>
      <c r="W92" s="40" t="s">
        <v>354</v>
      </c>
      <c r="X92" s="40" t="s">
        <v>1938</v>
      </c>
      <c r="Y92" s="40" t="s">
        <v>2958</v>
      </c>
      <c r="Z92" s="40" t="s">
        <v>505</v>
      </c>
      <c r="AA92" s="40" t="s">
        <v>2938</v>
      </c>
      <c r="AB92" s="40" t="s">
        <v>2757</v>
      </c>
      <c r="AC92" s="40" t="s">
        <v>2709</v>
      </c>
      <c r="AD92" s="40" t="s">
        <v>580</v>
      </c>
      <c r="AE92" s="40" t="s">
        <v>2692</v>
      </c>
      <c r="AF92" s="40" t="s">
        <v>2692</v>
      </c>
      <c r="AG92" s="40" t="s">
        <v>2693</v>
      </c>
      <c r="AH92" s="40" t="s">
        <v>393</v>
      </c>
      <c r="AI92" s="40" t="s">
        <v>374</v>
      </c>
      <c r="AJ92" s="40" t="s">
        <v>3390</v>
      </c>
      <c r="AK92" s="40" t="s">
        <v>3391</v>
      </c>
      <c r="AL92" s="40" t="s">
        <v>3392</v>
      </c>
      <c r="AM92" s="40" t="s">
        <v>3375</v>
      </c>
      <c r="AN92" s="40" t="s">
        <v>3393</v>
      </c>
      <c r="AO92" s="36" t="s">
        <v>3394</v>
      </c>
    </row>
    <row r="93" spans="1:41" ht="69" hidden="1">
      <c r="A93" s="40" t="s">
        <v>2677</v>
      </c>
      <c r="B93" s="40" t="s">
        <v>3370</v>
      </c>
      <c r="C93" s="40" t="s">
        <v>623</v>
      </c>
      <c r="D93" s="40" t="s">
        <v>2390</v>
      </c>
      <c r="E93" s="40" t="s">
        <v>519</v>
      </c>
      <c r="F93" s="40" t="s">
        <v>2782</v>
      </c>
      <c r="G93" s="40" t="s">
        <v>393</v>
      </c>
      <c r="H93" s="40" t="s">
        <v>3395</v>
      </c>
      <c r="I93" s="40" t="s">
        <v>3396</v>
      </c>
      <c r="J93" s="40" t="s">
        <v>318</v>
      </c>
      <c r="K93" s="40" t="s">
        <v>318</v>
      </c>
      <c r="L93" s="40" t="s">
        <v>879</v>
      </c>
      <c r="M93" s="40" t="s">
        <v>393</v>
      </c>
      <c r="N93" s="40" t="s">
        <v>2683</v>
      </c>
      <c r="O93" s="40" t="s">
        <v>3388</v>
      </c>
      <c r="P93" s="40" t="s">
        <v>2685</v>
      </c>
      <c r="Q93" s="40" t="s">
        <v>2706</v>
      </c>
      <c r="R93" s="40" t="s">
        <v>393</v>
      </c>
      <c r="S93" s="40" t="s">
        <v>393</v>
      </c>
      <c r="T93" s="40" t="s">
        <v>393</v>
      </c>
      <c r="U93" s="40" t="s">
        <v>393</v>
      </c>
      <c r="V93" s="40" t="s">
        <v>3397</v>
      </c>
      <c r="W93" s="40" t="s">
        <v>354</v>
      </c>
      <c r="X93" s="40" t="s">
        <v>1938</v>
      </c>
      <c r="Y93" s="40" t="s">
        <v>2958</v>
      </c>
      <c r="Z93" s="40" t="s">
        <v>505</v>
      </c>
      <c r="AA93" s="40" t="s">
        <v>2938</v>
      </c>
      <c r="AB93" s="40" t="s">
        <v>2757</v>
      </c>
      <c r="AC93" s="40" t="s">
        <v>2709</v>
      </c>
      <c r="AD93" s="40" t="s">
        <v>598</v>
      </c>
      <c r="AE93" s="40" t="s">
        <v>2692</v>
      </c>
      <c r="AF93" s="40" t="s">
        <v>2692</v>
      </c>
      <c r="AG93" s="40" t="s">
        <v>2693</v>
      </c>
      <c r="AH93" s="40" t="s">
        <v>393</v>
      </c>
      <c r="AI93" s="40" t="s">
        <v>374</v>
      </c>
      <c r="AJ93" s="40" t="s">
        <v>3071</v>
      </c>
      <c r="AK93" s="40" t="s">
        <v>3398</v>
      </c>
      <c r="AL93" s="40" t="s">
        <v>3399</v>
      </c>
      <c r="AM93" s="40" t="s">
        <v>3375</v>
      </c>
      <c r="AN93" s="40" t="s">
        <v>3400</v>
      </c>
      <c r="AO93" s="36" t="s">
        <v>3401</v>
      </c>
    </row>
    <row r="94" spans="1:41" ht="124.2" hidden="1">
      <c r="A94" s="40" t="s">
        <v>2677</v>
      </c>
      <c r="B94" s="40" t="s">
        <v>2678</v>
      </c>
      <c r="C94" s="40" t="s">
        <v>623</v>
      </c>
      <c r="D94" s="40" t="s">
        <v>3330</v>
      </c>
      <c r="E94" s="40" t="s">
        <v>519</v>
      </c>
      <c r="F94" s="40" t="s">
        <v>2680</v>
      </c>
      <c r="G94" s="40" t="s">
        <v>393</v>
      </c>
      <c r="H94" s="40" t="s">
        <v>899</v>
      </c>
      <c r="I94" s="40" t="s">
        <v>900</v>
      </c>
      <c r="J94" s="40" t="s">
        <v>318</v>
      </c>
      <c r="K94" s="40" t="s">
        <v>318</v>
      </c>
      <c r="L94" s="40" t="s">
        <v>879</v>
      </c>
      <c r="M94" s="40" t="s">
        <v>393</v>
      </c>
      <c r="N94" s="40" t="s">
        <v>2683</v>
      </c>
      <c r="O94" s="40" t="s">
        <v>3402</v>
      </c>
      <c r="P94" s="40" t="s">
        <v>2685</v>
      </c>
      <c r="Q94" s="40" t="s">
        <v>2706</v>
      </c>
      <c r="R94" s="40" t="s">
        <v>393</v>
      </c>
      <c r="S94" s="40" t="s">
        <v>3403</v>
      </c>
      <c r="T94" s="40" t="s">
        <v>393</v>
      </c>
      <c r="U94" s="40" t="s">
        <v>393</v>
      </c>
      <c r="V94" s="40" t="s">
        <v>393</v>
      </c>
      <c r="W94" s="40" t="s">
        <v>393</v>
      </c>
      <c r="X94" s="40" t="s">
        <v>3404</v>
      </c>
      <c r="Y94" s="40" t="s">
        <v>2958</v>
      </c>
      <c r="Z94" s="40" t="s">
        <v>519</v>
      </c>
      <c r="AA94" s="40" t="s">
        <v>2937</v>
      </c>
      <c r="AB94" s="40" t="s">
        <v>3373</v>
      </c>
      <c r="AC94" s="40" t="s">
        <v>2709</v>
      </c>
      <c r="AD94" s="40" t="s">
        <v>580</v>
      </c>
      <c r="AE94" s="40" t="s">
        <v>3405</v>
      </c>
      <c r="AF94" s="40" t="s">
        <v>3406</v>
      </c>
      <c r="AG94" s="40" t="s">
        <v>2693</v>
      </c>
      <c r="AH94" s="40" t="s">
        <v>345</v>
      </c>
      <c r="AI94" s="40" t="s">
        <v>3120</v>
      </c>
      <c r="AJ94" s="40" t="s">
        <v>318</v>
      </c>
      <c r="AK94" s="40" t="s">
        <v>2816</v>
      </c>
      <c r="AL94" s="40" t="s">
        <v>3407</v>
      </c>
      <c r="AM94" s="40" t="s">
        <v>3375</v>
      </c>
      <c r="AN94" s="40" t="s">
        <v>3408</v>
      </c>
      <c r="AO94" s="36" t="s">
        <v>3409</v>
      </c>
    </row>
    <row r="95" spans="1:41" ht="220.8" hidden="1">
      <c r="A95" s="40" t="s">
        <v>2677</v>
      </c>
      <c r="B95" s="40" t="s">
        <v>3370</v>
      </c>
      <c r="C95" s="40" t="s">
        <v>623</v>
      </c>
      <c r="D95" s="40" t="s">
        <v>3330</v>
      </c>
      <c r="E95" s="40" t="s">
        <v>519</v>
      </c>
      <c r="F95" s="40" t="s">
        <v>2782</v>
      </c>
      <c r="G95" s="40" t="s">
        <v>393</v>
      </c>
      <c r="H95" s="40" t="s">
        <v>381</v>
      </c>
      <c r="I95" s="40" t="s">
        <v>3410</v>
      </c>
      <c r="J95" s="40" t="s">
        <v>318</v>
      </c>
      <c r="K95" s="40" t="s">
        <v>318</v>
      </c>
      <c r="L95" s="40" t="s">
        <v>879</v>
      </c>
      <c r="M95" s="40" t="s">
        <v>393</v>
      </c>
      <c r="N95" s="40" t="s">
        <v>2683</v>
      </c>
      <c r="O95" s="40" t="s">
        <v>3411</v>
      </c>
      <c r="P95" s="40" t="s">
        <v>2685</v>
      </c>
      <c r="Q95" s="40" t="s">
        <v>2706</v>
      </c>
      <c r="R95" s="40" t="s">
        <v>393</v>
      </c>
      <c r="S95" s="40" t="s">
        <v>3412</v>
      </c>
      <c r="T95" s="40" t="s">
        <v>393</v>
      </c>
      <c r="U95" s="40" t="s">
        <v>393</v>
      </c>
      <c r="V95" s="40" t="s">
        <v>393</v>
      </c>
      <c r="W95" s="40" t="s">
        <v>393</v>
      </c>
      <c r="X95" s="40" t="s">
        <v>393</v>
      </c>
      <c r="Y95" s="40" t="s">
        <v>393</v>
      </c>
      <c r="Z95" s="40" t="s">
        <v>393</v>
      </c>
      <c r="AA95" s="40" t="s">
        <v>393</v>
      </c>
      <c r="AB95" s="40" t="s">
        <v>393</v>
      </c>
      <c r="AC95" s="40" t="s">
        <v>393</v>
      </c>
      <c r="AD95" s="40" t="s">
        <v>393</v>
      </c>
      <c r="AE95" s="40" t="s">
        <v>393</v>
      </c>
      <c r="AF95" s="40" t="s">
        <v>3413</v>
      </c>
      <c r="AG95" s="40" t="s">
        <v>2693</v>
      </c>
      <c r="AH95" s="40" t="s">
        <v>3414</v>
      </c>
      <c r="AI95" s="40" t="s">
        <v>3415</v>
      </c>
      <c r="AJ95" s="40" t="s">
        <v>3415</v>
      </c>
      <c r="AK95" s="40" t="s">
        <v>3416</v>
      </c>
      <c r="AL95" s="40" t="s">
        <v>3417</v>
      </c>
      <c r="AM95" s="40" t="s">
        <v>3418</v>
      </c>
      <c r="AN95" s="40" t="s">
        <v>3328</v>
      </c>
      <c r="AO95" s="36" t="s">
        <v>3419</v>
      </c>
    </row>
    <row r="96" spans="1:41" ht="69" hidden="1">
      <c r="A96" s="40" t="s">
        <v>2677</v>
      </c>
      <c r="B96" s="40" t="s">
        <v>3370</v>
      </c>
      <c r="C96" s="40" t="s">
        <v>623</v>
      </c>
      <c r="D96" s="40" t="s">
        <v>2866</v>
      </c>
      <c r="E96" s="40" t="s">
        <v>623</v>
      </c>
      <c r="F96" s="40" t="s">
        <v>2680</v>
      </c>
      <c r="G96" s="40" t="s">
        <v>15</v>
      </c>
      <c r="H96" s="40" t="s">
        <v>718</v>
      </c>
      <c r="I96" s="40" t="s">
        <v>3420</v>
      </c>
      <c r="J96" s="40" t="s">
        <v>318</v>
      </c>
      <c r="K96" s="40" t="s">
        <v>318</v>
      </c>
      <c r="L96" s="40" t="s">
        <v>879</v>
      </c>
      <c r="M96" s="40" t="s">
        <v>393</v>
      </c>
      <c r="N96" s="40" t="s">
        <v>2683</v>
      </c>
      <c r="O96" s="40" t="s">
        <v>2867</v>
      </c>
      <c r="P96" s="40" t="s">
        <v>2785</v>
      </c>
      <c r="Q96" s="40" t="s">
        <v>2706</v>
      </c>
      <c r="R96" s="40" t="s">
        <v>505</v>
      </c>
      <c r="S96" s="40" t="s">
        <v>393</v>
      </c>
      <c r="T96" s="40" t="s">
        <v>393</v>
      </c>
      <c r="U96" s="40" t="s">
        <v>393</v>
      </c>
      <c r="V96" s="40" t="s">
        <v>393</v>
      </c>
      <c r="W96" s="40" t="s">
        <v>393</v>
      </c>
      <c r="X96" s="40" t="s">
        <v>345</v>
      </c>
      <c r="Y96" s="40" t="s">
        <v>3421</v>
      </c>
      <c r="Z96" s="40" t="s">
        <v>442</v>
      </c>
      <c r="AA96" s="40" t="s">
        <v>2689</v>
      </c>
      <c r="AB96" s="40" t="s">
        <v>432</v>
      </c>
      <c r="AC96" s="40" t="s">
        <v>3422</v>
      </c>
      <c r="AD96" s="40" t="s">
        <v>580</v>
      </c>
      <c r="AE96" s="40" t="s">
        <v>505</v>
      </c>
      <c r="AF96" s="40" t="s">
        <v>540</v>
      </c>
      <c r="AG96" s="40" t="s">
        <v>2693</v>
      </c>
      <c r="AH96" s="40" t="s">
        <v>2734</v>
      </c>
      <c r="AI96" s="40" t="s">
        <v>2870</v>
      </c>
      <c r="AJ96" s="40" t="s">
        <v>393</v>
      </c>
      <c r="AK96" s="40" t="s">
        <v>3283</v>
      </c>
      <c r="AL96" s="40" t="s">
        <v>393</v>
      </c>
      <c r="AM96" s="40" t="s">
        <v>3423</v>
      </c>
      <c r="AN96" s="40" t="s">
        <v>3424</v>
      </c>
      <c r="AO96" s="36" t="s">
        <v>3425</v>
      </c>
    </row>
    <row r="97" spans="1:41" ht="69" hidden="1">
      <c r="A97" s="40" t="s">
        <v>2677</v>
      </c>
      <c r="B97" s="40" t="s">
        <v>3370</v>
      </c>
      <c r="C97" s="40" t="s">
        <v>623</v>
      </c>
      <c r="D97" s="40" t="s">
        <v>2866</v>
      </c>
      <c r="E97" s="40" t="s">
        <v>623</v>
      </c>
      <c r="F97" s="40" t="s">
        <v>2680</v>
      </c>
      <c r="G97" s="40" t="s">
        <v>321</v>
      </c>
      <c r="H97" s="40" t="s">
        <v>858</v>
      </c>
      <c r="I97" s="40" t="s">
        <v>3420</v>
      </c>
      <c r="J97" s="40" t="s">
        <v>318</v>
      </c>
      <c r="K97" s="40" t="s">
        <v>318</v>
      </c>
      <c r="L97" s="40" t="s">
        <v>879</v>
      </c>
      <c r="M97" s="40" t="s">
        <v>393</v>
      </c>
      <c r="N97" s="40" t="s">
        <v>2683</v>
      </c>
      <c r="O97" s="40" t="s">
        <v>2867</v>
      </c>
      <c r="P97" s="40" t="s">
        <v>2785</v>
      </c>
      <c r="Q97" s="40" t="s">
        <v>2706</v>
      </c>
      <c r="R97" s="40" t="s">
        <v>505</v>
      </c>
      <c r="S97" s="40" t="s">
        <v>393</v>
      </c>
      <c r="T97" s="40" t="s">
        <v>393</v>
      </c>
      <c r="U97" s="40" t="s">
        <v>393</v>
      </c>
      <c r="V97" s="40" t="s">
        <v>393</v>
      </c>
      <c r="W97" s="40" t="s">
        <v>393</v>
      </c>
      <c r="X97" s="40" t="s">
        <v>345</v>
      </c>
      <c r="Y97" s="40" t="s">
        <v>3421</v>
      </c>
      <c r="Z97" s="40" t="s">
        <v>442</v>
      </c>
      <c r="AA97" s="40" t="s">
        <v>2689</v>
      </c>
      <c r="AB97" s="40" t="s">
        <v>432</v>
      </c>
      <c r="AC97" s="40" t="s">
        <v>3422</v>
      </c>
      <c r="AD97" s="40" t="s">
        <v>580</v>
      </c>
      <c r="AE97" s="40" t="s">
        <v>505</v>
      </c>
      <c r="AF97" s="40" t="s">
        <v>540</v>
      </c>
      <c r="AG97" s="40" t="s">
        <v>2693</v>
      </c>
      <c r="AH97" s="40" t="s">
        <v>2734</v>
      </c>
      <c r="AI97" s="40" t="s">
        <v>2870</v>
      </c>
      <c r="AJ97" s="40" t="s">
        <v>393</v>
      </c>
      <c r="AK97" s="40" t="s">
        <v>3283</v>
      </c>
      <c r="AL97" s="40" t="s">
        <v>393</v>
      </c>
      <c r="AM97" s="40" t="s">
        <v>3423</v>
      </c>
      <c r="AN97" s="40" t="s">
        <v>3424</v>
      </c>
      <c r="AO97" s="36" t="s">
        <v>3425</v>
      </c>
    </row>
    <row r="98" spans="1:41" ht="82.8" hidden="1">
      <c r="A98" s="40" t="s">
        <v>2677</v>
      </c>
      <c r="B98" s="40" t="s">
        <v>3370</v>
      </c>
      <c r="C98" s="40" t="s">
        <v>623</v>
      </c>
      <c r="D98" s="40" t="s">
        <v>2700</v>
      </c>
      <c r="E98" s="40" t="s">
        <v>623</v>
      </c>
      <c r="F98" s="40" t="s">
        <v>2680</v>
      </c>
      <c r="G98" s="40" t="s">
        <v>393</v>
      </c>
      <c r="H98" s="40" t="s">
        <v>3426</v>
      </c>
      <c r="I98" s="40" t="s">
        <v>3427</v>
      </c>
      <c r="J98" s="40" t="s">
        <v>318</v>
      </c>
      <c r="K98" s="40" t="s">
        <v>318</v>
      </c>
      <c r="L98" s="40" t="s">
        <v>879</v>
      </c>
      <c r="M98" s="40" t="s">
        <v>393</v>
      </c>
      <c r="N98" s="40" t="s">
        <v>2683</v>
      </c>
      <c r="O98" s="40" t="s">
        <v>2704</v>
      </c>
      <c r="P98" s="40" t="s">
        <v>2685</v>
      </c>
      <c r="Q98" s="40" t="s">
        <v>2706</v>
      </c>
      <c r="R98" s="40" t="s">
        <v>393</v>
      </c>
      <c r="S98" s="40" t="s">
        <v>3428</v>
      </c>
      <c r="T98" s="40" t="s">
        <v>393</v>
      </c>
      <c r="U98" s="40" t="s">
        <v>3429</v>
      </c>
      <c r="V98" s="40" t="s">
        <v>3098</v>
      </c>
      <c r="W98" s="40" t="s">
        <v>345</v>
      </c>
      <c r="X98" s="40" t="s">
        <v>345</v>
      </c>
      <c r="Y98" s="40" t="s">
        <v>442</v>
      </c>
      <c r="Z98" s="40" t="s">
        <v>442</v>
      </c>
      <c r="AA98" s="40" t="s">
        <v>2689</v>
      </c>
      <c r="AB98" s="40" t="s">
        <v>432</v>
      </c>
      <c r="AC98" s="40" t="s">
        <v>2691</v>
      </c>
      <c r="AD98" s="40" t="s">
        <v>580</v>
      </c>
      <c r="AE98" s="40" t="s">
        <v>2692</v>
      </c>
      <c r="AF98" s="40" t="s">
        <v>2692</v>
      </c>
      <c r="AG98" s="40" t="s">
        <v>2693</v>
      </c>
      <c r="AH98" s="40" t="s">
        <v>393</v>
      </c>
      <c r="AI98" s="40" t="s">
        <v>766</v>
      </c>
      <c r="AJ98" s="40" t="s">
        <v>3430</v>
      </c>
      <c r="AK98" s="40" t="s">
        <v>2790</v>
      </c>
      <c r="AL98" s="40" t="s">
        <v>393</v>
      </c>
      <c r="AM98" s="40" t="s">
        <v>3423</v>
      </c>
      <c r="AN98" s="40" t="s">
        <v>3431</v>
      </c>
      <c r="AO98" s="36" t="s">
        <v>3432</v>
      </c>
    </row>
    <row r="99" spans="1:41" ht="82.8" hidden="1">
      <c r="A99" s="40" t="s">
        <v>2677</v>
      </c>
      <c r="B99" s="40" t="s">
        <v>3433</v>
      </c>
      <c r="C99" s="40" t="s">
        <v>623</v>
      </c>
      <c r="D99" s="40" t="s">
        <v>3330</v>
      </c>
      <c r="E99" s="40" t="s">
        <v>628</v>
      </c>
      <c r="F99" s="40" t="s">
        <v>2680</v>
      </c>
      <c r="G99" s="40" t="s">
        <v>393</v>
      </c>
      <c r="H99" s="40" t="s">
        <v>3434</v>
      </c>
      <c r="I99" s="40" t="s">
        <v>3435</v>
      </c>
      <c r="J99" s="40" t="s">
        <v>318</v>
      </c>
      <c r="K99" s="40" t="s">
        <v>318</v>
      </c>
      <c r="L99" s="40" t="s">
        <v>879</v>
      </c>
      <c r="M99" s="40" t="s">
        <v>393</v>
      </c>
      <c r="N99" s="40" t="s">
        <v>2683</v>
      </c>
      <c r="O99" s="40" t="s">
        <v>3411</v>
      </c>
      <c r="P99" s="40" t="s">
        <v>2685</v>
      </c>
      <c r="Q99" s="40" t="s">
        <v>2686</v>
      </c>
      <c r="R99" s="40" t="s">
        <v>393</v>
      </c>
      <c r="S99" s="40" t="s">
        <v>330</v>
      </c>
      <c r="T99" s="40" t="s">
        <v>393</v>
      </c>
      <c r="U99" s="40" t="s">
        <v>393</v>
      </c>
      <c r="V99" s="40" t="s">
        <v>3436</v>
      </c>
      <c r="W99" s="40" t="s">
        <v>2937</v>
      </c>
      <c r="X99" s="40" t="s">
        <v>322</v>
      </c>
      <c r="Y99" s="40" t="s">
        <v>393</v>
      </c>
      <c r="Z99" s="40" t="s">
        <v>2958</v>
      </c>
      <c r="AA99" s="40" t="s">
        <v>393</v>
      </c>
      <c r="AB99" s="40" t="s">
        <v>330</v>
      </c>
      <c r="AC99" s="40" t="s">
        <v>2709</v>
      </c>
      <c r="AD99" s="40" t="s">
        <v>580</v>
      </c>
      <c r="AE99" s="40" t="s">
        <v>393</v>
      </c>
      <c r="AF99" s="40" t="s">
        <v>3437</v>
      </c>
      <c r="AG99" s="40" t="s">
        <v>2693</v>
      </c>
      <c r="AH99" s="40" t="s">
        <v>3438</v>
      </c>
      <c r="AI99" s="40" t="s">
        <v>3439</v>
      </c>
      <c r="AJ99" s="40" t="s">
        <v>3440</v>
      </c>
      <c r="AK99" s="40" t="s">
        <v>3441</v>
      </c>
      <c r="AL99" s="40" t="s">
        <v>3442</v>
      </c>
      <c r="AM99" s="40" t="s">
        <v>3443</v>
      </c>
      <c r="AN99" s="40" t="s">
        <v>3444</v>
      </c>
      <c r="AO99" s="36" t="s">
        <v>3445</v>
      </c>
    </row>
    <row r="100" spans="1:41" ht="82.8" hidden="1">
      <c r="A100" s="40" t="s">
        <v>2677</v>
      </c>
      <c r="B100" s="40" t="s">
        <v>3446</v>
      </c>
      <c r="C100" s="40" t="s">
        <v>623</v>
      </c>
      <c r="D100" s="40" t="s">
        <v>2963</v>
      </c>
      <c r="E100" s="40" t="s">
        <v>633</v>
      </c>
      <c r="F100" s="40" t="s">
        <v>2680</v>
      </c>
      <c r="G100" s="40" t="s">
        <v>393</v>
      </c>
      <c r="H100" s="40" t="s">
        <v>940</v>
      </c>
      <c r="I100" s="40" t="s">
        <v>3447</v>
      </c>
      <c r="J100" s="40" t="s">
        <v>318</v>
      </c>
      <c r="K100" s="40" t="s">
        <v>318</v>
      </c>
      <c r="L100" s="40" t="s">
        <v>879</v>
      </c>
      <c r="M100" s="40" t="s">
        <v>393</v>
      </c>
      <c r="N100" s="40" t="s">
        <v>2683</v>
      </c>
      <c r="O100" s="40" t="s">
        <v>2966</v>
      </c>
      <c r="P100" s="40" t="s">
        <v>2685</v>
      </c>
      <c r="Q100" s="40" t="s">
        <v>2686</v>
      </c>
      <c r="R100" s="40" t="s">
        <v>3448</v>
      </c>
      <c r="S100" s="40" t="s">
        <v>3449</v>
      </c>
      <c r="T100" s="40" t="s">
        <v>3450</v>
      </c>
      <c r="U100" s="40" t="s">
        <v>3451</v>
      </c>
      <c r="V100" s="40" t="s">
        <v>3452</v>
      </c>
      <c r="W100" s="40" t="s">
        <v>3453</v>
      </c>
      <c r="X100" s="40" t="s">
        <v>3371</v>
      </c>
      <c r="Y100" s="40" t="s">
        <v>3454</v>
      </c>
      <c r="Z100" s="40" t="s">
        <v>3455</v>
      </c>
      <c r="AA100" s="40" t="s">
        <v>2689</v>
      </c>
      <c r="AB100" s="40" t="s">
        <v>442</v>
      </c>
      <c r="AC100" s="40" t="s">
        <v>2709</v>
      </c>
      <c r="AD100" s="40" t="s">
        <v>3262</v>
      </c>
      <c r="AE100" s="40" t="s">
        <v>3456</v>
      </c>
      <c r="AF100" s="40" t="s">
        <v>3457</v>
      </c>
      <c r="AG100" s="40" t="s">
        <v>2693</v>
      </c>
      <c r="AH100" s="40" t="s">
        <v>360</v>
      </c>
      <c r="AI100" s="40" t="s">
        <v>334</v>
      </c>
      <c r="AJ100" s="40" t="s">
        <v>3358</v>
      </c>
      <c r="AK100" s="40" t="s">
        <v>3458</v>
      </c>
      <c r="AL100" s="40" t="s">
        <v>3459</v>
      </c>
      <c r="AM100" s="40" t="s">
        <v>3460</v>
      </c>
      <c r="AN100" s="40" t="s">
        <v>3461</v>
      </c>
      <c r="AO100" s="36" t="s">
        <v>3462</v>
      </c>
    </row>
    <row r="101" spans="1:41" ht="69" hidden="1">
      <c r="A101" s="40" t="s">
        <v>2677</v>
      </c>
      <c r="B101" s="40" t="s">
        <v>3446</v>
      </c>
      <c r="C101" s="40" t="s">
        <v>623</v>
      </c>
      <c r="D101" s="40" t="s">
        <v>2767</v>
      </c>
      <c r="E101" s="40" t="s">
        <v>633</v>
      </c>
      <c r="F101" s="40" t="s">
        <v>2680</v>
      </c>
      <c r="G101" s="40" t="s">
        <v>15</v>
      </c>
      <c r="H101" s="40" t="s">
        <v>1275</v>
      </c>
      <c r="I101" s="40" t="s">
        <v>1276</v>
      </c>
      <c r="J101" s="40" t="s">
        <v>318</v>
      </c>
      <c r="K101" s="40" t="s">
        <v>318</v>
      </c>
      <c r="L101" s="40" t="s">
        <v>879</v>
      </c>
      <c r="M101" s="40" t="s">
        <v>393</v>
      </c>
      <c r="N101" s="40" t="s">
        <v>2683</v>
      </c>
      <c r="O101" s="40" t="s">
        <v>2770</v>
      </c>
      <c r="P101" s="40" t="s">
        <v>2785</v>
      </c>
      <c r="Q101" s="40" t="s">
        <v>2706</v>
      </c>
      <c r="R101" s="40" t="s">
        <v>393</v>
      </c>
      <c r="S101" s="40" t="s">
        <v>3463</v>
      </c>
      <c r="T101" s="40" t="s">
        <v>393</v>
      </c>
      <c r="U101" s="40" t="s">
        <v>393</v>
      </c>
      <c r="V101" s="40" t="s">
        <v>393</v>
      </c>
      <c r="W101" s="40" t="s">
        <v>3464</v>
      </c>
      <c r="X101" s="40" t="s">
        <v>3465</v>
      </c>
      <c r="Y101" s="40" t="s">
        <v>598</v>
      </c>
      <c r="Z101" s="40" t="s">
        <v>393</v>
      </c>
      <c r="AA101" s="40" t="s">
        <v>2689</v>
      </c>
      <c r="AB101" s="40" t="s">
        <v>432</v>
      </c>
      <c r="AC101" s="40" t="s">
        <v>2709</v>
      </c>
      <c r="AD101" s="40" t="s">
        <v>3262</v>
      </c>
      <c r="AE101" s="40" t="s">
        <v>3466</v>
      </c>
      <c r="AF101" s="40" t="s">
        <v>696</v>
      </c>
      <c r="AG101" s="40" t="s">
        <v>2693</v>
      </c>
      <c r="AH101" s="40" t="s">
        <v>2895</v>
      </c>
      <c r="AI101" s="40" t="s">
        <v>3334</v>
      </c>
      <c r="AJ101" s="40" t="s">
        <v>2895</v>
      </c>
      <c r="AK101" s="40" t="s">
        <v>3467</v>
      </c>
      <c r="AL101" s="40" t="s">
        <v>3468</v>
      </c>
      <c r="AM101" s="40" t="s">
        <v>3460</v>
      </c>
      <c r="AN101" s="40" t="s">
        <v>2847</v>
      </c>
      <c r="AO101" s="36" t="s">
        <v>3377</v>
      </c>
    </row>
    <row r="102" spans="1:41" ht="69" hidden="1">
      <c r="A102" s="40" t="s">
        <v>2677</v>
      </c>
      <c r="B102" s="40" t="s">
        <v>3446</v>
      </c>
      <c r="C102" s="40" t="s">
        <v>623</v>
      </c>
      <c r="D102" s="40" t="s">
        <v>2767</v>
      </c>
      <c r="E102" s="40" t="s">
        <v>633</v>
      </c>
      <c r="F102" s="40" t="s">
        <v>2680</v>
      </c>
      <c r="G102" s="40" t="s">
        <v>321</v>
      </c>
      <c r="H102" s="40" t="s">
        <v>1277</v>
      </c>
      <c r="I102" s="40" t="s">
        <v>1276</v>
      </c>
      <c r="J102" s="40" t="s">
        <v>318</v>
      </c>
      <c r="K102" s="40" t="s">
        <v>318</v>
      </c>
      <c r="L102" s="40" t="s">
        <v>879</v>
      </c>
      <c r="M102" s="40" t="s">
        <v>393</v>
      </c>
      <c r="N102" s="40" t="s">
        <v>2683</v>
      </c>
      <c r="O102" s="40" t="s">
        <v>2770</v>
      </c>
      <c r="P102" s="40" t="s">
        <v>2785</v>
      </c>
      <c r="Q102" s="40" t="s">
        <v>2706</v>
      </c>
      <c r="R102" s="40" t="s">
        <v>393</v>
      </c>
      <c r="S102" s="40" t="s">
        <v>3463</v>
      </c>
      <c r="T102" s="40" t="s">
        <v>393</v>
      </c>
      <c r="U102" s="40" t="s">
        <v>393</v>
      </c>
      <c r="V102" s="40" t="s">
        <v>393</v>
      </c>
      <c r="W102" s="40" t="s">
        <v>3464</v>
      </c>
      <c r="X102" s="40" t="s">
        <v>3465</v>
      </c>
      <c r="Y102" s="40" t="s">
        <v>598</v>
      </c>
      <c r="Z102" s="40" t="s">
        <v>393</v>
      </c>
      <c r="AA102" s="40" t="s">
        <v>2689</v>
      </c>
      <c r="AB102" s="40" t="s">
        <v>432</v>
      </c>
      <c r="AC102" s="40" t="s">
        <v>2709</v>
      </c>
      <c r="AD102" s="40" t="s">
        <v>3262</v>
      </c>
      <c r="AE102" s="40" t="s">
        <v>3466</v>
      </c>
      <c r="AF102" s="40" t="s">
        <v>696</v>
      </c>
      <c r="AG102" s="40" t="s">
        <v>2693</v>
      </c>
      <c r="AH102" s="40" t="s">
        <v>2895</v>
      </c>
      <c r="AI102" s="40" t="s">
        <v>3334</v>
      </c>
      <c r="AJ102" s="40" t="s">
        <v>2895</v>
      </c>
      <c r="AK102" s="40" t="s">
        <v>3467</v>
      </c>
      <c r="AL102" s="40" t="s">
        <v>3468</v>
      </c>
      <c r="AM102" s="40" t="s">
        <v>3460</v>
      </c>
      <c r="AN102" s="40" t="s">
        <v>2847</v>
      </c>
      <c r="AO102" s="36" t="s">
        <v>3377</v>
      </c>
    </row>
    <row r="103" spans="1:41" ht="96.6" hidden="1">
      <c r="A103" s="40" t="s">
        <v>2677</v>
      </c>
      <c r="B103" s="40" t="s">
        <v>3446</v>
      </c>
      <c r="C103" s="40" t="s">
        <v>623</v>
      </c>
      <c r="D103" s="40" t="s">
        <v>3330</v>
      </c>
      <c r="E103" s="40" t="s">
        <v>633</v>
      </c>
      <c r="F103" s="40" t="s">
        <v>2680</v>
      </c>
      <c r="G103" s="40" t="s">
        <v>15</v>
      </c>
      <c r="H103" s="40" t="s">
        <v>3469</v>
      </c>
      <c r="I103" s="40" t="s">
        <v>3470</v>
      </c>
      <c r="J103" s="40" t="s">
        <v>318</v>
      </c>
      <c r="K103" s="40" t="s">
        <v>318</v>
      </c>
      <c r="L103" s="40" t="s">
        <v>879</v>
      </c>
      <c r="M103" s="40" t="s">
        <v>393</v>
      </c>
      <c r="N103" s="40" t="s">
        <v>2683</v>
      </c>
      <c r="O103" s="40" t="s">
        <v>3471</v>
      </c>
      <c r="P103" s="40" t="s">
        <v>2705</v>
      </c>
      <c r="Q103" s="40" t="s">
        <v>2706</v>
      </c>
      <c r="R103" s="40" t="s">
        <v>3472</v>
      </c>
      <c r="S103" s="40" t="s">
        <v>393</v>
      </c>
      <c r="T103" s="40" t="s">
        <v>393</v>
      </c>
      <c r="U103" s="40" t="s">
        <v>393</v>
      </c>
      <c r="V103" s="40" t="s">
        <v>393</v>
      </c>
      <c r="W103" s="40" t="s">
        <v>393</v>
      </c>
      <c r="X103" s="40" t="s">
        <v>3473</v>
      </c>
      <c r="Y103" s="40" t="s">
        <v>598</v>
      </c>
      <c r="Z103" s="40" t="s">
        <v>1918</v>
      </c>
      <c r="AA103" s="40" t="s">
        <v>393</v>
      </c>
      <c r="AB103" s="40" t="s">
        <v>442</v>
      </c>
      <c r="AC103" s="40" t="s">
        <v>2709</v>
      </c>
      <c r="AD103" s="40" t="s">
        <v>3262</v>
      </c>
      <c r="AE103" s="40" t="s">
        <v>393</v>
      </c>
      <c r="AF103" s="40" t="s">
        <v>345</v>
      </c>
      <c r="AG103" s="40" t="s">
        <v>2693</v>
      </c>
      <c r="AH103" s="40" t="s">
        <v>3474</v>
      </c>
      <c r="AI103" s="40" t="s">
        <v>3198</v>
      </c>
      <c r="AJ103" s="40" t="s">
        <v>3475</v>
      </c>
      <c r="AK103" s="40" t="s">
        <v>3476</v>
      </c>
      <c r="AL103" s="40" t="s">
        <v>393</v>
      </c>
      <c r="AM103" s="40" t="s">
        <v>3460</v>
      </c>
      <c r="AN103" s="40" t="s">
        <v>3477</v>
      </c>
      <c r="AO103" s="36" t="s">
        <v>3478</v>
      </c>
    </row>
    <row r="104" spans="1:41" ht="96.6" hidden="1">
      <c r="A104" s="40" t="s">
        <v>2677</v>
      </c>
      <c r="B104" s="40" t="s">
        <v>3446</v>
      </c>
      <c r="C104" s="40" t="s">
        <v>623</v>
      </c>
      <c r="D104" s="40" t="s">
        <v>3330</v>
      </c>
      <c r="E104" s="40" t="s">
        <v>633</v>
      </c>
      <c r="F104" s="40" t="s">
        <v>2680</v>
      </c>
      <c r="G104" s="40" t="s">
        <v>321</v>
      </c>
      <c r="H104" s="40" t="s">
        <v>3479</v>
      </c>
      <c r="I104" s="40" t="s">
        <v>3480</v>
      </c>
      <c r="J104" s="40" t="s">
        <v>318</v>
      </c>
      <c r="K104" s="40" t="s">
        <v>318</v>
      </c>
      <c r="L104" s="40" t="s">
        <v>879</v>
      </c>
      <c r="M104" s="40" t="s">
        <v>393</v>
      </c>
      <c r="N104" s="40" t="s">
        <v>2683</v>
      </c>
      <c r="O104" s="40" t="s">
        <v>3471</v>
      </c>
      <c r="P104" s="40" t="s">
        <v>2705</v>
      </c>
      <c r="Q104" s="40" t="s">
        <v>2706</v>
      </c>
      <c r="R104" s="40" t="s">
        <v>3472</v>
      </c>
      <c r="S104" s="40" t="s">
        <v>393</v>
      </c>
      <c r="T104" s="40" t="s">
        <v>393</v>
      </c>
      <c r="U104" s="40" t="s">
        <v>393</v>
      </c>
      <c r="V104" s="40" t="s">
        <v>393</v>
      </c>
      <c r="W104" s="40" t="s">
        <v>393</v>
      </c>
      <c r="X104" s="40" t="s">
        <v>3473</v>
      </c>
      <c r="Y104" s="40" t="s">
        <v>598</v>
      </c>
      <c r="Z104" s="40" t="s">
        <v>1918</v>
      </c>
      <c r="AA104" s="40" t="s">
        <v>393</v>
      </c>
      <c r="AB104" s="40" t="s">
        <v>442</v>
      </c>
      <c r="AC104" s="40" t="s">
        <v>2709</v>
      </c>
      <c r="AD104" s="40" t="s">
        <v>3262</v>
      </c>
      <c r="AE104" s="40" t="s">
        <v>393</v>
      </c>
      <c r="AF104" s="40" t="s">
        <v>345</v>
      </c>
      <c r="AG104" s="40" t="s">
        <v>2693</v>
      </c>
      <c r="AH104" s="40" t="s">
        <v>3474</v>
      </c>
      <c r="AI104" s="40" t="s">
        <v>3198</v>
      </c>
      <c r="AJ104" s="40" t="s">
        <v>3475</v>
      </c>
      <c r="AK104" s="40" t="s">
        <v>3476</v>
      </c>
      <c r="AL104" s="40" t="s">
        <v>393</v>
      </c>
      <c r="AM104" s="40" t="s">
        <v>3460</v>
      </c>
      <c r="AN104" s="40" t="s">
        <v>3477</v>
      </c>
      <c r="AO104" s="36" t="s">
        <v>3478</v>
      </c>
    </row>
    <row r="105" spans="1:41" ht="55.2" hidden="1">
      <c r="A105" s="40" t="s">
        <v>2677</v>
      </c>
      <c r="B105" s="40" t="s">
        <v>3446</v>
      </c>
      <c r="C105" s="40" t="s">
        <v>623</v>
      </c>
      <c r="D105" s="40" t="s">
        <v>2797</v>
      </c>
      <c r="E105" s="40" t="s">
        <v>633</v>
      </c>
      <c r="F105" s="40" t="s">
        <v>2680</v>
      </c>
      <c r="G105" s="40" t="s">
        <v>393</v>
      </c>
      <c r="H105" s="40" t="s">
        <v>3481</v>
      </c>
      <c r="I105" s="40" t="s">
        <v>3482</v>
      </c>
      <c r="J105" s="40" t="s">
        <v>318</v>
      </c>
      <c r="K105" s="40" t="s">
        <v>318</v>
      </c>
      <c r="L105" s="40" t="s">
        <v>879</v>
      </c>
      <c r="M105" s="40" t="s">
        <v>393</v>
      </c>
      <c r="N105" s="40" t="s">
        <v>2683</v>
      </c>
      <c r="O105" s="40" t="s">
        <v>2800</v>
      </c>
      <c r="P105" s="40" t="s">
        <v>2685</v>
      </c>
      <c r="Q105" s="40" t="s">
        <v>2706</v>
      </c>
      <c r="R105" s="40" t="s">
        <v>393</v>
      </c>
      <c r="S105" s="40" t="s">
        <v>393</v>
      </c>
      <c r="T105" s="40" t="s">
        <v>393</v>
      </c>
      <c r="U105" s="40" t="s">
        <v>393</v>
      </c>
      <c r="V105" s="40" t="s">
        <v>393</v>
      </c>
      <c r="W105" s="40" t="s">
        <v>393</v>
      </c>
      <c r="X105" s="40" t="s">
        <v>3483</v>
      </c>
      <c r="Y105" s="40" t="s">
        <v>598</v>
      </c>
      <c r="Z105" s="40" t="s">
        <v>393</v>
      </c>
      <c r="AA105" s="40" t="s">
        <v>2689</v>
      </c>
      <c r="AB105" s="40" t="s">
        <v>442</v>
      </c>
      <c r="AC105" s="40" t="s">
        <v>2709</v>
      </c>
      <c r="AD105" s="40" t="s">
        <v>3262</v>
      </c>
      <c r="AE105" s="40" t="s">
        <v>2692</v>
      </c>
      <c r="AF105" s="40" t="s">
        <v>2692</v>
      </c>
      <c r="AG105" s="40" t="s">
        <v>2693</v>
      </c>
      <c r="AH105" s="40" t="s">
        <v>318</v>
      </c>
      <c r="AI105" s="40" t="s">
        <v>2813</v>
      </c>
      <c r="AJ105" s="40" t="s">
        <v>2814</v>
      </c>
      <c r="AK105" s="40" t="s">
        <v>2806</v>
      </c>
      <c r="AL105" s="40" t="s">
        <v>2816</v>
      </c>
      <c r="AM105" s="40" t="s">
        <v>3460</v>
      </c>
      <c r="AN105" s="40" t="s">
        <v>3484</v>
      </c>
      <c r="AO105" s="36" t="s">
        <v>3485</v>
      </c>
    </row>
    <row r="106" spans="1:41" ht="41.4" hidden="1">
      <c r="A106" s="40" t="s">
        <v>2677</v>
      </c>
      <c r="B106" s="40" t="s">
        <v>3446</v>
      </c>
      <c r="C106" s="40" t="s">
        <v>623</v>
      </c>
      <c r="D106" s="40" t="s">
        <v>2700</v>
      </c>
      <c r="E106" s="40" t="s">
        <v>633</v>
      </c>
      <c r="F106" s="40" t="s">
        <v>2680</v>
      </c>
      <c r="G106" s="40" t="s">
        <v>393</v>
      </c>
      <c r="H106" s="40" t="s">
        <v>3486</v>
      </c>
      <c r="I106" s="40" t="s">
        <v>3487</v>
      </c>
      <c r="J106" s="40" t="s">
        <v>318</v>
      </c>
      <c r="K106" s="40" t="s">
        <v>318</v>
      </c>
      <c r="L106" s="40" t="s">
        <v>879</v>
      </c>
      <c r="M106" s="40" t="s">
        <v>393</v>
      </c>
      <c r="N106" s="40" t="s">
        <v>2683</v>
      </c>
      <c r="O106" s="40" t="s">
        <v>2704</v>
      </c>
      <c r="P106" s="40" t="s">
        <v>2685</v>
      </c>
      <c r="Q106" s="40" t="s">
        <v>2706</v>
      </c>
      <c r="R106" s="40" t="s">
        <v>393</v>
      </c>
      <c r="S106" s="40" t="s">
        <v>393</v>
      </c>
      <c r="T106" s="40" t="s">
        <v>393</v>
      </c>
      <c r="U106" s="40" t="s">
        <v>393</v>
      </c>
      <c r="V106" s="40" t="s">
        <v>393</v>
      </c>
      <c r="W106" s="40" t="s">
        <v>393</v>
      </c>
      <c r="X106" s="40" t="s">
        <v>3378</v>
      </c>
      <c r="Y106" s="40" t="s">
        <v>598</v>
      </c>
      <c r="Z106" s="40" t="s">
        <v>393</v>
      </c>
      <c r="AA106" s="40" t="s">
        <v>2689</v>
      </c>
      <c r="AB106" s="40" t="s">
        <v>374</v>
      </c>
      <c r="AC106" s="40" t="s">
        <v>2709</v>
      </c>
      <c r="AD106" s="40" t="s">
        <v>3262</v>
      </c>
      <c r="AE106" s="40" t="s">
        <v>2692</v>
      </c>
      <c r="AF106" s="40" t="s">
        <v>2692</v>
      </c>
      <c r="AG106" s="40" t="s">
        <v>2693</v>
      </c>
      <c r="AH106" s="40" t="s">
        <v>3488</v>
      </c>
      <c r="AI106" s="40" t="s">
        <v>2804</v>
      </c>
      <c r="AJ106" s="40" t="s">
        <v>393</v>
      </c>
      <c r="AK106" s="40" t="s">
        <v>3489</v>
      </c>
      <c r="AL106" s="40" t="s">
        <v>2737</v>
      </c>
      <c r="AM106" s="40" t="s">
        <v>3460</v>
      </c>
      <c r="AN106" s="40" t="s">
        <v>3490</v>
      </c>
      <c r="AO106" s="36" t="s">
        <v>3491</v>
      </c>
    </row>
    <row r="107" spans="1:41" ht="165.6" hidden="1">
      <c r="A107" s="40" t="s">
        <v>2677</v>
      </c>
      <c r="B107" s="40" t="s">
        <v>3446</v>
      </c>
      <c r="C107" s="40" t="s">
        <v>623</v>
      </c>
      <c r="D107" s="40" t="s">
        <v>3492</v>
      </c>
      <c r="E107" s="40" t="s">
        <v>641</v>
      </c>
      <c r="F107" s="40" t="s">
        <v>2680</v>
      </c>
      <c r="G107" s="40" t="s">
        <v>393</v>
      </c>
      <c r="H107" s="40" t="s">
        <v>3493</v>
      </c>
      <c r="I107" s="40" t="s">
        <v>3494</v>
      </c>
      <c r="J107" s="40" t="s">
        <v>318</v>
      </c>
      <c r="K107" s="40" t="s">
        <v>318</v>
      </c>
      <c r="L107" s="40" t="s">
        <v>879</v>
      </c>
      <c r="M107" s="40" t="s">
        <v>393</v>
      </c>
      <c r="N107" s="40" t="s">
        <v>2683</v>
      </c>
      <c r="O107" s="40" t="s">
        <v>3495</v>
      </c>
      <c r="P107" s="40" t="s">
        <v>3496</v>
      </c>
      <c r="Q107" s="40" t="s">
        <v>2706</v>
      </c>
      <c r="R107" s="40" t="s">
        <v>393</v>
      </c>
      <c r="S107" s="40" t="s">
        <v>3497</v>
      </c>
      <c r="T107" s="40" t="s">
        <v>393</v>
      </c>
      <c r="U107" s="40" t="s">
        <v>393</v>
      </c>
      <c r="V107" s="40" t="s">
        <v>393</v>
      </c>
      <c r="W107" s="40" t="s">
        <v>393</v>
      </c>
      <c r="X107" s="40" t="s">
        <v>3498</v>
      </c>
      <c r="Y107" s="40" t="s">
        <v>393</v>
      </c>
      <c r="Z107" s="40" t="s">
        <v>2958</v>
      </c>
      <c r="AA107" s="40" t="s">
        <v>393</v>
      </c>
      <c r="AB107" s="40" t="s">
        <v>371</v>
      </c>
      <c r="AC107" s="40" t="s">
        <v>2709</v>
      </c>
      <c r="AD107" s="40" t="s">
        <v>580</v>
      </c>
      <c r="AE107" s="40" t="s">
        <v>305</v>
      </c>
      <c r="AF107" s="40" t="s">
        <v>305</v>
      </c>
      <c r="AG107" s="40" t="s">
        <v>2693</v>
      </c>
      <c r="AH107" s="40" t="s">
        <v>3499</v>
      </c>
      <c r="AI107" s="40" t="s">
        <v>2895</v>
      </c>
      <c r="AJ107" s="40" t="s">
        <v>2831</v>
      </c>
      <c r="AK107" s="40" t="s">
        <v>3070</v>
      </c>
      <c r="AL107" s="40" t="s">
        <v>3500</v>
      </c>
      <c r="AM107" s="40" t="s">
        <v>3501</v>
      </c>
      <c r="AN107" s="40" t="s">
        <v>3328</v>
      </c>
      <c r="AO107" s="36" t="s">
        <v>3502</v>
      </c>
    </row>
    <row r="108" spans="1:41" hidden="1">
      <c r="A108" s="40" t="s">
        <v>2677</v>
      </c>
      <c r="B108" s="40" t="s">
        <v>3446</v>
      </c>
      <c r="C108" s="40" t="s">
        <v>623</v>
      </c>
      <c r="D108" s="40" t="s">
        <v>3503</v>
      </c>
      <c r="E108" s="40" t="s">
        <v>641</v>
      </c>
      <c r="F108" s="40" t="s">
        <v>2680</v>
      </c>
      <c r="G108" s="40" t="s">
        <v>393</v>
      </c>
      <c r="H108" s="40" t="s">
        <v>3504</v>
      </c>
      <c r="I108" s="40" t="s">
        <v>3505</v>
      </c>
      <c r="J108" s="40" t="s">
        <v>318</v>
      </c>
      <c r="K108" s="40" t="s">
        <v>318</v>
      </c>
      <c r="L108" s="40" t="s">
        <v>879</v>
      </c>
      <c r="M108" s="40" t="s">
        <v>393</v>
      </c>
      <c r="N108" s="40" t="s">
        <v>2683</v>
      </c>
      <c r="O108" s="40" t="s">
        <v>2704</v>
      </c>
      <c r="P108" s="40" t="s">
        <v>2685</v>
      </c>
      <c r="Q108" s="40" t="s">
        <v>2706</v>
      </c>
      <c r="R108" s="40" t="s">
        <v>393</v>
      </c>
      <c r="S108" s="40" t="s">
        <v>3497</v>
      </c>
      <c r="T108" s="40" t="s">
        <v>393</v>
      </c>
      <c r="U108" s="40" t="s">
        <v>393</v>
      </c>
      <c r="V108" s="40" t="s">
        <v>393</v>
      </c>
      <c r="W108" s="40" t="s">
        <v>334</v>
      </c>
      <c r="X108" s="40" t="s">
        <v>3498</v>
      </c>
      <c r="Y108" s="40" t="s">
        <v>393</v>
      </c>
      <c r="Z108" s="40" t="s">
        <v>2958</v>
      </c>
      <c r="AA108" s="40" t="s">
        <v>2689</v>
      </c>
      <c r="AB108" s="40" t="s">
        <v>371</v>
      </c>
      <c r="AC108" s="40" t="s">
        <v>2709</v>
      </c>
      <c r="AD108" s="40" t="s">
        <v>580</v>
      </c>
      <c r="AE108" s="40" t="s">
        <v>2692</v>
      </c>
      <c r="AF108" s="40" t="s">
        <v>2692</v>
      </c>
      <c r="AG108" s="40" t="s">
        <v>2693</v>
      </c>
      <c r="AH108" s="40" t="s">
        <v>393</v>
      </c>
      <c r="AI108" s="40" t="s">
        <v>2880</v>
      </c>
      <c r="AJ108" s="40" t="s">
        <v>330</v>
      </c>
      <c r="AK108" s="40" t="s">
        <v>3506</v>
      </c>
      <c r="AL108" s="40" t="s">
        <v>393</v>
      </c>
      <c r="AM108" s="40" t="s">
        <v>3501</v>
      </c>
      <c r="AN108" s="40" t="s">
        <v>3507</v>
      </c>
      <c r="AO108" s="36" t="s">
        <v>3508</v>
      </c>
    </row>
    <row r="109" spans="1:41" ht="41.4" hidden="1">
      <c r="A109" s="40" t="s">
        <v>2677</v>
      </c>
      <c r="B109" s="40" t="s">
        <v>3370</v>
      </c>
      <c r="C109" s="40" t="s">
        <v>623</v>
      </c>
      <c r="D109" s="40" t="s">
        <v>3509</v>
      </c>
      <c r="E109" s="40" t="s">
        <v>645</v>
      </c>
      <c r="F109" s="40" t="s">
        <v>3293</v>
      </c>
      <c r="G109" s="40" t="s">
        <v>393</v>
      </c>
      <c r="H109" s="40" t="s">
        <v>3510</v>
      </c>
      <c r="I109" s="40" t="s">
        <v>3511</v>
      </c>
      <c r="J109" s="40" t="s">
        <v>318</v>
      </c>
      <c r="K109" s="40" t="s">
        <v>318</v>
      </c>
      <c r="L109" s="40" t="s">
        <v>879</v>
      </c>
      <c r="M109" s="40" t="s">
        <v>839</v>
      </c>
      <c r="N109" s="40" t="s">
        <v>2683</v>
      </c>
      <c r="O109" s="40" t="s">
        <v>3388</v>
      </c>
      <c r="P109" s="40" t="s">
        <v>2685</v>
      </c>
      <c r="Q109" s="40" t="s">
        <v>2706</v>
      </c>
      <c r="R109" s="40" t="s">
        <v>393</v>
      </c>
      <c r="S109" s="40" t="s">
        <v>393</v>
      </c>
      <c r="T109" s="40" t="s">
        <v>393</v>
      </c>
      <c r="U109" s="40" t="s">
        <v>393</v>
      </c>
      <c r="V109" s="40" t="s">
        <v>566</v>
      </c>
      <c r="W109" s="40" t="s">
        <v>3512</v>
      </c>
      <c r="X109" s="40" t="s">
        <v>3513</v>
      </c>
      <c r="Y109" s="40" t="s">
        <v>3514</v>
      </c>
      <c r="Z109" s="40" t="s">
        <v>505</v>
      </c>
      <c r="AA109" s="40" t="s">
        <v>2938</v>
      </c>
      <c r="AB109" s="40" t="s">
        <v>3515</v>
      </c>
      <c r="AC109" s="40" t="s">
        <v>2709</v>
      </c>
      <c r="AD109" s="40" t="s">
        <v>580</v>
      </c>
      <c r="AE109" s="40" t="s">
        <v>2692</v>
      </c>
      <c r="AF109" s="40" t="s">
        <v>2692</v>
      </c>
      <c r="AG109" s="40" t="s">
        <v>2693</v>
      </c>
      <c r="AH109" s="40" t="s">
        <v>393</v>
      </c>
      <c r="AI109" s="40" t="s">
        <v>327</v>
      </c>
      <c r="AJ109" s="40" t="s">
        <v>2791</v>
      </c>
      <c r="AK109" s="40" t="s">
        <v>3516</v>
      </c>
      <c r="AL109" s="40" t="s">
        <v>3517</v>
      </c>
      <c r="AM109" s="40" t="s">
        <v>3375</v>
      </c>
      <c r="AN109" s="40" t="s">
        <v>3518</v>
      </c>
      <c r="AO109" s="36" t="s">
        <v>3519</v>
      </c>
    </row>
    <row r="110" spans="1:41" ht="124.2" hidden="1">
      <c r="A110" s="40" t="s">
        <v>2677</v>
      </c>
      <c r="B110" s="40" t="s">
        <v>3370</v>
      </c>
      <c r="C110" s="40" t="s">
        <v>623</v>
      </c>
      <c r="D110" s="40" t="s">
        <v>3520</v>
      </c>
      <c r="E110" s="40" t="s">
        <v>645</v>
      </c>
      <c r="F110" s="40" t="s">
        <v>2680</v>
      </c>
      <c r="G110" s="40" t="s">
        <v>393</v>
      </c>
      <c r="H110" s="40" t="s">
        <v>839</v>
      </c>
      <c r="I110" s="40" t="s">
        <v>840</v>
      </c>
      <c r="J110" s="40" t="s">
        <v>318</v>
      </c>
      <c r="K110" s="40" t="s">
        <v>318</v>
      </c>
      <c r="L110" s="40" t="s">
        <v>879</v>
      </c>
      <c r="M110" s="40" t="s">
        <v>393</v>
      </c>
      <c r="N110" s="40" t="s">
        <v>2683</v>
      </c>
      <c r="O110" s="40" t="s">
        <v>3402</v>
      </c>
      <c r="P110" s="40" t="s">
        <v>2685</v>
      </c>
      <c r="Q110" s="40" t="s">
        <v>2686</v>
      </c>
      <c r="R110" s="40" t="s">
        <v>393</v>
      </c>
      <c r="S110" s="40" t="s">
        <v>3521</v>
      </c>
      <c r="T110" s="40" t="s">
        <v>393</v>
      </c>
      <c r="U110" s="40" t="s">
        <v>393</v>
      </c>
      <c r="V110" s="40" t="s">
        <v>3522</v>
      </c>
      <c r="W110" s="40" t="s">
        <v>393</v>
      </c>
      <c r="X110" s="40" t="s">
        <v>549</v>
      </c>
      <c r="Y110" s="40" t="s">
        <v>393</v>
      </c>
      <c r="Z110" s="40" t="s">
        <v>2958</v>
      </c>
      <c r="AA110" s="40" t="s">
        <v>393</v>
      </c>
      <c r="AB110" s="40" t="s">
        <v>2690</v>
      </c>
      <c r="AC110" s="40" t="s">
        <v>2709</v>
      </c>
      <c r="AD110" s="40" t="s">
        <v>580</v>
      </c>
      <c r="AE110" s="40" t="s">
        <v>841</v>
      </c>
      <c r="AF110" s="40" t="s">
        <v>766</v>
      </c>
      <c r="AG110" s="40" t="s">
        <v>2693</v>
      </c>
      <c r="AH110" s="40" t="s">
        <v>3523</v>
      </c>
      <c r="AI110" s="40" t="s">
        <v>3524</v>
      </c>
      <c r="AJ110" s="40" t="s">
        <v>3525</v>
      </c>
      <c r="AK110" s="40" t="s">
        <v>3526</v>
      </c>
      <c r="AL110" s="40" t="s">
        <v>3527</v>
      </c>
      <c r="AM110" s="40" t="s">
        <v>3528</v>
      </c>
      <c r="AN110" s="40" t="s">
        <v>3529</v>
      </c>
      <c r="AO110" s="36" t="s">
        <v>3530</v>
      </c>
    </row>
    <row r="111" spans="1:41" ht="96.6" hidden="1">
      <c r="A111" s="40" t="s">
        <v>2677</v>
      </c>
      <c r="B111" s="40" t="s">
        <v>3370</v>
      </c>
      <c r="C111" s="40" t="s">
        <v>623</v>
      </c>
      <c r="D111" s="40" t="s">
        <v>3520</v>
      </c>
      <c r="E111" s="40" t="s">
        <v>645</v>
      </c>
      <c r="F111" s="40" t="s">
        <v>2782</v>
      </c>
      <c r="G111" s="40" t="s">
        <v>393</v>
      </c>
      <c r="H111" s="40" t="s">
        <v>951</v>
      </c>
      <c r="I111" s="40" t="s">
        <v>952</v>
      </c>
      <c r="J111" s="40" t="s">
        <v>318</v>
      </c>
      <c r="K111" s="40" t="s">
        <v>318</v>
      </c>
      <c r="L111" s="40" t="s">
        <v>879</v>
      </c>
      <c r="M111" s="40" t="s">
        <v>393</v>
      </c>
      <c r="N111" s="40" t="s">
        <v>2683</v>
      </c>
      <c r="O111" s="40" t="s">
        <v>3402</v>
      </c>
      <c r="P111" s="40" t="s">
        <v>2685</v>
      </c>
      <c r="Q111" s="40" t="s">
        <v>2706</v>
      </c>
      <c r="R111" s="40" t="s">
        <v>393</v>
      </c>
      <c r="S111" s="40" t="s">
        <v>3531</v>
      </c>
      <c r="T111" s="40" t="s">
        <v>393</v>
      </c>
      <c r="U111" s="40" t="s">
        <v>393</v>
      </c>
      <c r="V111" s="40" t="s">
        <v>3532</v>
      </c>
      <c r="W111" s="40" t="s">
        <v>393</v>
      </c>
      <c r="X111" s="40" t="s">
        <v>327</v>
      </c>
      <c r="Y111" s="40" t="s">
        <v>393</v>
      </c>
      <c r="Z111" s="40" t="s">
        <v>2958</v>
      </c>
      <c r="AA111" s="40" t="s">
        <v>393</v>
      </c>
      <c r="AB111" s="40" t="s">
        <v>334</v>
      </c>
      <c r="AC111" s="40" t="s">
        <v>2709</v>
      </c>
      <c r="AD111" s="40" t="s">
        <v>580</v>
      </c>
      <c r="AE111" s="40" t="s">
        <v>3533</v>
      </c>
      <c r="AF111" s="40" t="s">
        <v>766</v>
      </c>
      <c r="AG111" s="40" t="s">
        <v>2693</v>
      </c>
      <c r="AH111" s="40" t="s">
        <v>2893</v>
      </c>
      <c r="AI111" s="40" t="s">
        <v>2880</v>
      </c>
      <c r="AJ111" s="40" t="s">
        <v>2735</v>
      </c>
      <c r="AK111" s="40" t="s">
        <v>1911</v>
      </c>
      <c r="AL111" s="40" t="s">
        <v>1900</v>
      </c>
      <c r="AM111" s="40" t="s">
        <v>3528</v>
      </c>
      <c r="AN111" s="40" t="s">
        <v>3529</v>
      </c>
      <c r="AO111" s="36" t="s">
        <v>3534</v>
      </c>
    </row>
    <row r="112" spans="1:41" ht="110.4" hidden="1">
      <c r="A112" s="40" t="s">
        <v>2677</v>
      </c>
      <c r="B112" s="40" t="s">
        <v>3370</v>
      </c>
      <c r="C112" s="40" t="s">
        <v>623</v>
      </c>
      <c r="D112" s="40" t="s">
        <v>3520</v>
      </c>
      <c r="E112" s="40" t="s">
        <v>645</v>
      </c>
      <c r="F112" s="40" t="s">
        <v>2740</v>
      </c>
      <c r="G112" s="40" t="s">
        <v>393</v>
      </c>
      <c r="H112" s="40" t="s">
        <v>842</v>
      </c>
      <c r="I112" s="40" t="s">
        <v>843</v>
      </c>
      <c r="J112" s="40" t="s">
        <v>318</v>
      </c>
      <c r="K112" s="40" t="s">
        <v>318</v>
      </c>
      <c r="L112" s="40" t="s">
        <v>879</v>
      </c>
      <c r="M112" s="40" t="s">
        <v>393</v>
      </c>
      <c r="N112" s="40" t="s">
        <v>2683</v>
      </c>
      <c r="O112" s="40" t="s">
        <v>3402</v>
      </c>
      <c r="P112" s="40" t="s">
        <v>2685</v>
      </c>
      <c r="Q112" s="40" t="s">
        <v>2686</v>
      </c>
      <c r="R112" s="40" t="s">
        <v>393</v>
      </c>
      <c r="S112" s="40" t="s">
        <v>3535</v>
      </c>
      <c r="T112" s="40" t="s">
        <v>393</v>
      </c>
      <c r="U112" s="40" t="s">
        <v>393</v>
      </c>
      <c r="V112" s="40" t="s">
        <v>3532</v>
      </c>
      <c r="W112" s="40" t="s">
        <v>393</v>
      </c>
      <c r="X112" s="40" t="s">
        <v>2925</v>
      </c>
      <c r="Y112" s="40" t="s">
        <v>393</v>
      </c>
      <c r="Z112" s="40" t="s">
        <v>2958</v>
      </c>
      <c r="AA112" s="40" t="s">
        <v>393</v>
      </c>
      <c r="AB112" s="40" t="s">
        <v>2831</v>
      </c>
      <c r="AC112" s="40" t="s">
        <v>2709</v>
      </c>
      <c r="AD112" s="40" t="s">
        <v>580</v>
      </c>
      <c r="AE112" s="40" t="s">
        <v>3536</v>
      </c>
      <c r="AF112" s="40" t="s">
        <v>766</v>
      </c>
      <c r="AG112" s="40" t="s">
        <v>2693</v>
      </c>
      <c r="AH112" s="40" t="s">
        <v>2893</v>
      </c>
      <c r="AI112" s="40" t="s">
        <v>2880</v>
      </c>
      <c r="AJ112" s="40" t="s">
        <v>2735</v>
      </c>
      <c r="AK112" s="40" t="s">
        <v>1911</v>
      </c>
      <c r="AL112" s="40" t="s">
        <v>1900</v>
      </c>
      <c r="AM112" s="40" t="s">
        <v>3528</v>
      </c>
      <c r="AN112" s="40" t="s">
        <v>3529</v>
      </c>
      <c r="AO112" s="36" t="s">
        <v>3537</v>
      </c>
    </row>
    <row r="113" spans="1:41" ht="110.4" hidden="1">
      <c r="A113" s="40" t="s">
        <v>2677</v>
      </c>
      <c r="B113" s="40" t="s">
        <v>3370</v>
      </c>
      <c r="C113" s="40" t="s">
        <v>623</v>
      </c>
      <c r="D113" s="40" t="s">
        <v>3520</v>
      </c>
      <c r="E113" s="40" t="s">
        <v>645</v>
      </c>
      <c r="F113" s="40" t="s">
        <v>2920</v>
      </c>
      <c r="G113" s="40" t="s">
        <v>393</v>
      </c>
      <c r="H113" s="40" t="s">
        <v>953</v>
      </c>
      <c r="I113" s="40" t="s">
        <v>954</v>
      </c>
      <c r="J113" s="40" t="s">
        <v>318</v>
      </c>
      <c r="K113" s="40" t="s">
        <v>318</v>
      </c>
      <c r="L113" s="40" t="s">
        <v>879</v>
      </c>
      <c r="M113" s="40" t="s">
        <v>393</v>
      </c>
      <c r="N113" s="40" t="s">
        <v>2683</v>
      </c>
      <c r="O113" s="40" t="s">
        <v>3402</v>
      </c>
      <c r="P113" s="40" t="s">
        <v>2685</v>
      </c>
      <c r="Q113" s="40" t="s">
        <v>2686</v>
      </c>
      <c r="R113" s="40" t="s">
        <v>393</v>
      </c>
      <c r="S113" s="40" t="s">
        <v>3538</v>
      </c>
      <c r="T113" s="40" t="s">
        <v>393</v>
      </c>
      <c r="U113" s="40" t="s">
        <v>393</v>
      </c>
      <c r="V113" s="40" t="s">
        <v>3532</v>
      </c>
      <c r="W113" s="40" t="s">
        <v>393</v>
      </c>
      <c r="X113" s="40" t="s">
        <v>342</v>
      </c>
      <c r="Y113" s="40" t="s">
        <v>393</v>
      </c>
      <c r="Z113" s="40" t="s">
        <v>2958</v>
      </c>
      <c r="AA113" s="40" t="s">
        <v>393</v>
      </c>
      <c r="AB113" s="40" t="s">
        <v>432</v>
      </c>
      <c r="AC113" s="40" t="s">
        <v>2709</v>
      </c>
      <c r="AD113" s="40" t="s">
        <v>580</v>
      </c>
      <c r="AE113" s="40" t="s">
        <v>3539</v>
      </c>
      <c r="AF113" s="40" t="s">
        <v>766</v>
      </c>
      <c r="AG113" s="40" t="s">
        <v>2693</v>
      </c>
      <c r="AH113" s="40" t="s">
        <v>2893</v>
      </c>
      <c r="AI113" s="40" t="s">
        <v>2880</v>
      </c>
      <c r="AJ113" s="40" t="s">
        <v>2735</v>
      </c>
      <c r="AK113" s="40" t="s">
        <v>1911</v>
      </c>
      <c r="AL113" s="40" t="s">
        <v>1900</v>
      </c>
      <c r="AM113" s="40" t="s">
        <v>3528</v>
      </c>
      <c r="AN113" s="40" t="s">
        <v>3529</v>
      </c>
      <c r="AO113" s="36" t="s">
        <v>3537</v>
      </c>
    </row>
    <row r="114" spans="1:41" ht="110.4" hidden="1">
      <c r="A114" s="40" t="s">
        <v>2677</v>
      </c>
      <c r="B114" s="40" t="s">
        <v>3370</v>
      </c>
      <c r="C114" s="40" t="s">
        <v>623</v>
      </c>
      <c r="D114" s="40" t="s">
        <v>3330</v>
      </c>
      <c r="E114" s="40" t="s">
        <v>645</v>
      </c>
      <c r="F114" s="40" t="s">
        <v>2680</v>
      </c>
      <c r="G114" s="40" t="s">
        <v>393</v>
      </c>
      <c r="H114" s="40" t="s">
        <v>955</v>
      </c>
      <c r="I114" s="40" t="s">
        <v>3540</v>
      </c>
      <c r="J114" s="40" t="s">
        <v>318</v>
      </c>
      <c r="K114" s="40" t="s">
        <v>318</v>
      </c>
      <c r="L114" s="40" t="s">
        <v>879</v>
      </c>
      <c r="M114" s="40" t="s">
        <v>393</v>
      </c>
      <c r="N114" s="40" t="s">
        <v>2683</v>
      </c>
      <c r="O114" s="40" t="s">
        <v>3402</v>
      </c>
      <c r="P114" s="40" t="s">
        <v>2685</v>
      </c>
      <c r="Q114" s="40" t="s">
        <v>2706</v>
      </c>
      <c r="R114" s="40" t="s">
        <v>393</v>
      </c>
      <c r="S114" s="40" t="s">
        <v>2880</v>
      </c>
      <c r="T114" s="40" t="s">
        <v>393</v>
      </c>
      <c r="U114" s="40" t="s">
        <v>393</v>
      </c>
      <c r="V114" s="40" t="s">
        <v>393</v>
      </c>
      <c r="W114" s="40" t="s">
        <v>393</v>
      </c>
      <c r="X114" s="40" t="s">
        <v>393</v>
      </c>
      <c r="Y114" s="40" t="s">
        <v>2958</v>
      </c>
      <c r="Z114" s="40" t="s">
        <v>519</v>
      </c>
      <c r="AA114" s="40" t="s">
        <v>2937</v>
      </c>
      <c r="AB114" s="40" t="s">
        <v>3541</v>
      </c>
      <c r="AC114" s="40" t="s">
        <v>2709</v>
      </c>
      <c r="AD114" s="40" t="s">
        <v>580</v>
      </c>
      <c r="AE114" s="40" t="s">
        <v>3542</v>
      </c>
      <c r="AF114" s="40" t="s">
        <v>2843</v>
      </c>
      <c r="AG114" s="40" t="s">
        <v>2693</v>
      </c>
      <c r="AH114" s="40" t="s">
        <v>327</v>
      </c>
      <c r="AI114" s="40" t="s">
        <v>3120</v>
      </c>
      <c r="AJ114" s="40" t="s">
        <v>318</v>
      </c>
      <c r="AK114" s="40" t="s">
        <v>2815</v>
      </c>
      <c r="AL114" s="40" t="s">
        <v>3543</v>
      </c>
      <c r="AM114" s="40" t="s">
        <v>3375</v>
      </c>
      <c r="AN114" s="40" t="s">
        <v>3408</v>
      </c>
      <c r="AO114" s="36" t="s">
        <v>3544</v>
      </c>
    </row>
    <row r="115" spans="1:41" ht="27.6" hidden="1">
      <c r="A115" s="40" t="s">
        <v>2677</v>
      </c>
      <c r="B115" s="40" t="s">
        <v>3433</v>
      </c>
      <c r="C115" s="40" t="s">
        <v>623</v>
      </c>
      <c r="D115" s="40" t="s">
        <v>2767</v>
      </c>
      <c r="E115" s="40" t="s">
        <v>679</v>
      </c>
      <c r="F115" s="40" t="s">
        <v>2680</v>
      </c>
      <c r="G115" s="40" t="s">
        <v>15</v>
      </c>
      <c r="H115" s="40" t="s">
        <v>3545</v>
      </c>
      <c r="I115" s="40" t="s">
        <v>3546</v>
      </c>
      <c r="J115" s="40" t="s">
        <v>318</v>
      </c>
      <c r="K115" s="40" t="s">
        <v>318</v>
      </c>
      <c r="L115" s="40" t="s">
        <v>879</v>
      </c>
      <c r="M115" s="40" t="s">
        <v>393</v>
      </c>
      <c r="N115" s="40" t="s">
        <v>2683</v>
      </c>
      <c r="O115" s="40" t="s">
        <v>2770</v>
      </c>
      <c r="P115" s="40" t="s">
        <v>2785</v>
      </c>
      <c r="Q115" s="40" t="s">
        <v>2706</v>
      </c>
      <c r="R115" s="40" t="s">
        <v>393</v>
      </c>
      <c r="S115" s="40" t="s">
        <v>345</v>
      </c>
      <c r="T115" s="40" t="s">
        <v>393</v>
      </c>
      <c r="U115" s="40" t="s">
        <v>393</v>
      </c>
      <c r="V115" s="40" t="s">
        <v>393</v>
      </c>
      <c r="W115" s="40" t="s">
        <v>393</v>
      </c>
      <c r="X115" s="40" t="s">
        <v>334</v>
      </c>
      <c r="Y115" s="40" t="s">
        <v>393</v>
      </c>
      <c r="Z115" s="40" t="s">
        <v>2958</v>
      </c>
      <c r="AA115" s="40" t="s">
        <v>879</v>
      </c>
      <c r="AB115" s="40" t="s">
        <v>342</v>
      </c>
      <c r="AC115" s="40" t="s">
        <v>2709</v>
      </c>
      <c r="AD115" s="40" t="s">
        <v>580</v>
      </c>
      <c r="AE115" s="40" t="s">
        <v>3547</v>
      </c>
      <c r="AF115" s="40" t="s">
        <v>349</v>
      </c>
      <c r="AG115" s="40" t="s">
        <v>2693</v>
      </c>
      <c r="AH115" s="40" t="s">
        <v>2734</v>
      </c>
      <c r="AI115" s="40" t="s">
        <v>2805</v>
      </c>
      <c r="AJ115" s="40" t="s">
        <v>2925</v>
      </c>
      <c r="AK115" s="40" t="s">
        <v>2927</v>
      </c>
      <c r="AL115" s="40" t="s">
        <v>3088</v>
      </c>
      <c r="AM115" s="40" t="s">
        <v>3548</v>
      </c>
      <c r="AN115" s="40" t="s">
        <v>3549</v>
      </c>
      <c r="AO115" s="36" t="s">
        <v>3550</v>
      </c>
    </row>
    <row r="116" spans="1:41" ht="27.6" hidden="1">
      <c r="A116" s="40" t="s">
        <v>2677</v>
      </c>
      <c r="B116" s="40" t="s">
        <v>3433</v>
      </c>
      <c r="C116" s="40" t="s">
        <v>623</v>
      </c>
      <c r="D116" s="40" t="s">
        <v>2767</v>
      </c>
      <c r="E116" s="40" t="s">
        <v>679</v>
      </c>
      <c r="F116" s="40" t="s">
        <v>2680</v>
      </c>
      <c r="G116" s="40" t="s">
        <v>321</v>
      </c>
      <c r="H116" s="40" t="s">
        <v>3551</v>
      </c>
      <c r="I116" s="40" t="s">
        <v>3546</v>
      </c>
      <c r="J116" s="40" t="s">
        <v>318</v>
      </c>
      <c r="K116" s="40" t="s">
        <v>318</v>
      </c>
      <c r="L116" s="40" t="s">
        <v>879</v>
      </c>
      <c r="M116" s="40" t="s">
        <v>393</v>
      </c>
      <c r="N116" s="40" t="s">
        <v>2683</v>
      </c>
      <c r="O116" s="40" t="s">
        <v>2770</v>
      </c>
      <c r="P116" s="40" t="s">
        <v>2785</v>
      </c>
      <c r="Q116" s="40" t="s">
        <v>2706</v>
      </c>
      <c r="R116" s="40" t="s">
        <v>393</v>
      </c>
      <c r="S116" s="40" t="s">
        <v>345</v>
      </c>
      <c r="T116" s="40" t="s">
        <v>393</v>
      </c>
      <c r="U116" s="40" t="s">
        <v>393</v>
      </c>
      <c r="V116" s="40" t="s">
        <v>393</v>
      </c>
      <c r="W116" s="40" t="s">
        <v>393</v>
      </c>
      <c r="X116" s="40" t="s">
        <v>334</v>
      </c>
      <c r="Y116" s="40" t="s">
        <v>393</v>
      </c>
      <c r="Z116" s="40" t="s">
        <v>2958</v>
      </c>
      <c r="AA116" s="40" t="s">
        <v>879</v>
      </c>
      <c r="AB116" s="40" t="s">
        <v>342</v>
      </c>
      <c r="AC116" s="40" t="s">
        <v>2709</v>
      </c>
      <c r="AD116" s="40" t="s">
        <v>580</v>
      </c>
      <c r="AE116" s="40" t="s">
        <v>3547</v>
      </c>
      <c r="AF116" s="40" t="s">
        <v>349</v>
      </c>
      <c r="AG116" s="40" t="s">
        <v>2693</v>
      </c>
      <c r="AH116" s="40" t="s">
        <v>2734</v>
      </c>
      <c r="AI116" s="40" t="s">
        <v>2805</v>
      </c>
      <c r="AJ116" s="40" t="s">
        <v>2925</v>
      </c>
      <c r="AK116" s="40" t="s">
        <v>2927</v>
      </c>
      <c r="AL116" s="40" t="s">
        <v>3088</v>
      </c>
      <c r="AM116" s="40" t="s">
        <v>3548</v>
      </c>
      <c r="AN116" s="40" t="s">
        <v>3549</v>
      </c>
      <c r="AO116" s="36" t="s">
        <v>3550</v>
      </c>
    </row>
    <row r="117" spans="1:41" hidden="1">
      <c r="A117" s="40" t="s">
        <v>2677</v>
      </c>
      <c r="B117" s="40" t="s">
        <v>3433</v>
      </c>
      <c r="C117" s="40" t="s">
        <v>623</v>
      </c>
      <c r="D117" s="40" t="s">
        <v>3509</v>
      </c>
      <c r="E117" s="40" t="s">
        <v>679</v>
      </c>
      <c r="F117" s="40" t="s">
        <v>2680</v>
      </c>
      <c r="G117" s="40" t="s">
        <v>393</v>
      </c>
      <c r="H117" s="40" t="s">
        <v>3552</v>
      </c>
      <c r="I117" s="40" t="s">
        <v>3553</v>
      </c>
      <c r="J117" s="40" t="s">
        <v>318</v>
      </c>
      <c r="K117" s="40" t="s">
        <v>318</v>
      </c>
      <c r="L117" s="40" t="s">
        <v>879</v>
      </c>
      <c r="M117" s="40" t="s">
        <v>393</v>
      </c>
      <c r="N117" s="40" t="s">
        <v>2683</v>
      </c>
      <c r="O117" s="40" t="s">
        <v>3388</v>
      </c>
      <c r="P117" s="40" t="s">
        <v>2685</v>
      </c>
      <c r="Q117" s="40" t="s">
        <v>2706</v>
      </c>
      <c r="R117" s="40" t="s">
        <v>393</v>
      </c>
      <c r="S117" s="40" t="s">
        <v>393</v>
      </c>
      <c r="T117" s="40" t="s">
        <v>393</v>
      </c>
      <c r="U117" s="40" t="s">
        <v>393</v>
      </c>
      <c r="V117" s="40" t="s">
        <v>3554</v>
      </c>
      <c r="W117" s="40" t="s">
        <v>393</v>
      </c>
      <c r="X117" s="40" t="s">
        <v>2937</v>
      </c>
      <c r="Y117" s="40" t="s">
        <v>393</v>
      </c>
      <c r="Z117" s="40" t="s">
        <v>2958</v>
      </c>
      <c r="AA117" s="40" t="s">
        <v>393</v>
      </c>
      <c r="AB117" s="40" t="s">
        <v>3555</v>
      </c>
      <c r="AC117" s="40" t="s">
        <v>2709</v>
      </c>
      <c r="AD117" s="40" t="s">
        <v>580</v>
      </c>
      <c r="AE117" s="40" t="s">
        <v>2692</v>
      </c>
      <c r="AF117" s="40" t="s">
        <v>2692</v>
      </c>
      <c r="AG117" s="40" t="s">
        <v>2693</v>
      </c>
      <c r="AH117" s="40" t="s">
        <v>393</v>
      </c>
      <c r="AI117" s="40" t="s">
        <v>3556</v>
      </c>
      <c r="AJ117" s="40" t="s">
        <v>3547</v>
      </c>
      <c r="AK117" s="40" t="s">
        <v>3231</v>
      </c>
      <c r="AL117" s="40" t="s">
        <v>3557</v>
      </c>
      <c r="AM117" s="40" t="s">
        <v>3548</v>
      </c>
      <c r="AN117" s="40" t="s">
        <v>3558</v>
      </c>
      <c r="AO117" s="36" t="s">
        <v>393</v>
      </c>
    </row>
    <row r="118" spans="1:41" ht="55.2" hidden="1">
      <c r="A118" s="40" t="s">
        <v>2677</v>
      </c>
      <c r="B118" s="40" t="s">
        <v>3433</v>
      </c>
      <c r="C118" s="40" t="s">
        <v>623</v>
      </c>
      <c r="D118" s="40" t="s">
        <v>3559</v>
      </c>
      <c r="E118" s="40" t="s">
        <v>679</v>
      </c>
      <c r="F118" s="40" t="s">
        <v>2680</v>
      </c>
      <c r="G118" s="40" t="s">
        <v>393</v>
      </c>
      <c r="H118" s="40" t="s">
        <v>3560</v>
      </c>
      <c r="I118" s="55" t="s">
        <v>3561</v>
      </c>
      <c r="J118" s="40" t="s">
        <v>318</v>
      </c>
      <c r="K118" s="40" t="s">
        <v>318</v>
      </c>
      <c r="L118" s="40" t="s">
        <v>879</v>
      </c>
      <c r="M118" s="40" t="s">
        <v>393</v>
      </c>
      <c r="N118" s="40" t="s">
        <v>2683</v>
      </c>
      <c r="O118" s="40" t="s">
        <v>3411</v>
      </c>
      <c r="P118" s="40" t="s">
        <v>2685</v>
      </c>
      <c r="Q118" s="40" t="s">
        <v>2706</v>
      </c>
      <c r="R118" s="40" t="s">
        <v>393</v>
      </c>
      <c r="S118" s="40" t="s">
        <v>2843</v>
      </c>
      <c r="T118" s="40" t="s">
        <v>393</v>
      </c>
      <c r="U118" s="40" t="s">
        <v>393</v>
      </c>
      <c r="V118" s="40" t="s">
        <v>393</v>
      </c>
      <c r="W118" s="40" t="s">
        <v>393</v>
      </c>
      <c r="X118" s="40" t="s">
        <v>334</v>
      </c>
      <c r="Y118" s="40" t="s">
        <v>393</v>
      </c>
      <c r="Z118" s="40" t="s">
        <v>2958</v>
      </c>
      <c r="AA118" s="40" t="s">
        <v>393</v>
      </c>
      <c r="AB118" s="40" t="s">
        <v>342</v>
      </c>
      <c r="AC118" s="40" t="s">
        <v>2709</v>
      </c>
      <c r="AD118" s="40" t="s">
        <v>580</v>
      </c>
      <c r="AE118" s="40" t="s">
        <v>393</v>
      </c>
      <c r="AF118" s="40" t="s">
        <v>393</v>
      </c>
      <c r="AG118" s="40" t="s">
        <v>2693</v>
      </c>
      <c r="AH118" s="40" t="s">
        <v>3334</v>
      </c>
      <c r="AI118" s="40" t="s">
        <v>2880</v>
      </c>
      <c r="AJ118" s="40" t="s">
        <v>3137</v>
      </c>
      <c r="AK118" s="40" t="s">
        <v>2790</v>
      </c>
      <c r="AL118" s="40" t="s">
        <v>3562</v>
      </c>
      <c r="AM118" s="40" t="s">
        <v>3548</v>
      </c>
      <c r="AN118" s="40" t="s">
        <v>3563</v>
      </c>
      <c r="AO118" s="36" t="s">
        <v>3564</v>
      </c>
    </row>
    <row r="119" spans="1:41" ht="220.8" hidden="1">
      <c r="A119" s="40" t="s">
        <v>2677</v>
      </c>
      <c r="B119" s="40" t="s">
        <v>3433</v>
      </c>
      <c r="C119" s="40" t="s">
        <v>623</v>
      </c>
      <c r="D119" s="40" t="s">
        <v>2767</v>
      </c>
      <c r="E119" s="40" t="s">
        <v>326</v>
      </c>
      <c r="F119" s="40" t="s">
        <v>2680</v>
      </c>
      <c r="G119" s="40" t="s">
        <v>15</v>
      </c>
      <c r="H119" s="40" t="s">
        <v>3565</v>
      </c>
      <c r="I119" s="40" t="s">
        <v>3566</v>
      </c>
      <c r="J119" s="40" t="s">
        <v>318</v>
      </c>
      <c r="K119" s="40" t="s">
        <v>318</v>
      </c>
      <c r="L119" s="40" t="s">
        <v>393</v>
      </c>
      <c r="M119" s="40" t="s">
        <v>393</v>
      </c>
      <c r="N119" s="40" t="s">
        <v>2683</v>
      </c>
      <c r="O119" s="40" t="s">
        <v>2770</v>
      </c>
      <c r="P119" s="40" t="s">
        <v>3567</v>
      </c>
      <c r="Q119" s="40" t="s">
        <v>2686</v>
      </c>
      <c r="R119" s="40" t="s">
        <v>393</v>
      </c>
      <c r="S119" s="40" t="s">
        <v>3568</v>
      </c>
      <c r="T119" s="40" t="s">
        <v>393</v>
      </c>
      <c r="U119" s="40" t="s">
        <v>393</v>
      </c>
      <c r="V119" s="40" t="s">
        <v>393</v>
      </c>
      <c r="W119" s="40" t="s">
        <v>2925</v>
      </c>
      <c r="X119" s="40" t="s">
        <v>3569</v>
      </c>
      <c r="Y119" s="40" t="s">
        <v>879</v>
      </c>
      <c r="Z119" s="40" t="s">
        <v>2958</v>
      </c>
      <c r="AA119" s="40" t="s">
        <v>360</v>
      </c>
      <c r="AB119" s="40" t="s">
        <v>3570</v>
      </c>
      <c r="AC119" s="40" t="s">
        <v>2709</v>
      </c>
      <c r="AD119" s="40" t="s">
        <v>580</v>
      </c>
      <c r="AE119" s="40" t="s">
        <v>393</v>
      </c>
      <c r="AF119" s="40" t="s">
        <v>3571</v>
      </c>
      <c r="AG119" s="40" t="s">
        <v>2693</v>
      </c>
      <c r="AH119" s="40" t="s">
        <v>3498</v>
      </c>
      <c r="AI119" s="40" t="s">
        <v>322</v>
      </c>
      <c r="AJ119" s="40" t="s">
        <v>327</v>
      </c>
      <c r="AK119" s="40" t="s">
        <v>3572</v>
      </c>
      <c r="AL119" s="40" t="s">
        <v>3573</v>
      </c>
      <c r="AM119" s="40" t="s">
        <v>3574</v>
      </c>
      <c r="AN119" s="40" t="s">
        <v>3575</v>
      </c>
      <c r="AO119" s="119" t="s">
        <v>3576</v>
      </c>
    </row>
    <row r="120" spans="1:41" ht="220.8" hidden="1">
      <c r="A120" s="40" t="s">
        <v>2677</v>
      </c>
      <c r="B120" s="40" t="s">
        <v>3433</v>
      </c>
      <c r="C120" s="40" t="s">
        <v>623</v>
      </c>
      <c r="D120" s="40" t="s">
        <v>2767</v>
      </c>
      <c r="E120" s="40" t="s">
        <v>326</v>
      </c>
      <c r="F120" s="40" t="s">
        <v>2680</v>
      </c>
      <c r="G120" s="40" t="s">
        <v>321</v>
      </c>
      <c r="H120" s="40" t="s">
        <v>3577</v>
      </c>
      <c r="I120" s="40" t="s">
        <v>3566</v>
      </c>
      <c r="J120" s="40" t="s">
        <v>318</v>
      </c>
      <c r="K120" s="40" t="s">
        <v>318</v>
      </c>
      <c r="L120" s="40" t="s">
        <v>393</v>
      </c>
      <c r="M120" s="40" t="s">
        <v>393</v>
      </c>
      <c r="N120" s="40" t="s">
        <v>2683</v>
      </c>
      <c r="O120" s="40" t="s">
        <v>2770</v>
      </c>
      <c r="P120" s="40" t="s">
        <v>3567</v>
      </c>
      <c r="Q120" s="40" t="s">
        <v>2686</v>
      </c>
      <c r="R120" s="40" t="s">
        <v>393</v>
      </c>
      <c r="S120" s="40" t="s">
        <v>3568</v>
      </c>
      <c r="T120" s="40" t="s">
        <v>393</v>
      </c>
      <c r="U120" s="40" t="s">
        <v>393</v>
      </c>
      <c r="V120" s="40" t="s">
        <v>393</v>
      </c>
      <c r="W120" s="40" t="s">
        <v>2925</v>
      </c>
      <c r="X120" s="40" t="s">
        <v>3569</v>
      </c>
      <c r="Y120" s="40" t="s">
        <v>879</v>
      </c>
      <c r="Z120" s="40" t="s">
        <v>2958</v>
      </c>
      <c r="AA120" s="40" t="s">
        <v>360</v>
      </c>
      <c r="AB120" s="40" t="s">
        <v>3570</v>
      </c>
      <c r="AC120" s="40" t="s">
        <v>2709</v>
      </c>
      <c r="AD120" s="40" t="s">
        <v>580</v>
      </c>
      <c r="AE120" s="40" t="s">
        <v>393</v>
      </c>
      <c r="AF120" s="40" t="s">
        <v>3571</v>
      </c>
      <c r="AG120" s="40" t="s">
        <v>2693</v>
      </c>
      <c r="AH120" s="40" t="s">
        <v>3498</v>
      </c>
      <c r="AI120" s="40" t="s">
        <v>322</v>
      </c>
      <c r="AJ120" s="40" t="s">
        <v>327</v>
      </c>
      <c r="AK120" s="40" t="s">
        <v>3572</v>
      </c>
      <c r="AL120" s="40" t="s">
        <v>3573</v>
      </c>
      <c r="AM120" s="40" t="s">
        <v>3574</v>
      </c>
      <c r="AN120" s="40" t="s">
        <v>3575</v>
      </c>
      <c r="AO120" s="36" t="s">
        <v>3578</v>
      </c>
    </row>
    <row r="121" spans="1:41" ht="220.8" hidden="1">
      <c r="A121" s="40" t="s">
        <v>2677</v>
      </c>
      <c r="B121" s="40" t="s">
        <v>3433</v>
      </c>
      <c r="C121" s="40" t="s">
        <v>623</v>
      </c>
      <c r="D121" s="40" t="s">
        <v>2767</v>
      </c>
      <c r="E121" s="40" t="s">
        <v>326</v>
      </c>
      <c r="F121" s="40" t="s">
        <v>2680</v>
      </c>
      <c r="G121" s="40" t="s">
        <v>311</v>
      </c>
      <c r="H121" s="40" t="s">
        <v>3579</v>
      </c>
      <c r="I121" s="40" t="s">
        <v>3566</v>
      </c>
      <c r="J121" s="40" t="s">
        <v>318</v>
      </c>
      <c r="K121" s="40" t="s">
        <v>318</v>
      </c>
      <c r="L121" s="40" t="s">
        <v>393</v>
      </c>
      <c r="M121" s="40" t="s">
        <v>393</v>
      </c>
      <c r="N121" s="40" t="s">
        <v>2683</v>
      </c>
      <c r="O121" s="40" t="s">
        <v>2770</v>
      </c>
      <c r="P121" s="40" t="s">
        <v>3567</v>
      </c>
      <c r="Q121" s="40" t="s">
        <v>2686</v>
      </c>
      <c r="R121" s="40" t="s">
        <v>393</v>
      </c>
      <c r="S121" s="40" t="s">
        <v>3568</v>
      </c>
      <c r="T121" s="40" t="s">
        <v>393</v>
      </c>
      <c r="U121" s="40" t="s">
        <v>393</v>
      </c>
      <c r="V121" s="40" t="s">
        <v>393</v>
      </c>
      <c r="W121" s="40" t="s">
        <v>2925</v>
      </c>
      <c r="X121" s="40" t="s">
        <v>3569</v>
      </c>
      <c r="Y121" s="40" t="s">
        <v>879</v>
      </c>
      <c r="Z121" s="40" t="s">
        <v>2958</v>
      </c>
      <c r="AA121" s="40" t="s">
        <v>360</v>
      </c>
      <c r="AB121" s="40" t="s">
        <v>3570</v>
      </c>
      <c r="AC121" s="40" t="s">
        <v>2709</v>
      </c>
      <c r="AD121" s="40" t="s">
        <v>580</v>
      </c>
      <c r="AE121" s="40" t="s">
        <v>393</v>
      </c>
      <c r="AF121" s="40" t="s">
        <v>3571</v>
      </c>
      <c r="AG121" s="40" t="s">
        <v>2693</v>
      </c>
      <c r="AH121" s="40" t="s">
        <v>3498</v>
      </c>
      <c r="AI121" s="40" t="s">
        <v>322</v>
      </c>
      <c r="AJ121" s="40" t="s">
        <v>327</v>
      </c>
      <c r="AK121" s="40" t="s">
        <v>3572</v>
      </c>
      <c r="AL121" s="40" t="s">
        <v>3573</v>
      </c>
      <c r="AM121" s="40" t="s">
        <v>3574</v>
      </c>
      <c r="AN121" s="40" t="s">
        <v>3575</v>
      </c>
      <c r="AO121" s="36" t="s">
        <v>3578</v>
      </c>
    </row>
    <row r="122" spans="1:41" ht="69" hidden="1">
      <c r="A122" s="40" t="s">
        <v>2677</v>
      </c>
      <c r="B122" s="40" t="s">
        <v>3433</v>
      </c>
      <c r="C122" s="40" t="s">
        <v>623</v>
      </c>
      <c r="D122" s="40" t="s">
        <v>2767</v>
      </c>
      <c r="E122" s="40" t="s">
        <v>326</v>
      </c>
      <c r="F122" s="40" t="s">
        <v>2782</v>
      </c>
      <c r="G122" s="40" t="s">
        <v>393</v>
      </c>
      <c r="H122" s="40" t="s">
        <v>3580</v>
      </c>
      <c r="I122" s="40" t="s">
        <v>3581</v>
      </c>
      <c r="J122" s="40" t="s">
        <v>318</v>
      </c>
      <c r="K122" s="40" t="s">
        <v>318</v>
      </c>
      <c r="L122" s="40" t="s">
        <v>393</v>
      </c>
      <c r="M122" s="40" t="s">
        <v>393</v>
      </c>
      <c r="N122" s="40" t="s">
        <v>2683</v>
      </c>
      <c r="O122" s="40" t="s">
        <v>2770</v>
      </c>
      <c r="P122" s="40" t="s">
        <v>3567</v>
      </c>
      <c r="Q122" s="40" t="s">
        <v>2686</v>
      </c>
      <c r="R122" s="40" t="s">
        <v>393</v>
      </c>
      <c r="S122" s="40" t="s">
        <v>3568</v>
      </c>
      <c r="T122" s="40" t="s">
        <v>393</v>
      </c>
      <c r="U122" s="40" t="s">
        <v>393</v>
      </c>
      <c r="V122" s="40" t="s">
        <v>393</v>
      </c>
      <c r="W122" s="40" t="s">
        <v>2925</v>
      </c>
      <c r="X122" s="40" t="s">
        <v>3569</v>
      </c>
      <c r="Y122" s="40" t="s">
        <v>879</v>
      </c>
      <c r="Z122" s="40" t="s">
        <v>2958</v>
      </c>
      <c r="AA122" s="40" t="s">
        <v>360</v>
      </c>
      <c r="AB122" s="40" t="s">
        <v>3570</v>
      </c>
      <c r="AC122" s="40" t="s">
        <v>2709</v>
      </c>
      <c r="AD122" s="40" t="s">
        <v>580</v>
      </c>
      <c r="AE122" s="40" t="s">
        <v>3582</v>
      </c>
      <c r="AF122" s="40" t="s">
        <v>3583</v>
      </c>
      <c r="AG122" s="40" t="s">
        <v>3287</v>
      </c>
      <c r="AH122" s="40" t="s">
        <v>3474</v>
      </c>
      <c r="AI122" s="40" t="s">
        <v>2734</v>
      </c>
      <c r="AJ122" s="40" t="s">
        <v>3120</v>
      </c>
      <c r="AK122" s="40" t="s">
        <v>3070</v>
      </c>
      <c r="AL122" s="40" t="s">
        <v>3231</v>
      </c>
      <c r="AM122" s="40" t="s">
        <v>3574</v>
      </c>
      <c r="AN122" s="40" t="s">
        <v>3575</v>
      </c>
      <c r="AO122" s="36" t="s">
        <v>3584</v>
      </c>
    </row>
    <row r="123" spans="1:41" ht="82.8" hidden="1">
      <c r="A123" s="40" t="s">
        <v>2677</v>
      </c>
      <c r="B123" s="40" t="s">
        <v>3433</v>
      </c>
      <c r="C123" s="40" t="s">
        <v>623</v>
      </c>
      <c r="D123" s="40" t="s">
        <v>2767</v>
      </c>
      <c r="E123" s="40" t="s">
        <v>326</v>
      </c>
      <c r="F123" s="40" t="s">
        <v>2740</v>
      </c>
      <c r="G123" s="40" t="s">
        <v>15</v>
      </c>
      <c r="H123" s="40" t="s">
        <v>3585</v>
      </c>
      <c r="I123" s="40" t="s">
        <v>3586</v>
      </c>
      <c r="J123" s="40" t="s">
        <v>318</v>
      </c>
      <c r="K123" s="40" t="s">
        <v>318</v>
      </c>
      <c r="L123" s="40" t="s">
        <v>393</v>
      </c>
      <c r="M123" s="40" t="s">
        <v>393</v>
      </c>
      <c r="N123" s="40" t="s">
        <v>2683</v>
      </c>
      <c r="O123" s="40" t="s">
        <v>2770</v>
      </c>
      <c r="P123" s="40" t="s">
        <v>2785</v>
      </c>
      <c r="Q123" s="40" t="s">
        <v>2706</v>
      </c>
      <c r="R123" s="40" t="s">
        <v>393</v>
      </c>
      <c r="S123" s="40" t="s">
        <v>633</v>
      </c>
      <c r="T123" s="40" t="s">
        <v>393</v>
      </c>
      <c r="U123" s="40" t="s">
        <v>393</v>
      </c>
      <c r="V123" s="40" t="s">
        <v>393</v>
      </c>
      <c r="W123" s="40" t="s">
        <v>2925</v>
      </c>
      <c r="X123" s="40" t="s">
        <v>3587</v>
      </c>
      <c r="Y123" s="40" t="s">
        <v>879</v>
      </c>
      <c r="Z123" s="40" t="s">
        <v>2958</v>
      </c>
      <c r="AA123" s="40" t="s">
        <v>380</v>
      </c>
      <c r="AB123" s="40" t="s">
        <v>442</v>
      </c>
      <c r="AC123" s="40" t="s">
        <v>2709</v>
      </c>
      <c r="AD123" s="40" t="s">
        <v>580</v>
      </c>
      <c r="AE123" s="40" t="s">
        <v>3588</v>
      </c>
      <c r="AF123" s="40" t="s">
        <v>562</v>
      </c>
      <c r="AG123" s="40" t="s">
        <v>2693</v>
      </c>
      <c r="AH123" s="40" t="s">
        <v>3589</v>
      </c>
      <c r="AI123" s="40" t="s">
        <v>3590</v>
      </c>
      <c r="AJ123" s="40" t="s">
        <v>3591</v>
      </c>
      <c r="AK123" s="40" t="s">
        <v>3592</v>
      </c>
      <c r="AL123" s="40" t="s">
        <v>3593</v>
      </c>
      <c r="AM123" s="40" t="s">
        <v>3574</v>
      </c>
      <c r="AN123" s="40" t="s">
        <v>3575</v>
      </c>
      <c r="AO123" s="36" t="s">
        <v>3594</v>
      </c>
    </row>
    <row r="124" spans="1:41" ht="82.8" hidden="1">
      <c r="A124" s="40" t="s">
        <v>2677</v>
      </c>
      <c r="B124" s="40" t="s">
        <v>3433</v>
      </c>
      <c r="C124" s="40" t="s">
        <v>623</v>
      </c>
      <c r="D124" s="40" t="s">
        <v>2767</v>
      </c>
      <c r="E124" s="40" t="s">
        <v>326</v>
      </c>
      <c r="F124" s="40" t="s">
        <v>2740</v>
      </c>
      <c r="G124" s="40" t="s">
        <v>321</v>
      </c>
      <c r="H124" s="40" t="s">
        <v>3595</v>
      </c>
      <c r="I124" s="40" t="s">
        <v>3586</v>
      </c>
      <c r="J124" s="40" t="s">
        <v>318</v>
      </c>
      <c r="K124" s="40" t="s">
        <v>318</v>
      </c>
      <c r="L124" s="40" t="s">
        <v>393</v>
      </c>
      <c r="M124" s="40" t="s">
        <v>393</v>
      </c>
      <c r="N124" s="40" t="s">
        <v>2683</v>
      </c>
      <c r="O124" s="40" t="s">
        <v>2770</v>
      </c>
      <c r="P124" s="40" t="s">
        <v>2785</v>
      </c>
      <c r="Q124" s="40" t="s">
        <v>2706</v>
      </c>
      <c r="R124" s="40" t="s">
        <v>393</v>
      </c>
      <c r="S124" s="40" t="s">
        <v>633</v>
      </c>
      <c r="T124" s="40" t="s">
        <v>393</v>
      </c>
      <c r="U124" s="40" t="s">
        <v>393</v>
      </c>
      <c r="V124" s="40" t="s">
        <v>393</v>
      </c>
      <c r="W124" s="40" t="s">
        <v>2925</v>
      </c>
      <c r="X124" s="40" t="s">
        <v>3587</v>
      </c>
      <c r="Y124" s="40" t="s">
        <v>879</v>
      </c>
      <c r="Z124" s="40" t="s">
        <v>2958</v>
      </c>
      <c r="AA124" s="40" t="s">
        <v>380</v>
      </c>
      <c r="AB124" s="40" t="s">
        <v>442</v>
      </c>
      <c r="AC124" s="40" t="s">
        <v>2709</v>
      </c>
      <c r="AD124" s="40" t="s">
        <v>580</v>
      </c>
      <c r="AE124" s="40" t="s">
        <v>3588</v>
      </c>
      <c r="AF124" s="40" t="s">
        <v>562</v>
      </c>
      <c r="AG124" s="40" t="s">
        <v>2693</v>
      </c>
      <c r="AH124" s="40" t="s">
        <v>3589</v>
      </c>
      <c r="AI124" s="40" t="s">
        <v>3590</v>
      </c>
      <c r="AJ124" s="40" t="s">
        <v>3591</v>
      </c>
      <c r="AK124" s="40" t="s">
        <v>3592</v>
      </c>
      <c r="AL124" s="40" t="s">
        <v>3593</v>
      </c>
      <c r="AM124" s="40" t="s">
        <v>3574</v>
      </c>
      <c r="AN124" s="40" t="s">
        <v>3575</v>
      </c>
      <c r="AO124" s="36" t="s">
        <v>3594</v>
      </c>
    </row>
    <row r="125" spans="1:41" ht="110.4" hidden="1">
      <c r="A125" s="40" t="s">
        <v>2677</v>
      </c>
      <c r="B125" s="40" t="s">
        <v>3446</v>
      </c>
      <c r="C125" s="40" t="s">
        <v>623</v>
      </c>
      <c r="D125" s="40" t="s">
        <v>2767</v>
      </c>
      <c r="E125" s="40" t="s">
        <v>326</v>
      </c>
      <c r="F125" s="40" t="s">
        <v>2920</v>
      </c>
      <c r="G125" s="40" t="s">
        <v>15</v>
      </c>
      <c r="H125" s="40" t="s">
        <v>3596</v>
      </c>
      <c r="I125" s="40" t="s">
        <v>3597</v>
      </c>
      <c r="J125" s="40" t="s">
        <v>318</v>
      </c>
      <c r="K125" s="40" t="s">
        <v>318</v>
      </c>
      <c r="L125" s="40" t="s">
        <v>393</v>
      </c>
      <c r="M125" s="40" t="s">
        <v>393</v>
      </c>
      <c r="N125" s="40" t="s">
        <v>2683</v>
      </c>
      <c r="O125" s="40" t="s">
        <v>3084</v>
      </c>
      <c r="P125" s="40" t="s">
        <v>2785</v>
      </c>
      <c r="Q125" s="40" t="s">
        <v>2686</v>
      </c>
      <c r="R125" s="40" t="s">
        <v>393</v>
      </c>
      <c r="S125" s="40" t="s">
        <v>3466</v>
      </c>
      <c r="T125" s="40" t="s">
        <v>393</v>
      </c>
      <c r="U125" s="40" t="s">
        <v>393</v>
      </c>
      <c r="V125" s="40" t="s">
        <v>393</v>
      </c>
      <c r="W125" s="40" t="s">
        <v>2925</v>
      </c>
      <c r="X125" s="40" t="s">
        <v>380</v>
      </c>
      <c r="Y125" s="40" t="s">
        <v>2914</v>
      </c>
      <c r="Z125" s="40" t="s">
        <v>2958</v>
      </c>
      <c r="AA125" s="40" t="s">
        <v>380</v>
      </c>
      <c r="AB125" s="40" t="s">
        <v>432</v>
      </c>
      <c r="AC125" s="40" t="s">
        <v>3598</v>
      </c>
      <c r="AD125" s="40" t="s">
        <v>553</v>
      </c>
      <c r="AE125" s="40" t="s">
        <v>656</v>
      </c>
      <c r="AF125" s="40" t="s">
        <v>696</v>
      </c>
      <c r="AG125" s="40" t="s">
        <v>3496</v>
      </c>
      <c r="AH125" s="40" t="s">
        <v>3599</v>
      </c>
      <c r="AI125" s="40" t="s">
        <v>3600</v>
      </c>
      <c r="AJ125" s="40" t="s">
        <v>3589</v>
      </c>
      <c r="AK125" s="40" t="s">
        <v>393</v>
      </c>
      <c r="AL125" s="40" t="s">
        <v>393</v>
      </c>
      <c r="AM125" s="40" t="s">
        <v>3601</v>
      </c>
      <c r="AN125" s="40" t="s">
        <v>3602</v>
      </c>
      <c r="AO125" s="36" t="s">
        <v>3603</v>
      </c>
    </row>
    <row r="126" spans="1:41" ht="110.4" hidden="1">
      <c r="A126" s="40" t="s">
        <v>2677</v>
      </c>
      <c r="B126" s="40" t="s">
        <v>3446</v>
      </c>
      <c r="C126" s="40" t="s">
        <v>623</v>
      </c>
      <c r="D126" s="40" t="s">
        <v>2767</v>
      </c>
      <c r="E126" s="40" t="s">
        <v>326</v>
      </c>
      <c r="F126" s="40" t="s">
        <v>2920</v>
      </c>
      <c r="G126" s="40" t="s">
        <v>321</v>
      </c>
      <c r="H126" s="40" t="s">
        <v>3604</v>
      </c>
      <c r="I126" s="40" t="s">
        <v>3597</v>
      </c>
      <c r="J126" s="40" t="s">
        <v>318</v>
      </c>
      <c r="K126" s="40" t="s">
        <v>318</v>
      </c>
      <c r="L126" s="40" t="s">
        <v>393</v>
      </c>
      <c r="M126" s="40" t="s">
        <v>393</v>
      </c>
      <c r="N126" s="40" t="s">
        <v>2683</v>
      </c>
      <c r="O126" s="40" t="s">
        <v>3084</v>
      </c>
      <c r="P126" s="40" t="s">
        <v>2785</v>
      </c>
      <c r="Q126" s="40" t="s">
        <v>2686</v>
      </c>
      <c r="R126" s="40" t="s">
        <v>393</v>
      </c>
      <c r="S126" s="40" t="s">
        <v>3466</v>
      </c>
      <c r="T126" s="40" t="s">
        <v>393</v>
      </c>
      <c r="U126" s="40" t="s">
        <v>393</v>
      </c>
      <c r="V126" s="40" t="s">
        <v>393</v>
      </c>
      <c r="W126" s="40" t="s">
        <v>2925</v>
      </c>
      <c r="X126" s="40" t="s">
        <v>380</v>
      </c>
      <c r="Y126" s="40" t="s">
        <v>2914</v>
      </c>
      <c r="Z126" s="40" t="s">
        <v>2958</v>
      </c>
      <c r="AA126" s="40" t="s">
        <v>380</v>
      </c>
      <c r="AB126" s="40" t="s">
        <v>432</v>
      </c>
      <c r="AC126" s="40" t="s">
        <v>3598</v>
      </c>
      <c r="AD126" s="40" t="s">
        <v>553</v>
      </c>
      <c r="AE126" s="40" t="s">
        <v>656</v>
      </c>
      <c r="AF126" s="40" t="s">
        <v>696</v>
      </c>
      <c r="AG126" s="40" t="s">
        <v>3496</v>
      </c>
      <c r="AH126" s="40" t="s">
        <v>3599</v>
      </c>
      <c r="AI126" s="40" t="s">
        <v>3600</v>
      </c>
      <c r="AJ126" s="40" t="s">
        <v>3589</v>
      </c>
      <c r="AK126" s="40" t="s">
        <v>393</v>
      </c>
      <c r="AL126" s="40" t="s">
        <v>393</v>
      </c>
      <c r="AM126" s="40" t="s">
        <v>3601</v>
      </c>
      <c r="AN126" s="40" t="s">
        <v>3602</v>
      </c>
      <c r="AO126" s="36" t="s">
        <v>3603</v>
      </c>
    </row>
    <row r="127" spans="1:41" ht="82.8" hidden="1">
      <c r="A127" s="40" t="s">
        <v>2677</v>
      </c>
      <c r="B127" s="40" t="s">
        <v>393</v>
      </c>
      <c r="C127" s="40" t="s">
        <v>623</v>
      </c>
      <c r="D127" s="40" t="s">
        <v>3605</v>
      </c>
      <c r="E127" s="40" t="s">
        <v>326</v>
      </c>
      <c r="F127" s="40" t="s">
        <v>2680</v>
      </c>
      <c r="G127" s="40" t="s">
        <v>393</v>
      </c>
      <c r="H127" s="40" t="s">
        <v>3606</v>
      </c>
      <c r="I127" s="40" t="s">
        <v>3607</v>
      </c>
      <c r="J127" s="40" t="s">
        <v>318</v>
      </c>
      <c r="K127" s="40" t="s">
        <v>318</v>
      </c>
      <c r="L127" s="40" t="s">
        <v>393</v>
      </c>
      <c r="M127" s="40" t="s">
        <v>393</v>
      </c>
      <c r="N127" s="40" t="s">
        <v>3608</v>
      </c>
      <c r="O127" s="40" t="s">
        <v>3609</v>
      </c>
      <c r="P127" s="40" t="s">
        <v>2685</v>
      </c>
      <c r="Q127" s="40" t="s">
        <v>2686</v>
      </c>
      <c r="R127" s="40" t="s">
        <v>393</v>
      </c>
      <c r="S127" s="40" t="s">
        <v>580</v>
      </c>
      <c r="T127" s="40" t="s">
        <v>393</v>
      </c>
      <c r="U127" s="40" t="s">
        <v>393</v>
      </c>
      <c r="V127" s="40" t="s">
        <v>2692</v>
      </c>
      <c r="W127" s="40" t="s">
        <v>339</v>
      </c>
      <c r="X127" s="40" t="s">
        <v>345</v>
      </c>
      <c r="Y127" s="40" t="s">
        <v>879</v>
      </c>
      <c r="Z127" s="40" t="s">
        <v>2958</v>
      </c>
      <c r="AA127" s="40" t="s">
        <v>2937</v>
      </c>
      <c r="AB127" s="40" t="s">
        <v>380</v>
      </c>
      <c r="AC127" s="40" t="s">
        <v>3610</v>
      </c>
      <c r="AD127" s="40" t="s">
        <v>553</v>
      </c>
      <c r="AE127" s="40" t="s">
        <v>2692</v>
      </c>
      <c r="AF127" s="40" t="s">
        <v>2692</v>
      </c>
      <c r="AG127" s="40" t="s">
        <v>2693</v>
      </c>
      <c r="AH127" s="40" t="s">
        <v>334</v>
      </c>
      <c r="AI127" s="40" t="s">
        <v>2893</v>
      </c>
      <c r="AJ127" s="40" t="s">
        <v>2893</v>
      </c>
      <c r="AK127" s="40" t="s">
        <v>3611</v>
      </c>
      <c r="AL127" s="40" t="s">
        <v>3612</v>
      </c>
      <c r="AM127" s="40" t="s">
        <v>3601</v>
      </c>
      <c r="AN127" s="40" t="s">
        <v>3613</v>
      </c>
      <c r="AO127" s="36" t="s">
        <v>3614</v>
      </c>
    </row>
    <row r="128" spans="1:41" ht="82.8" hidden="1">
      <c r="A128" s="40" t="s">
        <v>2677</v>
      </c>
      <c r="B128" s="40" t="s">
        <v>393</v>
      </c>
      <c r="C128" s="40" t="s">
        <v>623</v>
      </c>
      <c r="D128" s="40" t="s">
        <v>3605</v>
      </c>
      <c r="E128" s="40" t="s">
        <v>326</v>
      </c>
      <c r="F128" s="40" t="s">
        <v>2782</v>
      </c>
      <c r="G128" s="40" t="s">
        <v>393</v>
      </c>
      <c r="H128" s="40" t="s">
        <v>3615</v>
      </c>
      <c r="I128" s="40" t="s">
        <v>3607</v>
      </c>
      <c r="J128" s="40" t="s">
        <v>318</v>
      </c>
      <c r="K128" s="40" t="s">
        <v>318</v>
      </c>
      <c r="L128" s="40" t="s">
        <v>393</v>
      </c>
      <c r="M128" s="40" t="s">
        <v>393</v>
      </c>
      <c r="N128" s="40" t="s">
        <v>3608</v>
      </c>
      <c r="O128" s="40" t="s">
        <v>3609</v>
      </c>
      <c r="P128" s="40" t="s">
        <v>2685</v>
      </c>
      <c r="Q128" s="40" t="s">
        <v>2686</v>
      </c>
      <c r="R128" s="40" t="s">
        <v>393</v>
      </c>
      <c r="S128" s="40" t="s">
        <v>633</v>
      </c>
      <c r="T128" s="40" t="s">
        <v>393</v>
      </c>
      <c r="U128" s="40" t="s">
        <v>393</v>
      </c>
      <c r="V128" s="40" t="s">
        <v>2692</v>
      </c>
      <c r="W128" s="40" t="s">
        <v>339</v>
      </c>
      <c r="X128" s="40" t="s">
        <v>345</v>
      </c>
      <c r="Y128" s="40" t="s">
        <v>879</v>
      </c>
      <c r="Z128" s="40" t="s">
        <v>2958</v>
      </c>
      <c r="AA128" s="40" t="s">
        <v>2937</v>
      </c>
      <c r="AB128" s="40" t="s">
        <v>380</v>
      </c>
      <c r="AC128" s="40" t="s">
        <v>3610</v>
      </c>
      <c r="AD128" s="40" t="s">
        <v>553</v>
      </c>
      <c r="AE128" s="40" t="s">
        <v>2692</v>
      </c>
      <c r="AF128" s="40" t="s">
        <v>2692</v>
      </c>
      <c r="AG128" s="40" t="s">
        <v>2693</v>
      </c>
      <c r="AH128" s="40" t="s">
        <v>334</v>
      </c>
      <c r="AI128" s="40" t="s">
        <v>2893</v>
      </c>
      <c r="AJ128" s="40" t="s">
        <v>2893</v>
      </c>
      <c r="AK128" s="40" t="s">
        <v>3611</v>
      </c>
      <c r="AL128" s="40" t="s">
        <v>3612</v>
      </c>
      <c r="AM128" s="40" t="s">
        <v>3601</v>
      </c>
      <c r="AN128" s="40" t="s">
        <v>3613</v>
      </c>
      <c r="AO128" s="36" t="s">
        <v>3614</v>
      </c>
    </row>
    <row r="129" spans="1:41" ht="82.8" hidden="1">
      <c r="A129" s="40" t="s">
        <v>2677</v>
      </c>
      <c r="B129" s="40" t="s">
        <v>393</v>
      </c>
      <c r="C129" s="40" t="s">
        <v>623</v>
      </c>
      <c r="D129" s="40" t="s">
        <v>3605</v>
      </c>
      <c r="E129" s="40" t="s">
        <v>326</v>
      </c>
      <c r="F129" s="40" t="s">
        <v>2740</v>
      </c>
      <c r="G129" s="40" t="s">
        <v>393</v>
      </c>
      <c r="H129" s="40" t="s">
        <v>3616</v>
      </c>
      <c r="I129" s="40" t="s">
        <v>3607</v>
      </c>
      <c r="J129" s="40" t="s">
        <v>318</v>
      </c>
      <c r="K129" s="40" t="s">
        <v>318</v>
      </c>
      <c r="L129" s="40" t="s">
        <v>393</v>
      </c>
      <c r="M129" s="40" t="s">
        <v>393</v>
      </c>
      <c r="N129" s="40" t="s">
        <v>3608</v>
      </c>
      <c r="O129" s="40" t="s">
        <v>3609</v>
      </c>
      <c r="P129" s="40" t="s">
        <v>2685</v>
      </c>
      <c r="Q129" s="40" t="s">
        <v>2686</v>
      </c>
      <c r="R129" s="40" t="s">
        <v>393</v>
      </c>
      <c r="S129" s="40" t="s">
        <v>458</v>
      </c>
      <c r="T129" s="40" t="s">
        <v>393</v>
      </c>
      <c r="U129" s="40" t="s">
        <v>393</v>
      </c>
      <c r="V129" s="40" t="s">
        <v>2692</v>
      </c>
      <c r="W129" s="40" t="s">
        <v>339</v>
      </c>
      <c r="X129" s="40" t="s">
        <v>345</v>
      </c>
      <c r="Y129" s="40" t="s">
        <v>879</v>
      </c>
      <c r="Z129" s="40" t="s">
        <v>2958</v>
      </c>
      <c r="AA129" s="40" t="s">
        <v>2937</v>
      </c>
      <c r="AB129" s="40" t="s">
        <v>380</v>
      </c>
      <c r="AC129" s="40" t="s">
        <v>3610</v>
      </c>
      <c r="AD129" s="40" t="s">
        <v>553</v>
      </c>
      <c r="AE129" s="40" t="s">
        <v>2692</v>
      </c>
      <c r="AF129" s="40" t="s">
        <v>2692</v>
      </c>
      <c r="AG129" s="40" t="s">
        <v>2693</v>
      </c>
      <c r="AH129" s="40" t="s">
        <v>330</v>
      </c>
      <c r="AI129" s="40" t="s">
        <v>2893</v>
      </c>
      <c r="AJ129" s="40" t="s">
        <v>2893</v>
      </c>
      <c r="AK129" s="40" t="s">
        <v>3070</v>
      </c>
      <c r="AL129" s="40" t="s">
        <v>3231</v>
      </c>
      <c r="AM129" s="40" t="s">
        <v>3601</v>
      </c>
      <c r="AN129" s="40" t="s">
        <v>3613</v>
      </c>
      <c r="AO129" s="36" t="s">
        <v>3617</v>
      </c>
    </row>
    <row r="130" spans="1:41" ht="82.8" hidden="1">
      <c r="A130" s="40" t="s">
        <v>2677</v>
      </c>
      <c r="B130" s="40" t="s">
        <v>393</v>
      </c>
      <c r="C130" s="40" t="s">
        <v>623</v>
      </c>
      <c r="D130" s="40" t="s">
        <v>3605</v>
      </c>
      <c r="E130" s="40" t="s">
        <v>326</v>
      </c>
      <c r="F130" s="40" t="s">
        <v>2920</v>
      </c>
      <c r="G130" s="40" t="s">
        <v>393</v>
      </c>
      <c r="H130" s="40" t="s">
        <v>3618</v>
      </c>
      <c r="I130" s="40" t="s">
        <v>3607</v>
      </c>
      <c r="J130" s="40" t="s">
        <v>318</v>
      </c>
      <c r="K130" s="40" t="s">
        <v>318</v>
      </c>
      <c r="L130" s="40" t="s">
        <v>393</v>
      </c>
      <c r="M130" s="40" t="s">
        <v>393</v>
      </c>
      <c r="N130" s="40" t="s">
        <v>3608</v>
      </c>
      <c r="O130" s="40" t="s">
        <v>3609</v>
      </c>
      <c r="P130" s="40" t="s">
        <v>2685</v>
      </c>
      <c r="Q130" s="40" t="s">
        <v>2686</v>
      </c>
      <c r="R130" s="40" t="s">
        <v>393</v>
      </c>
      <c r="S130" s="40" t="s">
        <v>479</v>
      </c>
      <c r="T130" s="40" t="s">
        <v>393</v>
      </c>
      <c r="U130" s="40" t="s">
        <v>393</v>
      </c>
      <c r="V130" s="40" t="s">
        <v>2692</v>
      </c>
      <c r="W130" s="40" t="s">
        <v>339</v>
      </c>
      <c r="X130" s="40" t="s">
        <v>345</v>
      </c>
      <c r="Y130" s="40" t="s">
        <v>879</v>
      </c>
      <c r="Z130" s="40" t="s">
        <v>2958</v>
      </c>
      <c r="AA130" s="40" t="s">
        <v>2937</v>
      </c>
      <c r="AB130" s="40" t="s">
        <v>380</v>
      </c>
      <c r="AC130" s="40" t="s">
        <v>3610</v>
      </c>
      <c r="AD130" s="40" t="s">
        <v>553</v>
      </c>
      <c r="AE130" s="40" t="s">
        <v>2692</v>
      </c>
      <c r="AF130" s="40" t="s">
        <v>2692</v>
      </c>
      <c r="AG130" s="40" t="s">
        <v>2693</v>
      </c>
      <c r="AH130" s="40" t="s">
        <v>327</v>
      </c>
      <c r="AI130" s="40" t="s">
        <v>2893</v>
      </c>
      <c r="AJ130" s="40" t="s">
        <v>2893</v>
      </c>
      <c r="AK130" s="40" t="s">
        <v>3516</v>
      </c>
      <c r="AL130" s="40" t="s">
        <v>3070</v>
      </c>
      <c r="AM130" s="40" t="s">
        <v>3601</v>
      </c>
      <c r="AN130" s="40" t="s">
        <v>3613</v>
      </c>
      <c r="AO130" s="36" t="s">
        <v>3619</v>
      </c>
    </row>
    <row r="131" spans="1:41" ht="82.8" hidden="1">
      <c r="A131" s="40" t="s">
        <v>2677</v>
      </c>
      <c r="B131" s="40" t="s">
        <v>393</v>
      </c>
      <c r="C131" s="40" t="s">
        <v>623</v>
      </c>
      <c r="D131" s="40" t="s">
        <v>3605</v>
      </c>
      <c r="E131" s="40" t="s">
        <v>326</v>
      </c>
      <c r="F131" s="40" t="s">
        <v>3293</v>
      </c>
      <c r="G131" s="40" t="s">
        <v>393</v>
      </c>
      <c r="H131" s="40" t="s">
        <v>3620</v>
      </c>
      <c r="I131" s="40" t="s">
        <v>3607</v>
      </c>
      <c r="J131" s="40" t="s">
        <v>318</v>
      </c>
      <c r="K131" s="40" t="s">
        <v>318</v>
      </c>
      <c r="L131" s="40" t="s">
        <v>393</v>
      </c>
      <c r="M131" s="40" t="s">
        <v>393</v>
      </c>
      <c r="N131" s="40" t="s">
        <v>3608</v>
      </c>
      <c r="O131" s="40" t="s">
        <v>3609</v>
      </c>
      <c r="P131" s="40" t="s">
        <v>2685</v>
      </c>
      <c r="Q131" s="40" t="s">
        <v>2686</v>
      </c>
      <c r="R131" s="40" t="s">
        <v>393</v>
      </c>
      <c r="S131" s="40" t="s">
        <v>479</v>
      </c>
      <c r="T131" s="40" t="s">
        <v>393</v>
      </c>
      <c r="U131" s="40" t="s">
        <v>393</v>
      </c>
      <c r="V131" s="40" t="s">
        <v>2692</v>
      </c>
      <c r="W131" s="40" t="s">
        <v>339</v>
      </c>
      <c r="X131" s="40" t="s">
        <v>345</v>
      </c>
      <c r="Y131" s="40" t="s">
        <v>879</v>
      </c>
      <c r="Z131" s="40" t="s">
        <v>2958</v>
      </c>
      <c r="AA131" s="40" t="s">
        <v>2937</v>
      </c>
      <c r="AB131" s="40" t="s">
        <v>380</v>
      </c>
      <c r="AC131" s="40" t="s">
        <v>3610</v>
      </c>
      <c r="AD131" s="40" t="s">
        <v>553</v>
      </c>
      <c r="AE131" s="40" t="s">
        <v>2692</v>
      </c>
      <c r="AF131" s="40" t="s">
        <v>2692</v>
      </c>
      <c r="AG131" s="40" t="s">
        <v>2693</v>
      </c>
      <c r="AH131" s="40" t="s">
        <v>330</v>
      </c>
      <c r="AI131" s="40" t="s">
        <v>2893</v>
      </c>
      <c r="AJ131" s="40" t="s">
        <v>2893</v>
      </c>
      <c r="AK131" s="40" t="s">
        <v>3070</v>
      </c>
      <c r="AL131" s="40" t="s">
        <v>3231</v>
      </c>
      <c r="AM131" s="40" t="s">
        <v>3601</v>
      </c>
      <c r="AN131" s="40" t="s">
        <v>3613</v>
      </c>
      <c r="AO131" s="36" t="s">
        <v>3617</v>
      </c>
    </row>
    <row r="132" spans="1:41" ht="82.8" hidden="1">
      <c r="A132" s="40" t="s">
        <v>2677</v>
      </c>
      <c r="B132" s="40" t="s">
        <v>393</v>
      </c>
      <c r="C132" s="40" t="s">
        <v>623</v>
      </c>
      <c r="D132" s="40" t="s">
        <v>3605</v>
      </c>
      <c r="E132" s="40" t="s">
        <v>326</v>
      </c>
      <c r="F132" s="40" t="s">
        <v>3349</v>
      </c>
      <c r="G132" s="40" t="s">
        <v>393</v>
      </c>
      <c r="H132" s="40" t="s">
        <v>3621</v>
      </c>
      <c r="I132" s="40" t="s">
        <v>3607</v>
      </c>
      <c r="J132" s="40" t="s">
        <v>318</v>
      </c>
      <c r="K132" s="40" t="s">
        <v>318</v>
      </c>
      <c r="L132" s="40" t="s">
        <v>393</v>
      </c>
      <c r="M132" s="40" t="s">
        <v>393</v>
      </c>
      <c r="N132" s="40" t="s">
        <v>3608</v>
      </c>
      <c r="O132" s="40" t="s">
        <v>3609</v>
      </c>
      <c r="P132" s="40" t="s">
        <v>2685</v>
      </c>
      <c r="Q132" s="40" t="s">
        <v>2686</v>
      </c>
      <c r="R132" s="40" t="s">
        <v>393</v>
      </c>
      <c r="S132" s="40" t="s">
        <v>479</v>
      </c>
      <c r="T132" s="40" t="s">
        <v>393</v>
      </c>
      <c r="U132" s="40" t="s">
        <v>393</v>
      </c>
      <c r="V132" s="40" t="s">
        <v>2692</v>
      </c>
      <c r="W132" s="40" t="s">
        <v>339</v>
      </c>
      <c r="X132" s="40" t="s">
        <v>345</v>
      </c>
      <c r="Y132" s="40" t="s">
        <v>879</v>
      </c>
      <c r="Z132" s="40" t="s">
        <v>2958</v>
      </c>
      <c r="AA132" s="40" t="s">
        <v>2937</v>
      </c>
      <c r="AB132" s="40" t="s">
        <v>380</v>
      </c>
      <c r="AC132" s="40" t="s">
        <v>3610</v>
      </c>
      <c r="AD132" s="40" t="s">
        <v>553</v>
      </c>
      <c r="AE132" s="40" t="s">
        <v>2692</v>
      </c>
      <c r="AF132" s="40" t="s">
        <v>2692</v>
      </c>
      <c r="AG132" s="40" t="s">
        <v>2693</v>
      </c>
      <c r="AH132" s="40" t="s">
        <v>334</v>
      </c>
      <c r="AI132" s="40" t="s">
        <v>2893</v>
      </c>
      <c r="AJ132" s="40" t="s">
        <v>2893</v>
      </c>
      <c r="AK132" s="40" t="s">
        <v>3611</v>
      </c>
      <c r="AL132" s="40" t="s">
        <v>3612</v>
      </c>
      <c r="AM132" s="40" t="s">
        <v>3601</v>
      </c>
      <c r="AN132" s="40" t="s">
        <v>3613</v>
      </c>
      <c r="AO132" s="36" t="s">
        <v>3614</v>
      </c>
    </row>
    <row r="133" spans="1:41" ht="82.8" hidden="1">
      <c r="A133" s="40" t="s">
        <v>2677</v>
      </c>
      <c r="B133" s="40" t="s">
        <v>393</v>
      </c>
      <c r="C133" s="40" t="s">
        <v>623</v>
      </c>
      <c r="D133" s="40" t="s">
        <v>3605</v>
      </c>
      <c r="E133" s="40" t="s">
        <v>326</v>
      </c>
      <c r="F133" s="40" t="s">
        <v>2888</v>
      </c>
      <c r="G133" s="40" t="s">
        <v>393</v>
      </c>
      <c r="H133" s="40" t="s">
        <v>3622</v>
      </c>
      <c r="I133" s="40" t="s">
        <v>3607</v>
      </c>
      <c r="J133" s="40" t="s">
        <v>318</v>
      </c>
      <c r="K133" s="40" t="s">
        <v>318</v>
      </c>
      <c r="L133" s="40" t="s">
        <v>393</v>
      </c>
      <c r="M133" s="40" t="s">
        <v>393</v>
      </c>
      <c r="N133" s="40" t="s">
        <v>3608</v>
      </c>
      <c r="O133" s="40" t="s">
        <v>3609</v>
      </c>
      <c r="P133" s="40" t="s">
        <v>2685</v>
      </c>
      <c r="Q133" s="40" t="s">
        <v>2686</v>
      </c>
      <c r="R133" s="40" t="s">
        <v>393</v>
      </c>
      <c r="S133" s="40" t="s">
        <v>479</v>
      </c>
      <c r="T133" s="40" t="s">
        <v>393</v>
      </c>
      <c r="U133" s="40" t="s">
        <v>393</v>
      </c>
      <c r="V133" s="40" t="s">
        <v>2692</v>
      </c>
      <c r="W133" s="40" t="s">
        <v>339</v>
      </c>
      <c r="X133" s="40" t="s">
        <v>345</v>
      </c>
      <c r="Y133" s="40" t="s">
        <v>879</v>
      </c>
      <c r="Z133" s="40" t="s">
        <v>2958</v>
      </c>
      <c r="AA133" s="40" t="s">
        <v>2937</v>
      </c>
      <c r="AB133" s="40" t="s">
        <v>380</v>
      </c>
      <c r="AC133" s="40" t="s">
        <v>3610</v>
      </c>
      <c r="AD133" s="40" t="s">
        <v>553</v>
      </c>
      <c r="AE133" s="40" t="s">
        <v>2692</v>
      </c>
      <c r="AF133" s="40" t="s">
        <v>2692</v>
      </c>
      <c r="AG133" s="40" t="s">
        <v>2693</v>
      </c>
      <c r="AH133" s="40" t="s">
        <v>334</v>
      </c>
      <c r="AI133" s="40" t="s">
        <v>2893</v>
      </c>
      <c r="AJ133" s="40" t="s">
        <v>2893</v>
      </c>
      <c r="AK133" s="40" t="s">
        <v>3611</v>
      </c>
      <c r="AL133" s="40" t="s">
        <v>3612</v>
      </c>
      <c r="AM133" s="40" t="s">
        <v>3601</v>
      </c>
      <c r="AN133" s="40" t="s">
        <v>3613</v>
      </c>
      <c r="AO133" s="36" t="s">
        <v>3614</v>
      </c>
    </row>
    <row r="134" spans="1:41" ht="82.8" hidden="1">
      <c r="A134" s="40" t="s">
        <v>2677</v>
      </c>
      <c r="B134" s="40" t="s">
        <v>393</v>
      </c>
      <c r="C134" s="40" t="s">
        <v>623</v>
      </c>
      <c r="D134" s="40" t="s">
        <v>3605</v>
      </c>
      <c r="E134" s="40" t="s">
        <v>326</v>
      </c>
      <c r="F134" s="40" t="s">
        <v>3623</v>
      </c>
      <c r="G134" s="40" t="s">
        <v>393</v>
      </c>
      <c r="H134" s="40" t="s">
        <v>3624</v>
      </c>
      <c r="I134" s="40" t="s">
        <v>3607</v>
      </c>
      <c r="J134" s="40" t="s">
        <v>318</v>
      </c>
      <c r="K134" s="40" t="s">
        <v>318</v>
      </c>
      <c r="L134" s="40" t="s">
        <v>393</v>
      </c>
      <c r="M134" s="40" t="s">
        <v>393</v>
      </c>
      <c r="N134" s="40" t="s">
        <v>3608</v>
      </c>
      <c r="O134" s="40" t="s">
        <v>3609</v>
      </c>
      <c r="P134" s="40" t="s">
        <v>2685</v>
      </c>
      <c r="Q134" s="40" t="s">
        <v>2686</v>
      </c>
      <c r="R134" s="40" t="s">
        <v>393</v>
      </c>
      <c r="S134" s="40" t="s">
        <v>479</v>
      </c>
      <c r="T134" s="40" t="s">
        <v>393</v>
      </c>
      <c r="U134" s="40" t="s">
        <v>393</v>
      </c>
      <c r="V134" s="40" t="s">
        <v>2692</v>
      </c>
      <c r="W134" s="40" t="s">
        <v>339</v>
      </c>
      <c r="X134" s="40" t="s">
        <v>345</v>
      </c>
      <c r="Y134" s="40" t="s">
        <v>879</v>
      </c>
      <c r="Z134" s="40" t="s">
        <v>2958</v>
      </c>
      <c r="AA134" s="40" t="s">
        <v>2937</v>
      </c>
      <c r="AB134" s="40" t="s">
        <v>380</v>
      </c>
      <c r="AC134" s="40" t="s">
        <v>3610</v>
      </c>
      <c r="AD134" s="40" t="s">
        <v>553</v>
      </c>
      <c r="AE134" s="40" t="s">
        <v>2692</v>
      </c>
      <c r="AF134" s="40" t="s">
        <v>2692</v>
      </c>
      <c r="AG134" s="40" t="s">
        <v>2693</v>
      </c>
      <c r="AH134" s="40" t="s">
        <v>327</v>
      </c>
      <c r="AI134" s="40" t="s">
        <v>2893</v>
      </c>
      <c r="AJ134" s="40" t="s">
        <v>2893</v>
      </c>
      <c r="AK134" s="40" t="s">
        <v>3516</v>
      </c>
      <c r="AL134" s="40" t="s">
        <v>3070</v>
      </c>
      <c r="AM134" s="40" t="s">
        <v>3601</v>
      </c>
      <c r="AN134" s="40" t="s">
        <v>3613</v>
      </c>
      <c r="AO134" s="36" t="s">
        <v>3619</v>
      </c>
    </row>
    <row r="135" spans="1:41" ht="82.8" hidden="1">
      <c r="A135" s="40" t="s">
        <v>2677</v>
      </c>
      <c r="B135" s="40" t="s">
        <v>393</v>
      </c>
      <c r="C135" s="40" t="s">
        <v>623</v>
      </c>
      <c r="D135" s="40" t="s">
        <v>3605</v>
      </c>
      <c r="E135" s="40" t="s">
        <v>326</v>
      </c>
      <c r="F135" s="40" t="s">
        <v>3625</v>
      </c>
      <c r="G135" s="40" t="s">
        <v>393</v>
      </c>
      <c r="H135" s="40" t="s">
        <v>3626</v>
      </c>
      <c r="I135" s="40" t="s">
        <v>3607</v>
      </c>
      <c r="J135" s="40" t="s">
        <v>318</v>
      </c>
      <c r="K135" s="40" t="s">
        <v>318</v>
      </c>
      <c r="L135" s="40" t="s">
        <v>879</v>
      </c>
      <c r="M135" s="40" t="s">
        <v>393</v>
      </c>
      <c r="N135" s="40" t="s">
        <v>3608</v>
      </c>
      <c r="O135" s="40" t="s">
        <v>3609</v>
      </c>
      <c r="P135" s="40" t="s">
        <v>2685</v>
      </c>
      <c r="Q135" s="40" t="s">
        <v>2686</v>
      </c>
      <c r="R135" s="40" t="s">
        <v>393</v>
      </c>
      <c r="S135" s="40" t="s">
        <v>479</v>
      </c>
      <c r="T135" s="40" t="s">
        <v>393</v>
      </c>
      <c r="U135" s="40" t="s">
        <v>393</v>
      </c>
      <c r="V135" s="40" t="s">
        <v>2692</v>
      </c>
      <c r="W135" s="40" t="s">
        <v>393</v>
      </c>
      <c r="X135" s="40" t="s">
        <v>393</v>
      </c>
      <c r="Y135" s="40" t="s">
        <v>393</v>
      </c>
      <c r="Z135" s="40" t="s">
        <v>393</v>
      </c>
      <c r="AA135" s="40" t="s">
        <v>2937</v>
      </c>
      <c r="AB135" s="40" t="s">
        <v>2937</v>
      </c>
      <c r="AC135" s="40" t="s">
        <v>3610</v>
      </c>
      <c r="AD135" s="40" t="s">
        <v>553</v>
      </c>
      <c r="AE135" s="40" t="s">
        <v>2692</v>
      </c>
      <c r="AF135" s="40" t="s">
        <v>2692</v>
      </c>
      <c r="AG135" s="40" t="s">
        <v>2693</v>
      </c>
      <c r="AH135" s="40" t="s">
        <v>327</v>
      </c>
      <c r="AI135" s="40" t="s">
        <v>2893</v>
      </c>
      <c r="AJ135" s="40" t="s">
        <v>2893</v>
      </c>
      <c r="AK135" s="40" t="s">
        <v>3516</v>
      </c>
      <c r="AL135" s="40" t="s">
        <v>3070</v>
      </c>
      <c r="AM135" s="40" t="s">
        <v>3601</v>
      </c>
      <c r="AN135" s="40" t="s">
        <v>3613</v>
      </c>
      <c r="AO135" s="36" t="s">
        <v>3619</v>
      </c>
    </row>
    <row r="136" spans="1:41" ht="27.6" hidden="1">
      <c r="A136" s="40" t="s">
        <v>2677</v>
      </c>
      <c r="B136" s="40" t="s">
        <v>3433</v>
      </c>
      <c r="C136" s="40" t="s">
        <v>623</v>
      </c>
      <c r="D136" s="40" t="s">
        <v>3509</v>
      </c>
      <c r="E136" s="40" t="s">
        <v>326</v>
      </c>
      <c r="F136" s="40" t="s">
        <v>2680</v>
      </c>
      <c r="G136" s="40" t="s">
        <v>15</v>
      </c>
      <c r="H136" s="40" t="s">
        <v>3627</v>
      </c>
      <c r="I136" s="40" t="s">
        <v>3628</v>
      </c>
      <c r="J136" s="40" t="s">
        <v>318</v>
      </c>
      <c r="K136" s="40" t="s">
        <v>318</v>
      </c>
      <c r="L136" s="40" t="s">
        <v>393</v>
      </c>
      <c r="M136" s="40" t="s">
        <v>393</v>
      </c>
      <c r="N136" s="40" t="s">
        <v>2683</v>
      </c>
      <c r="O136" s="40" t="s">
        <v>3388</v>
      </c>
      <c r="P136" s="40" t="s">
        <v>2685</v>
      </c>
      <c r="Q136" s="40" t="s">
        <v>2706</v>
      </c>
      <c r="R136" s="40" t="s">
        <v>393</v>
      </c>
      <c r="S136" s="40" t="s">
        <v>393</v>
      </c>
      <c r="T136" s="40" t="s">
        <v>393</v>
      </c>
      <c r="U136" s="40" t="s">
        <v>393</v>
      </c>
      <c r="V136" s="40" t="s">
        <v>3629</v>
      </c>
      <c r="W136" s="40" t="s">
        <v>2937</v>
      </c>
      <c r="X136" s="40" t="s">
        <v>2937</v>
      </c>
      <c r="Y136" s="40" t="s">
        <v>393</v>
      </c>
      <c r="Z136" s="40" t="s">
        <v>393</v>
      </c>
      <c r="AA136" s="40" t="s">
        <v>393</v>
      </c>
      <c r="AB136" s="40" t="s">
        <v>393</v>
      </c>
      <c r="AC136" s="40" t="s">
        <v>393</v>
      </c>
      <c r="AD136" s="40" t="s">
        <v>393</v>
      </c>
      <c r="AE136" s="40" t="s">
        <v>2692</v>
      </c>
      <c r="AF136" s="40" t="s">
        <v>2692</v>
      </c>
      <c r="AG136" s="40" t="s">
        <v>2693</v>
      </c>
      <c r="AH136" s="40" t="s">
        <v>393</v>
      </c>
      <c r="AI136" s="40" t="s">
        <v>462</v>
      </c>
      <c r="AJ136" s="40" t="s">
        <v>374</v>
      </c>
      <c r="AK136" s="40" t="s">
        <v>3630</v>
      </c>
      <c r="AL136" s="40" t="s">
        <v>3631</v>
      </c>
      <c r="AM136" s="40" t="s">
        <v>3574</v>
      </c>
      <c r="AN136" s="40" t="s">
        <v>3393</v>
      </c>
      <c r="AO136" s="36" t="s">
        <v>3632</v>
      </c>
    </row>
    <row r="137" spans="1:41" ht="27.6" hidden="1">
      <c r="A137" s="40" t="s">
        <v>2677</v>
      </c>
      <c r="B137" s="40" t="s">
        <v>3433</v>
      </c>
      <c r="C137" s="40" t="s">
        <v>623</v>
      </c>
      <c r="D137" s="40" t="s">
        <v>3509</v>
      </c>
      <c r="E137" s="40" t="s">
        <v>326</v>
      </c>
      <c r="F137" s="40" t="s">
        <v>2680</v>
      </c>
      <c r="G137" s="40" t="s">
        <v>321</v>
      </c>
      <c r="H137" s="40" t="s">
        <v>3633</v>
      </c>
      <c r="I137" s="40" t="s">
        <v>3628</v>
      </c>
      <c r="J137" s="40" t="s">
        <v>318</v>
      </c>
      <c r="K137" s="40" t="s">
        <v>318</v>
      </c>
      <c r="L137" s="40" t="s">
        <v>393</v>
      </c>
      <c r="M137" s="40" t="s">
        <v>393</v>
      </c>
      <c r="N137" s="40" t="s">
        <v>2683</v>
      </c>
      <c r="O137" s="40" t="s">
        <v>3388</v>
      </c>
      <c r="P137" s="40" t="s">
        <v>2685</v>
      </c>
      <c r="Q137" s="40" t="s">
        <v>2706</v>
      </c>
      <c r="R137" s="40" t="s">
        <v>393</v>
      </c>
      <c r="S137" s="40" t="s">
        <v>393</v>
      </c>
      <c r="T137" s="40" t="s">
        <v>393</v>
      </c>
      <c r="U137" s="40" t="s">
        <v>393</v>
      </c>
      <c r="V137" s="40" t="s">
        <v>3629</v>
      </c>
      <c r="W137" s="40" t="s">
        <v>2937</v>
      </c>
      <c r="X137" s="40" t="s">
        <v>2937</v>
      </c>
      <c r="Y137" s="40" t="s">
        <v>393</v>
      </c>
      <c r="Z137" s="40" t="s">
        <v>393</v>
      </c>
      <c r="AA137" s="40" t="s">
        <v>393</v>
      </c>
      <c r="AB137" s="40" t="s">
        <v>393</v>
      </c>
      <c r="AC137" s="40" t="s">
        <v>393</v>
      </c>
      <c r="AD137" s="40" t="s">
        <v>393</v>
      </c>
      <c r="AE137" s="40" t="s">
        <v>2692</v>
      </c>
      <c r="AF137" s="40" t="s">
        <v>2692</v>
      </c>
      <c r="AG137" s="40" t="s">
        <v>2693</v>
      </c>
      <c r="AH137" s="40" t="s">
        <v>393</v>
      </c>
      <c r="AI137" s="40" t="s">
        <v>462</v>
      </c>
      <c r="AJ137" s="40" t="s">
        <v>374</v>
      </c>
      <c r="AK137" s="40" t="s">
        <v>3630</v>
      </c>
      <c r="AL137" s="40" t="s">
        <v>3631</v>
      </c>
      <c r="AM137" s="40" t="s">
        <v>3574</v>
      </c>
      <c r="AN137" s="40" t="s">
        <v>3393</v>
      </c>
      <c r="AO137" s="36" t="s">
        <v>3632</v>
      </c>
    </row>
    <row r="138" spans="1:41" hidden="1">
      <c r="A138" s="40" t="s">
        <v>2677</v>
      </c>
      <c r="B138" s="40" t="s">
        <v>3446</v>
      </c>
      <c r="C138" s="40" t="s">
        <v>623</v>
      </c>
      <c r="D138" s="40" t="s">
        <v>3509</v>
      </c>
      <c r="E138" s="40" t="s">
        <v>326</v>
      </c>
      <c r="F138" s="40" t="s">
        <v>2782</v>
      </c>
      <c r="G138" s="40" t="s">
        <v>393</v>
      </c>
      <c r="H138" s="40" t="s">
        <v>3634</v>
      </c>
      <c r="I138" s="40" t="s">
        <v>3635</v>
      </c>
      <c r="J138" s="40" t="s">
        <v>318</v>
      </c>
      <c r="K138" s="40" t="s">
        <v>318</v>
      </c>
      <c r="L138" s="40" t="s">
        <v>393</v>
      </c>
      <c r="M138" s="40" t="s">
        <v>393</v>
      </c>
      <c r="N138" s="40" t="s">
        <v>2683</v>
      </c>
      <c r="O138" s="40" t="s">
        <v>3388</v>
      </c>
      <c r="P138" s="40" t="s">
        <v>2685</v>
      </c>
      <c r="Q138" s="40" t="s">
        <v>2706</v>
      </c>
      <c r="R138" s="40" t="s">
        <v>393</v>
      </c>
      <c r="S138" s="40" t="s">
        <v>393</v>
      </c>
      <c r="T138" s="40" t="s">
        <v>393</v>
      </c>
      <c r="U138" s="40" t="s">
        <v>393</v>
      </c>
      <c r="V138" s="40" t="s">
        <v>532</v>
      </c>
      <c r="W138" s="40" t="s">
        <v>393</v>
      </c>
      <c r="X138" s="40" t="s">
        <v>393</v>
      </c>
      <c r="Y138" s="40" t="s">
        <v>479</v>
      </c>
      <c r="Z138" s="40" t="s">
        <v>532</v>
      </c>
      <c r="AA138" s="40" t="s">
        <v>2937</v>
      </c>
      <c r="AB138" s="40" t="s">
        <v>2937</v>
      </c>
      <c r="AC138" s="40" t="s">
        <v>3610</v>
      </c>
      <c r="AD138" s="40" t="s">
        <v>553</v>
      </c>
      <c r="AE138" s="40" t="s">
        <v>2692</v>
      </c>
      <c r="AF138" s="40" t="s">
        <v>2692</v>
      </c>
      <c r="AG138" s="40" t="s">
        <v>2693</v>
      </c>
      <c r="AH138" s="40" t="s">
        <v>393</v>
      </c>
      <c r="AI138" s="40" t="s">
        <v>330</v>
      </c>
      <c r="AJ138" s="40" t="s">
        <v>322</v>
      </c>
      <c r="AK138" s="40" t="s">
        <v>3516</v>
      </c>
      <c r="AL138" s="40" t="s">
        <v>3360</v>
      </c>
      <c r="AM138" s="40" t="s">
        <v>3601</v>
      </c>
      <c r="AN138" s="40" t="s">
        <v>3636</v>
      </c>
      <c r="AO138" s="36" t="s">
        <v>3637</v>
      </c>
    </row>
    <row r="139" spans="1:41" ht="138" hidden="1">
      <c r="A139" s="40" t="s">
        <v>2677</v>
      </c>
      <c r="B139" s="40" t="s">
        <v>3433</v>
      </c>
      <c r="C139" s="40" t="s">
        <v>623</v>
      </c>
      <c r="D139" s="40" t="s">
        <v>3638</v>
      </c>
      <c r="E139" s="40" t="s">
        <v>1581</v>
      </c>
      <c r="F139" s="40" t="s">
        <v>2680</v>
      </c>
      <c r="G139" s="40" t="s">
        <v>393</v>
      </c>
      <c r="H139" s="40" t="s">
        <v>3639</v>
      </c>
      <c r="I139" s="40" t="s">
        <v>3640</v>
      </c>
      <c r="J139" s="40" t="s">
        <v>318</v>
      </c>
      <c r="K139" s="40" t="s">
        <v>318</v>
      </c>
      <c r="L139" s="40" t="s">
        <v>393</v>
      </c>
      <c r="M139" s="40" t="s">
        <v>393</v>
      </c>
      <c r="N139" s="40" t="s">
        <v>2683</v>
      </c>
      <c r="O139" s="40" t="s">
        <v>3641</v>
      </c>
      <c r="P139" s="40" t="s">
        <v>2685</v>
      </c>
      <c r="Q139" s="40" t="s">
        <v>2686</v>
      </c>
      <c r="R139" s="40" t="s">
        <v>393</v>
      </c>
      <c r="S139" s="40" t="s">
        <v>393</v>
      </c>
      <c r="T139" s="40" t="s">
        <v>393</v>
      </c>
      <c r="U139" s="40" t="s">
        <v>393</v>
      </c>
      <c r="V139" s="40" t="s">
        <v>393</v>
      </c>
      <c r="W139" s="40" t="s">
        <v>393</v>
      </c>
      <c r="X139" s="40" t="s">
        <v>393</v>
      </c>
      <c r="Y139" s="40" t="s">
        <v>2709</v>
      </c>
      <c r="Z139" s="40" t="s">
        <v>505</v>
      </c>
      <c r="AA139" s="40" t="s">
        <v>393</v>
      </c>
      <c r="AB139" s="40" t="s">
        <v>393</v>
      </c>
      <c r="AC139" s="40" t="s">
        <v>2709</v>
      </c>
      <c r="AD139" s="40" t="s">
        <v>580</v>
      </c>
      <c r="AE139" s="40" t="s">
        <v>393</v>
      </c>
      <c r="AF139" s="40" t="s">
        <v>3642</v>
      </c>
      <c r="AG139" s="40" t="s">
        <v>2693</v>
      </c>
      <c r="AH139" s="40" t="s">
        <v>3643</v>
      </c>
      <c r="AI139" s="40" t="s">
        <v>322</v>
      </c>
      <c r="AJ139" s="40" t="s">
        <v>327</v>
      </c>
      <c r="AK139" s="40" t="s">
        <v>3644</v>
      </c>
      <c r="AL139" s="40" t="s">
        <v>3645</v>
      </c>
      <c r="AM139" s="40" t="s">
        <v>393</v>
      </c>
      <c r="AN139" s="40" t="s">
        <v>393</v>
      </c>
      <c r="AO139" s="36" t="s">
        <v>3646</v>
      </c>
    </row>
    <row r="140" spans="1:41" ht="96.6" hidden="1">
      <c r="A140" s="40" t="s">
        <v>2677</v>
      </c>
      <c r="B140" s="40" t="s">
        <v>3446</v>
      </c>
      <c r="C140" s="40" t="s">
        <v>623</v>
      </c>
      <c r="D140" s="40" t="s">
        <v>3647</v>
      </c>
      <c r="E140" s="40" t="s">
        <v>1629</v>
      </c>
      <c r="F140" s="40" t="s">
        <v>2680</v>
      </c>
      <c r="G140" s="40" t="s">
        <v>15</v>
      </c>
      <c r="H140" s="40" t="s">
        <v>3648</v>
      </c>
      <c r="I140" s="40" t="s">
        <v>3649</v>
      </c>
      <c r="J140" s="40" t="s">
        <v>318</v>
      </c>
      <c r="K140" s="40" t="s">
        <v>318</v>
      </c>
      <c r="L140" s="40" t="s">
        <v>879</v>
      </c>
      <c r="M140" s="40" t="s">
        <v>393</v>
      </c>
      <c r="N140" s="40" t="s">
        <v>2683</v>
      </c>
      <c r="O140" s="40" t="s">
        <v>3650</v>
      </c>
      <c r="P140" s="40" t="s">
        <v>3651</v>
      </c>
      <c r="Q140" s="40" t="s">
        <v>2706</v>
      </c>
      <c r="R140" s="40" t="s">
        <v>393</v>
      </c>
      <c r="S140" s="40" t="s">
        <v>3652</v>
      </c>
      <c r="T140" s="40" t="s">
        <v>393</v>
      </c>
      <c r="U140" s="40" t="s">
        <v>393</v>
      </c>
      <c r="V140" s="40" t="s">
        <v>393</v>
      </c>
      <c r="W140" s="40" t="s">
        <v>879</v>
      </c>
      <c r="X140" s="40" t="s">
        <v>3653</v>
      </c>
      <c r="Y140" s="40" t="s">
        <v>2958</v>
      </c>
      <c r="Z140" s="40" t="s">
        <v>532</v>
      </c>
      <c r="AA140" s="40" t="s">
        <v>393</v>
      </c>
      <c r="AB140" s="40" t="s">
        <v>371</v>
      </c>
      <c r="AC140" s="40" t="s">
        <v>2709</v>
      </c>
      <c r="AD140" s="40" t="s">
        <v>580</v>
      </c>
      <c r="AE140" s="40" t="s">
        <v>3654</v>
      </c>
      <c r="AF140" s="40" t="s">
        <v>3655</v>
      </c>
      <c r="AG140" s="40" t="s">
        <v>3287</v>
      </c>
      <c r="AH140" s="40" t="s">
        <v>3379</v>
      </c>
      <c r="AI140" s="40" t="s">
        <v>2758</v>
      </c>
      <c r="AJ140" s="40" t="s">
        <v>2880</v>
      </c>
      <c r="AK140" s="40" t="s">
        <v>3656</v>
      </c>
      <c r="AL140" s="40" t="s">
        <v>393</v>
      </c>
      <c r="AM140" s="40" t="s">
        <v>3501</v>
      </c>
      <c r="AN140" s="40" t="s">
        <v>3214</v>
      </c>
      <c r="AO140" s="36" t="s">
        <v>3657</v>
      </c>
    </row>
    <row r="141" spans="1:41" ht="82.8" hidden="1">
      <c r="A141" s="40" t="s">
        <v>2677</v>
      </c>
      <c r="B141" s="40" t="s">
        <v>3446</v>
      </c>
      <c r="C141" s="40" t="s">
        <v>623</v>
      </c>
      <c r="D141" s="40" t="s">
        <v>3647</v>
      </c>
      <c r="E141" s="40" t="s">
        <v>1629</v>
      </c>
      <c r="F141" s="40" t="s">
        <v>2680</v>
      </c>
      <c r="G141" s="40" t="s">
        <v>321</v>
      </c>
      <c r="H141" s="40" t="s">
        <v>3658</v>
      </c>
      <c r="I141" s="40" t="s">
        <v>3649</v>
      </c>
      <c r="J141" s="40" t="s">
        <v>318</v>
      </c>
      <c r="K141" s="40" t="s">
        <v>318</v>
      </c>
      <c r="L141" s="40" t="s">
        <v>879</v>
      </c>
      <c r="M141" s="40" t="s">
        <v>393</v>
      </c>
      <c r="N141" s="40" t="s">
        <v>2683</v>
      </c>
      <c r="O141" s="40" t="s">
        <v>3650</v>
      </c>
      <c r="P141" s="40" t="s">
        <v>3651</v>
      </c>
      <c r="Q141" s="40" t="s">
        <v>2706</v>
      </c>
      <c r="R141" s="40" t="s">
        <v>393</v>
      </c>
      <c r="S141" s="40" t="s">
        <v>3652</v>
      </c>
      <c r="T141" s="40" t="s">
        <v>393</v>
      </c>
      <c r="U141" s="40" t="s">
        <v>393</v>
      </c>
      <c r="V141" s="40" t="s">
        <v>393</v>
      </c>
      <c r="W141" s="40" t="s">
        <v>879</v>
      </c>
      <c r="X141" s="40" t="s">
        <v>3653</v>
      </c>
      <c r="Y141" s="40" t="s">
        <v>2958</v>
      </c>
      <c r="Z141" s="40" t="s">
        <v>532</v>
      </c>
      <c r="AA141" s="40" t="s">
        <v>393</v>
      </c>
      <c r="AB141" s="40" t="s">
        <v>371</v>
      </c>
      <c r="AC141" s="40" t="s">
        <v>2709</v>
      </c>
      <c r="AD141" s="40" t="s">
        <v>580</v>
      </c>
      <c r="AE141" s="40" t="s">
        <v>3654</v>
      </c>
      <c r="AF141" s="40" t="s">
        <v>3655</v>
      </c>
      <c r="AG141" s="40" t="s">
        <v>2693</v>
      </c>
      <c r="AH141" s="40" t="s">
        <v>3379</v>
      </c>
      <c r="AI141" s="40" t="s">
        <v>2758</v>
      </c>
      <c r="AJ141" s="40" t="s">
        <v>2880</v>
      </c>
      <c r="AK141" s="40" t="s">
        <v>3656</v>
      </c>
      <c r="AL141" s="40" t="s">
        <v>393</v>
      </c>
      <c r="AM141" s="40" t="s">
        <v>3501</v>
      </c>
      <c r="AN141" s="40" t="s">
        <v>3214</v>
      </c>
      <c r="AO141" s="36" t="s">
        <v>3659</v>
      </c>
    </row>
    <row r="142" spans="1:41" ht="82.8" hidden="1">
      <c r="A142" s="40" t="s">
        <v>2677</v>
      </c>
      <c r="B142" s="40" t="s">
        <v>3446</v>
      </c>
      <c r="C142" s="40" t="s">
        <v>623</v>
      </c>
      <c r="D142" s="40" t="s">
        <v>3647</v>
      </c>
      <c r="E142" s="40" t="s">
        <v>1629</v>
      </c>
      <c r="F142" s="40" t="s">
        <v>2680</v>
      </c>
      <c r="G142" s="40" t="s">
        <v>311</v>
      </c>
      <c r="H142" s="40" t="s">
        <v>3660</v>
      </c>
      <c r="I142" s="40" t="s">
        <v>3649</v>
      </c>
      <c r="J142" s="40" t="s">
        <v>318</v>
      </c>
      <c r="K142" s="40" t="s">
        <v>318</v>
      </c>
      <c r="L142" s="40" t="s">
        <v>879</v>
      </c>
      <c r="M142" s="40" t="s">
        <v>393</v>
      </c>
      <c r="N142" s="40" t="s">
        <v>2683</v>
      </c>
      <c r="O142" s="40" t="s">
        <v>3650</v>
      </c>
      <c r="P142" s="40" t="s">
        <v>3651</v>
      </c>
      <c r="Q142" s="40" t="s">
        <v>2706</v>
      </c>
      <c r="R142" s="40" t="s">
        <v>393</v>
      </c>
      <c r="S142" s="40" t="s">
        <v>3652</v>
      </c>
      <c r="T142" s="40" t="s">
        <v>393</v>
      </c>
      <c r="U142" s="40" t="s">
        <v>393</v>
      </c>
      <c r="V142" s="40" t="s">
        <v>393</v>
      </c>
      <c r="W142" s="40" t="s">
        <v>879</v>
      </c>
      <c r="X142" s="40" t="s">
        <v>3653</v>
      </c>
      <c r="Y142" s="40" t="s">
        <v>2958</v>
      </c>
      <c r="Z142" s="40" t="s">
        <v>532</v>
      </c>
      <c r="AA142" s="40" t="s">
        <v>393</v>
      </c>
      <c r="AB142" s="40" t="s">
        <v>371</v>
      </c>
      <c r="AC142" s="40" t="s">
        <v>2709</v>
      </c>
      <c r="AD142" s="40" t="s">
        <v>580</v>
      </c>
      <c r="AE142" s="40" t="s">
        <v>3654</v>
      </c>
      <c r="AF142" s="40" t="s">
        <v>3655</v>
      </c>
      <c r="AG142" s="40" t="s">
        <v>2693</v>
      </c>
      <c r="AH142" s="40" t="s">
        <v>3379</v>
      </c>
      <c r="AI142" s="40" t="s">
        <v>2758</v>
      </c>
      <c r="AJ142" s="40" t="s">
        <v>2880</v>
      </c>
      <c r="AK142" s="40" t="s">
        <v>3656</v>
      </c>
      <c r="AL142" s="40" t="s">
        <v>393</v>
      </c>
      <c r="AM142" s="40" t="s">
        <v>3501</v>
      </c>
      <c r="AN142" s="40" t="s">
        <v>3214</v>
      </c>
      <c r="AO142" s="36" t="s">
        <v>3659</v>
      </c>
    </row>
    <row r="143" spans="1:41" ht="69" hidden="1">
      <c r="A143" s="40" t="s">
        <v>2677</v>
      </c>
      <c r="B143" s="40" t="s">
        <v>3446</v>
      </c>
      <c r="C143" s="40" t="s">
        <v>623</v>
      </c>
      <c r="D143" s="40" t="s">
        <v>3330</v>
      </c>
      <c r="E143" s="40" t="s">
        <v>1629</v>
      </c>
      <c r="F143" s="40" t="s">
        <v>2680</v>
      </c>
      <c r="G143" s="40" t="s">
        <v>15</v>
      </c>
      <c r="H143" s="40" t="s">
        <v>3661</v>
      </c>
      <c r="I143" s="55" t="s">
        <v>3662</v>
      </c>
      <c r="J143" s="40" t="s">
        <v>318</v>
      </c>
      <c r="K143" s="40" t="s">
        <v>318</v>
      </c>
      <c r="L143" s="40" t="s">
        <v>879</v>
      </c>
      <c r="M143" s="40" t="s">
        <v>393</v>
      </c>
      <c r="N143" s="40" t="s">
        <v>2683</v>
      </c>
      <c r="O143" s="40" t="s">
        <v>3662</v>
      </c>
      <c r="P143" s="40" t="s">
        <v>2785</v>
      </c>
      <c r="Q143" s="40" t="s">
        <v>2706</v>
      </c>
      <c r="R143" s="40" t="s">
        <v>393</v>
      </c>
      <c r="S143" s="40" t="s">
        <v>3663</v>
      </c>
      <c r="T143" s="40" t="s">
        <v>393</v>
      </c>
      <c r="U143" s="40" t="s">
        <v>393</v>
      </c>
      <c r="V143" s="40" t="s">
        <v>393</v>
      </c>
      <c r="W143" s="40" t="s">
        <v>393</v>
      </c>
      <c r="X143" s="40" t="s">
        <v>3403</v>
      </c>
      <c r="Y143" s="40" t="s">
        <v>2958</v>
      </c>
      <c r="Z143" s="40" t="s">
        <v>532</v>
      </c>
      <c r="AA143" s="40" t="s">
        <v>393</v>
      </c>
      <c r="AB143" s="40" t="s">
        <v>371</v>
      </c>
      <c r="AC143" s="40" t="s">
        <v>2709</v>
      </c>
      <c r="AD143" s="40" t="s">
        <v>580</v>
      </c>
      <c r="AE143" s="40" t="s">
        <v>393</v>
      </c>
      <c r="AF143" s="40" t="s">
        <v>393</v>
      </c>
      <c r="AG143" s="40" t="s">
        <v>2693</v>
      </c>
      <c r="AH143" s="40" t="s">
        <v>2758</v>
      </c>
      <c r="AI143" s="40" t="s">
        <v>2735</v>
      </c>
      <c r="AJ143" s="40" t="s">
        <v>3120</v>
      </c>
      <c r="AK143" s="40" t="s">
        <v>3664</v>
      </c>
      <c r="AL143" s="40" t="s">
        <v>3664</v>
      </c>
      <c r="AM143" s="40" t="s">
        <v>3501</v>
      </c>
      <c r="AN143" s="40" t="s">
        <v>3214</v>
      </c>
      <c r="AO143" s="119" t="s">
        <v>3665</v>
      </c>
    </row>
    <row r="144" spans="1:41" ht="69" hidden="1">
      <c r="A144" s="40" t="s">
        <v>2677</v>
      </c>
      <c r="B144" s="40" t="s">
        <v>3446</v>
      </c>
      <c r="C144" s="40" t="s">
        <v>623</v>
      </c>
      <c r="D144" s="40" t="s">
        <v>3330</v>
      </c>
      <c r="E144" s="40" t="s">
        <v>1629</v>
      </c>
      <c r="F144" s="40" t="s">
        <v>2680</v>
      </c>
      <c r="G144" s="40" t="s">
        <v>321</v>
      </c>
      <c r="H144" s="40" t="s">
        <v>3666</v>
      </c>
      <c r="I144" s="55" t="s">
        <v>3662</v>
      </c>
      <c r="J144" s="40" t="s">
        <v>318</v>
      </c>
      <c r="K144" s="40" t="s">
        <v>318</v>
      </c>
      <c r="L144" s="40" t="s">
        <v>879</v>
      </c>
      <c r="M144" s="40" t="s">
        <v>393</v>
      </c>
      <c r="N144" s="40" t="s">
        <v>2683</v>
      </c>
      <c r="O144" s="40" t="s">
        <v>3662</v>
      </c>
      <c r="P144" s="40" t="s">
        <v>2785</v>
      </c>
      <c r="Q144" s="40" t="s">
        <v>2706</v>
      </c>
      <c r="R144" s="40" t="s">
        <v>393</v>
      </c>
      <c r="S144" s="40" t="s">
        <v>3663</v>
      </c>
      <c r="T144" s="40" t="s">
        <v>393</v>
      </c>
      <c r="U144" s="40" t="s">
        <v>393</v>
      </c>
      <c r="V144" s="40" t="s">
        <v>393</v>
      </c>
      <c r="W144" s="40" t="s">
        <v>393</v>
      </c>
      <c r="X144" s="40" t="s">
        <v>3403</v>
      </c>
      <c r="Y144" s="40" t="s">
        <v>2958</v>
      </c>
      <c r="Z144" s="40" t="s">
        <v>532</v>
      </c>
      <c r="AA144" s="40" t="s">
        <v>393</v>
      </c>
      <c r="AB144" s="40" t="s">
        <v>371</v>
      </c>
      <c r="AC144" s="40" t="s">
        <v>2709</v>
      </c>
      <c r="AD144" s="40" t="s">
        <v>580</v>
      </c>
      <c r="AE144" s="40" t="s">
        <v>393</v>
      </c>
      <c r="AF144" s="40" t="s">
        <v>393</v>
      </c>
      <c r="AG144" s="40" t="s">
        <v>2693</v>
      </c>
      <c r="AH144" s="40" t="s">
        <v>2758</v>
      </c>
      <c r="AI144" s="40" t="s">
        <v>2735</v>
      </c>
      <c r="AJ144" s="40" t="s">
        <v>3120</v>
      </c>
      <c r="AK144" s="40" t="s">
        <v>3664</v>
      </c>
      <c r="AL144" s="40" t="s">
        <v>3664</v>
      </c>
      <c r="AM144" s="40" t="s">
        <v>3501</v>
      </c>
      <c r="AN144" s="40" t="s">
        <v>3214</v>
      </c>
      <c r="AO144" s="36" t="s">
        <v>3665</v>
      </c>
    </row>
    <row r="145" spans="1:41" hidden="1">
      <c r="A145" s="40" t="s">
        <v>2677</v>
      </c>
      <c r="B145" s="40" t="s">
        <v>3446</v>
      </c>
      <c r="C145" s="40" t="s">
        <v>623</v>
      </c>
      <c r="D145" s="40" t="s">
        <v>3503</v>
      </c>
      <c r="E145" s="40" t="s">
        <v>1629</v>
      </c>
      <c r="F145" s="40" t="s">
        <v>2680</v>
      </c>
      <c r="G145" s="40" t="s">
        <v>393</v>
      </c>
      <c r="H145" s="40" t="s">
        <v>3667</v>
      </c>
      <c r="I145" s="40" t="s">
        <v>3668</v>
      </c>
      <c r="J145" s="40" t="s">
        <v>318</v>
      </c>
      <c r="K145" s="40" t="s">
        <v>318</v>
      </c>
      <c r="L145" s="40" t="s">
        <v>879</v>
      </c>
      <c r="M145" s="40" t="s">
        <v>393</v>
      </c>
      <c r="N145" s="40" t="s">
        <v>2683</v>
      </c>
      <c r="O145" s="40" t="s">
        <v>2704</v>
      </c>
      <c r="P145" s="40" t="s">
        <v>2685</v>
      </c>
      <c r="Q145" s="40" t="s">
        <v>2706</v>
      </c>
      <c r="R145" s="40" t="s">
        <v>393</v>
      </c>
      <c r="S145" s="40" t="s">
        <v>3669</v>
      </c>
      <c r="T145" s="40" t="s">
        <v>393</v>
      </c>
      <c r="U145" s="40" t="s">
        <v>393</v>
      </c>
      <c r="V145" s="40" t="s">
        <v>393</v>
      </c>
      <c r="W145" s="40" t="s">
        <v>336</v>
      </c>
      <c r="X145" s="40" t="s">
        <v>3403</v>
      </c>
      <c r="Y145" s="40" t="s">
        <v>393</v>
      </c>
      <c r="Z145" s="40" t="s">
        <v>2958</v>
      </c>
      <c r="AA145" s="40" t="s">
        <v>2689</v>
      </c>
      <c r="AB145" s="40" t="s">
        <v>371</v>
      </c>
      <c r="AC145" s="40" t="s">
        <v>2709</v>
      </c>
      <c r="AD145" s="40" t="s">
        <v>580</v>
      </c>
      <c r="AE145" s="40" t="s">
        <v>2692</v>
      </c>
      <c r="AF145" s="40" t="s">
        <v>2692</v>
      </c>
      <c r="AG145" s="40" t="s">
        <v>2693</v>
      </c>
      <c r="AH145" s="40" t="s">
        <v>393</v>
      </c>
      <c r="AI145" s="40" t="s">
        <v>3313</v>
      </c>
      <c r="AJ145" s="40" t="s">
        <v>345</v>
      </c>
      <c r="AK145" s="40" t="s">
        <v>3670</v>
      </c>
      <c r="AL145" s="40" t="s">
        <v>393</v>
      </c>
      <c r="AM145" s="40" t="s">
        <v>3501</v>
      </c>
      <c r="AN145" s="40" t="s">
        <v>3507</v>
      </c>
      <c r="AO145" s="36" t="s">
        <v>3671</v>
      </c>
    </row>
    <row r="146" spans="1:41" ht="27.6" hidden="1">
      <c r="A146" s="40" t="s">
        <v>2677</v>
      </c>
      <c r="B146" s="40" t="s">
        <v>3446</v>
      </c>
      <c r="C146" s="40" t="s">
        <v>623</v>
      </c>
      <c r="D146" s="40" t="s">
        <v>3503</v>
      </c>
      <c r="E146" s="40" t="s">
        <v>1629</v>
      </c>
      <c r="F146" s="40" t="s">
        <v>2782</v>
      </c>
      <c r="G146" s="40" t="s">
        <v>393</v>
      </c>
      <c r="H146" s="40" t="s">
        <v>3672</v>
      </c>
      <c r="I146" s="40" t="s">
        <v>3673</v>
      </c>
      <c r="J146" s="40" t="s">
        <v>318</v>
      </c>
      <c r="K146" s="40" t="s">
        <v>318</v>
      </c>
      <c r="L146" s="40" t="s">
        <v>879</v>
      </c>
      <c r="M146" s="40" t="s">
        <v>393</v>
      </c>
      <c r="N146" s="40" t="s">
        <v>2683</v>
      </c>
      <c r="O146" s="40" t="s">
        <v>2704</v>
      </c>
      <c r="P146" s="40" t="s">
        <v>2685</v>
      </c>
      <c r="Q146" s="40" t="s">
        <v>2706</v>
      </c>
      <c r="R146" s="40" t="s">
        <v>393</v>
      </c>
      <c r="S146" s="40" t="s">
        <v>3674</v>
      </c>
      <c r="T146" s="40" t="s">
        <v>393</v>
      </c>
      <c r="U146" s="40" t="s">
        <v>393</v>
      </c>
      <c r="V146" s="40" t="s">
        <v>393</v>
      </c>
      <c r="W146" s="40" t="s">
        <v>339</v>
      </c>
      <c r="X146" s="40" t="s">
        <v>3653</v>
      </c>
      <c r="Y146" s="40" t="s">
        <v>393</v>
      </c>
      <c r="Z146" s="40" t="s">
        <v>2958</v>
      </c>
      <c r="AA146" s="40" t="s">
        <v>2689</v>
      </c>
      <c r="AB146" s="40" t="s">
        <v>371</v>
      </c>
      <c r="AC146" s="40" t="s">
        <v>2709</v>
      </c>
      <c r="AD146" s="40" t="s">
        <v>580</v>
      </c>
      <c r="AE146" s="40" t="s">
        <v>2692</v>
      </c>
      <c r="AF146" s="40" t="s">
        <v>2692</v>
      </c>
      <c r="AG146" s="40" t="s">
        <v>2693</v>
      </c>
      <c r="AH146" s="40" t="s">
        <v>393</v>
      </c>
      <c r="AI146" s="40" t="s">
        <v>2924</v>
      </c>
      <c r="AJ146" s="40" t="s">
        <v>2895</v>
      </c>
      <c r="AK146" s="40" t="s">
        <v>3675</v>
      </c>
      <c r="AL146" s="40" t="s">
        <v>393</v>
      </c>
      <c r="AM146" s="40" t="s">
        <v>3501</v>
      </c>
      <c r="AN146" s="40" t="s">
        <v>2954</v>
      </c>
      <c r="AO146" s="36" t="s">
        <v>3676</v>
      </c>
    </row>
    <row r="147" spans="1:41">
      <c r="A147" s="40" t="s">
        <v>2677</v>
      </c>
      <c r="B147" s="40" t="s">
        <v>3677</v>
      </c>
      <c r="C147" s="40" t="s">
        <v>623</v>
      </c>
      <c r="D147" s="40" t="s">
        <v>3678</v>
      </c>
      <c r="E147" s="40" t="s">
        <v>1850</v>
      </c>
      <c r="F147" s="40" t="s">
        <v>2680</v>
      </c>
      <c r="G147" s="40" t="s">
        <v>393</v>
      </c>
      <c r="H147" s="40" t="s">
        <v>3679</v>
      </c>
      <c r="I147" s="40" t="s">
        <v>3680</v>
      </c>
      <c r="J147" s="40" t="s">
        <v>318</v>
      </c>
      <c r="K147" s="40" t="s">
        <v>318</v>
      </c>
      <c r="L147" s="40" t="s">
        <v>879</v>
      </c>
      <c r="M147" s="40" t="s">
        <v>393</v>
      </c>
      <c r="N147" s="40" t="s">
        <v>3681</v>
      </c>
      <c r="O147" s="40" t="s">
        <v>3682</v>
      </c>
      <c r="P147" s="40" t="s">
        <v>3683</v>
      </c>
      <c r="Q147" s="40" t="s">
        <v>2439</v>
      </c>
      <c r="R147" s="40" t="s">
        <v>2924</v>
      </c>
      <c r="S147" s="40" t="s">
        <v>3684</v>
      </c>
      <c r="T147" s="40" t="s">
        <v>393</v>
      </c>
      <c r="U147" s="40" t="s">
        <v>393</v>
      </c>
      <c r="V147" s="40" t="s">
        <v>393</v>
      </c>
      <c r="W147" s="40" t="s">
        <v>393</v>
      </c>
      <c r="X147" s="40" t="s">
        <v>393</v>
      </c>
      <c r="Y147" s="40" t="s">
        <v>3685</v>
      </c>
      <c r="Z147" s="40" t="s">
        <v>505</v>
      </c>
      <c r="AA147" s="40" t="s">
        <v>393</v>
      </c>
      <c r="AB147" s="40" t="s">
        <v>393</v>
      </c>
      <c r="AC147" s="40" t="s">
        <v>3685</v>
      </c>
      <c r="AD147" s="40" t="s">
        <v>490</v>
      </c>
      <c r="AE147" s="40" t="s">
        <v>3686</v>
      </c>
      <c r="AF147" s="40" t="s">
        <v>3687</v>
      </c>
      <c r="AG147" s="40" t="s">
        <v>393</v>
      </c>
      <c r="AH147" s="40" t="s">
        <v>2805</v>
      </c>
      <c r="AI147" s="40" t="s">
        <v>2925</v>
      </c>
      <c r="AJ147" s="40" t="s">
        <v>354</v>
      </c>
      <c r="AK147" s="40" t="s">
        <v>458</v>
      </c>
      <c r="AL147" s="40" t="s">
        <v>458</v>
      </c>
      <c r="AM147" s="40" t="s">
        <v>393</v>
      </c>
      <c r="AN147" s="40" t="s">
        <v>393</v>
      </c>
      <c r="AO147" s="36" t="s">
        <v>393</v>
      </c>
    </row>
    <row r="148" spans="1:41">
      <c r="A148" s="40" t="s">
        <v>2677</v>
      </c>
      <c r="B148" s="40" t="s">
        <v>3677</v>
      </c>
      <c r="C148" s="40" t="s">
        <v>623</v>
      </c>
      <c r="D148" s="40" t="s">
        <v>3678</v>
      </c>
      <c r="E148" s="40" t="s">
        <v>1850</v>
      </c>
      <c r="F148" s="40" t="s">
        <v>2782</v>
      </c>
      <c r="G148" s="40" t="s">
        <v>393</v>
      </c>
      <c r="H148" s="40" t="s">
        <v>3688</v>
      </c>
      <c r="I148" s="40" t="s">
        <v>3680</v>
      </c>
      <c r="J148" s="40" t="s">
        <v>318</v>
      </c>
      <c r="K148" s="40" t="s">
        <v>318</v>
      </c>
      <c r="L148" s="40" t="s">
        <v>879</v>
      </c>
      <c r="M148" s="40" t="s">
        <v>393</v>
      </c>
      <c r="N148" s="40" t="s">
        <v>3681</v>
      </c>
      <c r="O148" s="40" t="s">
        <v>3682</v>
      </c>
      <c r="P148" s="40" t="s">
        <v>3683</v>
      </c>
      <c r="Q148" s="40" t="s">
        <v>2439</v>
      </c>
      <c r="R148" s="40" t="s">
        <v>2924</v>
      </c>
      <c r="S148" s="40" t="s">
        <v>3684</v>
      </c>
      <c r="T148" s="40" t="s">
        <v>393</v>
      </c>
      <c r="U148" s="40" t="s">
        <v>393</v>
      </c>
      <c r="V148" s="40" t="s">
        <v>393</v>
      </c>
      <c r="W148" s="40" t="s">
        <v>393</v>
      </c>
      <c r="X148" s="40" t="s">
        <v>393</v>
      </c>
      <c r="Y148" s="40" t="s">
        <v>3685</v>
      </c>
      <c r="Z148" s="40" t="s">
        <v>505</v>
      </c>
      <c r="AA148" s="40" t="s">
        <v>393</v>
      </c>
      <c r="AB148" s="40" t="s">
        <v>393</v>
      </c>
      <c r="AC148" s="40" t="s">
        <v>3685</v>
      </c>
      <c r="AD148" s="40" t="s">
        <v>490</v>
      </c>
      <c r="AE148" s="40" t="s">
        <v>3686</v>
      </c>
      <c r="AF148" s="40" t="s">
        <v>3687</v>
      </c>
      <c r="AG148" s="40" t="s">
        <v>393</v>
      </c>
      <c r="AH148" s="40" t="s">
        <v>2805</v>
      </c>
      <c r="AI148" s="40" t="s">
        <v>2925</v>
      </c>
      <c r="AJ148" s="40" t="s">
        <v>354</v>
      </c>
      <c r="AK148" s="40" t="s">
        <v>458</v>
      </c>
      <c r="AL148" s="40" t="s">
        <v>458</v>
      </c>
      <c r="AM148" s="40" t="s">
        <v>393</v>
      </c>
      <c r="AN148" s="40" t="s">
        <v>393</v>
      </c>
      <c r="AO148" s="36" t="s">
        <v>393</v>
      </c>
    </row>
    <row r="149" spans="1:41">
      <c r="A149" s="40" t="s">
        <v>2677</v>
      </c>
      <c r="B149" s="40" t="s">
        <v>3677</v>
      </c>
      <c r="C149" s="40" t="s">
        <v>623</v>
      </c>
      <c r="D149" s="40" t="s">
        <v>3678</v>
      </c>
      <c r="E149" s="40" t="s">
        <v>1850</v>
      </c>
      <c r="F149" s="40" t="s">
        <v>2740</v>
      </c>
      <c r="G149" s="40" t="s">
        <v>393</v>
      </c>
      <c r="H149" s="40" t="s">
        <v>3689</v>
      </c>
      <c r="I149" s="40" t="s">
        <v>3690</v>
      </c>
      <c r="J149" s="40" t="s">
        <v>318</v>
      </c>
      <c r="K149" s="40" t="s">
        <v>318</v>
      </c>
      <c r="L149" s="40" t="s">
        <v>879</v>
      </c>
      <c r="M149" s="40" t="s">
        <v>393</v>
      </c>
      <c r="N149" s="40" t="s">
        <v>3681</v>
      </c>
      <c r="O149" s="40" t="s">
        <v>3682</v>
      </c>
      <c r="P149" s="40" t="s">
        <v>2685</v>
      </c>
      <c r="Q149" s="40" t="s">
        <v>2706</v>
      </c>
      <c r="R149" s="40" t="s">
        <v>3691</v>
      </c>
      <c r="S149" s="40" t="s">
        <v>3692</v>
      </c>
      <c r="T149" s="40" t="s">
        <v>393</v>
      </c>
      <c r="U149" s="40" t="s">
        <v>393</v>
      </c>
      <c r="V149" s="40" t="s">
        <v>393</v>
      </c>
      <c r="W149" s="40" t="s">
        <v>393</v>
      </c>
      <c r="X149" s="40" t="s">
        <v>393</v>
      </c>
      <c r="Y149" s="40" t="s">
        <v>393</v>
      </c>
      <c r="Z149" s="40" t="s">
        <v>393</v>
      </c>
      <c r="AA149" s="40" t="s">
        <v>393</v>
      </c>
      <c r="AB149" s="40" t="s">
        <v>393</v>
      </c>
      <c r="AC149" s="40" t="s">
        <v>393</v>
      </c>
      <c r="AD149" s="40" t="s">
        <v>393</v>
      </c>
      <c r="AE149" s="40" t="s">
        <v>3686</v>
      </c>
      <c r="AF149" s="40" t="s">
        <v>3687</v>
      </c>
      <c r="AG149" s="40" t="s">
        <v>393</v>
      </c>
      <c r="AH149" s="40" t="s">
        <v>3301</v>
      </c>
      <c r="AI149" s="40" t="s">
        <v>354</v>
      </c>
      <c r="AJ149" s="40" t="s">
        <v>2126</v>
      </c>
      <c r="AK149" s="40" t="s">
        <v>468</v>
      </c>
      <c r="AL149" s="40" t="s">
        <v>468</v>
      </c>
      <c r="AM149" s="40" t="s">
        <v>393</v>
      </c>
      <c r="AN149" s="40" t="s">
        <v>393</v>
      </c>
      <c r="AO149" s="36" t="s">
        <v>3693</v>
      </c>
    </row>
    <row r="150" spans="1:41">
      <c r="A150" s="40" t="s">
        <v>2677</v>
      </c>
      <c r="B150" s="40" t="s">
        <v>3677</v>
      </c>
      <c r="C150" s="40" t="s">
        <v>623</v>
      </c>
      <c r="D150" s="40" t="s">
        <v>3678</v>
      </c>
      <c r="E150" s="40" t="s">
        <v>1850</v>
      </c>
      <c r="F150" s="40" t="s">
        <v>2920</v>
      </c>
      <c r="G150" s="40" t="s">
        <v>393</v>
      </c>
      <c r="H150" s="40" t="s">
        <v>3694</v>
      </c>
      <c r="I150" s="40" t="s">
        <v>3695</v>
      </c>
      <c r="J150" s="40" t="s">
        <v>318</v>
      </c>
      <c r="K150" s="40" t="s">
        <v>318</v>
      </c>
      <c r="L150" s="40" t="s">
        <v>879</v>
      </c>
      <c r="M150" s="40" t="s">
        <v>393</v>
      </c>
      <c r="N150" s="40" t="s">
        <v>3681</v>
      </c>
      <c r="O150" s="40" t="s">
        <v>3682</v>
      </c>
      <c r="P150" s="40" t="s">
        <v>2685</v>
      </c>
      <c r="Q150" s="40" t="s">
        <v>2706</v>
      </c>
      <c r="R150" s="40" t="s">
        <v>3696</v>
      </c>
      <c r="S150" s="40" t="s">
        <v>3697</v>
      </c>
      <c r="T150" s="40" t="s">
        <v>393</v>
      </c>
      <c r="U150" s="40" t="s">
        <v>393</v>
      </c>
      <c r="V150" s="40" t="s">
        <v>393</v>
      </c>
      <c r="W150" s="40" t="s">
        <v>393</v>
      </c>
      <c r="X150" s="40" t="s">
        <v>393</v>
      </c>
      <c r="Y150" s="40" t="s">
        <v>393</v>
      </c>
      <c r="Z150" s="40" t="s">
        <v>393</v>
      </c>
      <c r="AA150" s="40" t="s">
        <v>393</v>
      </c>
      <c r="AB150" s="40" t="s">
        <v>393</v>
      </c>
      <c r="AC150" s="40" t="s">
        <v>393</v>
      </c>
      <c r="AD150" s="40" t="s">
        <v>393</v>
      </c>
      <c r="AE150" s="40" t="s">
        <v>3698</v>
      </c>
      <c r="AF150" s="40" t="s">
        <v>3687</v>
      </c>
      <c r="AG150" s="40" t="s">
        <v>393</v>
      </c>
      <c r="AH150" s="40" t="s">
        <v>2842</v>
      </c>
      <c r="AI150" s="40" t="s">
        <v>3699</v>
      </c>
      <c r="AJ150" s="40" t="s">
        <v>3700</v>
      </c>
      <c r="AK150" s="40" t="s">
        <v>505</v>
      </c>
      <c r="AL150" s="40" t="s">
        <v>505</v>
      </c>
      <c r="AM150" s="40" t="s">
        <v>393</v>
      </c>
      <c r="AN150" s="40" t="s">
        <v>393</v>
      </c>
      <c r="AO150" s="36" t="s">
        <v>3693</v>
      </c>
    </row>
    <row r="151" spans="1:41">
      <c r="A151" s="40" t="s">
        <v>2677</v>
      </c>
      <c r="B151" s="40" t="s">
        <v>3677</v>
      </c>
      <c r="C151" s="40" t="s">
        <v>623</v>
      </c>
      <c r="D151" s="40" t="s">
        <v>3678</v>
      </c>
      <c r="E151" s="40" t="s">
        <v>1850</v>
      </c>
      <c r="F151" s="40" t="s">
        <v>3293</v>
      </c>
      <c r="G151" s="40" t="s">
        <v>393</v>
      </c>
      <c r="H151" s="40" t="s">
        <v>3701</v>
      </c>
      <c r="I151" s="40" t="s">
        <v>3702</v>
      </c>
      <c r="J151" s="40" t="s">
        <v>318</v>
      </c>
      <c r="K151" s="40" t="s">
        <v>318</v>
      </c>
      <c r="L151" s="40" t="s">
        <v>879</v>
      </c>
      <c r="M151" s="40" t="s">
        <v>393</v>
      </c>
      <c r="N151" s="40" t="s">
        <v>3681</v>
      </c>
      <c r="O151" s="40" t="s">
        <v>3682</v>
      </c>
      <c r="P151" s="40" t="s">
        <v>2685</v>
      </c>
      <c r="Q151" s="40" t="s">
        <v>2706</v>
      </c>
      <c r="R151" s="40" t="s">
        <v>2893</v>
      </c>
      <c r="S151" s="40" t="s">
        <v>2790</v>
      </c>
      <c r="T151" s="40" t="s">
        <v>393</v>
      </c>
      <c r="U151" s="40" t="s">
        <v>393</v>
      </c>
      <c r="V151" s="40" t="s">
        <v>393</v>
      </c>
      <c r="W151" s="40" t="s">
        <v>393</v>
      </c>
      <c r="X151" s="40" t="s">
        <v>393</v>
      </c>
      <c r="Y151" s="40" t="s">
        <v>393</v>
      </c>
      <c r="Z151" s="40" t="s">
        <v>393</v>
      </c>
      <c r="AA151" s="40" t="s">
        <v>393</v>
      </c>
      <c r="AB151" s="40" t="s">
        <v>393</v>
      </c>
      <c r="AC151" s="40" t="s">
        <v>393</v>
      </c>
      <c r="AD151" s="40" t="s">
        <v>393</v>
      </c>
      <c r="AE151" s="40" t="s">
        <v>3686</v>
      </c>
      <c r="AF151" s="40" t="s">
        <v>3687</v>
      </c>
      <c r="AG151" s="40" t="s">
        <v>393</v>
      </c>
      <c r="AH151" s="40" t="s">
        <v>2813</v>
      </c>
      <c r="AI151" s="40" t="s">
        <v>2813</v>
      </c>
      <c r="AJ151" s="40" t="s">
        <v>3700</v>
      </c>
      <c r="AK151" s="40" t="s">
        <v>442</v>
      </c>
      <c r="AL151" s="40" t="s">
        <v>442</v>
      </c>
      <c r="AM151" s="40" t="s">
        <v>3703</v>
      </c>
      <c r="AN151" s="40" t="s">
        <v>393</v>
      </c>
      <c r="AO151" s="36" t="s">
        <v>3704</v>
      </c>
    </row>
    <row r="152" spans="1:41">
      <c r="A152" s="40" t="s">
        <v>2677</v>
      </c>
      <c r="B152" s="40" t="s">
        <v>3677</v>
      </c>
      <c r="C152" s="40" t="s">
        <v>623</v>
      </c>
      <c r="D152" s="40" t="s">
        <v>3678</v>
      </c>
      <c r="E152" s="40" t="s">
        <v>1850</v>
      </c>
      <c r="F152" s="40" t="s">
        <v>3349</v>
      </c>
      <c r="G152" s="40" t="s">
        <v>393</v>
      </c>
      <c r="H152" s="40" t="s">
        <v>3705</v>
      </c>
      <c r="I152" s="40" t="s">
        <v>3706</v>
      </c>
      <c r="J152" s="40" t="s">
        <v>318</v>
      </c>
      <c r="K152" s="40" t="s">
        <v>318</v>
      </c>
      <c r="L152" s="40" t="s">
        <v>879</v>
      </c>
      <c r="M152" s="40" t="s">
        <v>393</v>
      </c>
      <c r="N152" s="40" t="s">
        <v>3681</v>
      </c>
      <c r="O152" s="40" t="s">
        <v>3682</v>
      </c>
      <c r="P152" s="40" t="s">
        <v>2685</v>
      </c>
      <c r="Q152" s="40" t="s">
        <v>2706</v>
      </c>
      <c r="R152" s="40" t="s">
        <v>2924</v>
      </c>
      <c r="S152" s="40" t="s">
        <v>3707</v>
      </c>
      <c r="T152" s="40" t="s">
        <v>393</v>
      </c>
      <c r="U152" s="40" t="s">
        <v>393</v>
      </c>
      <c r="V152" s="40" t="s">
        <v>393</v>
      </c>
      <c r="W152" s="40" t="s">
        <v>393</v>
      </c>
      <c r="X152" s="40" t="s">
        <v>393</v>
      </c>
      <c r="Y152" s="40" t="s">
        <v>393</v>
      </c>
      <c r="Z152" s="40" t="s">
        <v>393</v>
      </c>
      <c r="AA152" s="40" t="s">
        <v>393</v>
      </c>
      <c r="AB152" s="40" t="s">
        <v>393</v>
      </c>
      <c r="AC152" s="40" t="s">
        <v>393</v>
      </c>
      <c r="AD152" s="40" t="s">
        <v>393</v>
      </c>
      <c r="AE152" s="40" t="s">
        <v>3686</v>
      </c>
      <c r="AF152" s="40" t="s">
        <v>3687</v>
      </c>
      <c r="AG152" s="40" t="s">
        <v>393</v>
      </c>
      <c r="AH152" s="40" t="s">
        <v>2813</v>
      </c>
      <c r="AI152" s="40" t="s">
        <v>2813</v>
      </c>
      <c r="AJ152" s="40" t="s">
        <v>3700</v>
      </c>
      <c r="AK152" s="40" t="s">
        <v>442</v>
      </c>
      <c r="AL152" s="40" t="s">
        <v>442</v>
      </c>
      <c r="AM152" s="40" t="s">
        <v>3703</v>
      </c>
      <c r="AN152" s="40" t="s">
        <v>393</v>
      </c>
      <c r="AO152" s="36" t="s">
        <v>3704</v>
      </c>
    </row>
    <row r="153" spans="1:41">
      <c r="A153" s="40" t="s">
        <v>2677</v>
      </c>
      <c r="B153" s="40" t="s">
        <v>3677</v>
      </c>
      <c r="C153" s="40" t="s">
        <v>623</v>
      </c>
      <c r="D153" s="40" t="s">
        <v>3678</v>
      </c>
      <c r="E153" s="40" t="s">
        <v>1850</v>
      </c>
      <c r="F153" s="40" t="s">
        <v>2888</v>
      </c>
      <c r="G153" s="40" t="s">
        <v>393</v>
      </c>
      <c r="H153" s="40" t="s">
        <v>3708</v>
      </c>
      <c r="I153" s="40" t="s">
        <v>3706</v>
      </c>
      <c r="J153" s="40" t="s">
        <v>318</v>
      </c>
      <c r="K153" s="40" t="s">
        <v>318</v>
      </c>
      <c r="L153" s="40" t="s">
        <v>879</v>
      </c>
      <c r="M153" s="40" t="s">
        <v>393</v>
      </c>
      <c r="N153" s="40" t="s">
        <v>3681</v>
      </c>
      <c r="O153" s="40" t="s">
        <v>3682</v>
      </c>
      <c r="P153" s="40" t="s">
        <v>2685</v>
      </c>
      <c r="Q153" s="40" t="s">
        <v>2706</v>
      </c>
      <c r="R153" s="40" t="s">
        <v>2952</v>
      </c>
      <c r="S153" s="40" t="s">
        <v>2790</v>
      </c>
      <c r="T153" s="40" t="s">
        <v>393</v>
      </c>
      <c r="U153" s="40" t="s">
        <v>393</v>
      </c>
      <c r="V153" s="40" t="s">
        <v>393</v>
      </c>
      <c r="W153" s="40" t="s">
        <v>393</v>
      </c>
      <c r="X153" s="40" t="s">
        <v>393</v>
      </c>
      <c r="Y153" s="40" t="s">
        <v>393</v>
      </c>
      <c r="Z153" s="40" t="s">
        <v>393</v>
      </c>
      <c r="AA153" s="40" t="s">
        <v>393</v>
      </c>
      <c r="AB153" s="40" t="s">
        <v>393</v>
      </c>
      <c r="AC153" s="40" t="s">
        <v>393</v>
      </c>
      <c r="AD153" s="40" t="s">
        <v>393</v>
      </c>
      <c r="AE153" s="40" t="s">
        <v>3686</v>
      </c>
      <c r="AF153" s="40" t="s">
        <v>3687</v>
      </c>
      <c r="AG153" s="40" t="s">
        <v>393</v>
      </c>
      <c r="AH153" s="40" t="s">
        <v>2813</v>
      </c>
      <c r="AI153" s="40" t="s">
        <v>2813</v>
      </c>
      <c r="AJ153" s="40" t="s">
        <v>3700</v>
      </c>
      <c r="AK153" s="40" t="s">
        <v>442</v>
      </c>
      <c r="AL153" s="40" t="s">
        <v>442</v>
      </c>
      <c r="AM153" s="40" t="s">
        <v>3703</v>
      </c>
      <c r="AN153" s="40" t="s">
        <v>393</v>
      </c>
      <c r="AO153" s="36" t="s">
        <v>3704</v>
      </c>
    </row>
    <row r="154" spans="1:41">
      <c r="A154" s="40" t="s">
        <v>2677</v>
      </c>
      <c r="B154" s="40" t="s">
        <v>3677</v>
      </c>
      <c r="C154" s="40" t="s">
        <v>623</v>
      </c>
      <c r="D154" s="40" t="s">
        <v>3678</v>
      </c>
      <c r="E154" s="40" t="s">
        <v>1850</v>
      </c>
      <c r="F154" s="40" t="s">
        <v>3623</v>
      </c>
      <c r="G154" s="40" t="s">
        <v>393</v>
      </c>
      <c r="H154" s="40" t="s">
        <v>3709</v>
      </c>
      <c r="I154" s="40" t="s">
        <v>3710</v>
      </c>
      <c r="J154" s="40" t="s">
        <v>318</v>
      </c>
      <c r="K154" s="40" t="s">
        <v>318</v>
      </c>
      <c r="L154" s="40" t="s">
        <v>879</v>
      </c>
      <c r="M154" s="40" t="s">
        <v>393</v>
      </c>
      <c r="N154" s="40" t="s">
        <v>3681</v>
      </c>
      <c r="O154" s="40" t="s">
        <v>3682</v>
      </c>
      <c r="P154" s="40" t="s">
        <v>2685</v>
      </c>
      <c r="Q154" s="40" t="s">
        <v>2706</v>
      </c>
      <c r="R154" s="40" t="s">
        <v>2907</v>
      </c>
      <c r="S154" s="40" t="s">
        <v>3711</v>
      </c>
      <c r="T154" s="40" t="s">
        <v>393</v>
      </c>
      <c r="U154" s="40" t="s">
        <v>393</v>
      </c>
      <c r="V154" s="40" t="s">
        <v>393</v>
      </c>
      <c r="W154" s="40" t="s">
        <v>393</v>
      </c>
      <c r="X154" s="40" t="s">
        <v>393</v>
      </c>
      <c r="Y154" s="40" t="s">
        <v>3685</v>
      </c>
      <c r="Z154" s="40" t="s">
        <v>505</v>
      </c>
      <c r="AA154" s="40" t="s">
        <v>393</v>
      </c>
      <c r="AB154" s="40" t="s">
        <v>393</v>
      </c>
      <c r="AC154" s="40" t="s">
        <v>3685</v>
      </c>
      <c r="AD154" s="40" t="s">
        <v>490</v>
      </c>
      <c r="AE154" s="40" t="s">
        <v>364</v>
      </c>
      <c r="AF154" s="40" t="s">
        <v>2870</v>
      </c>
      <c r="AG154" s="40" t="s">
        <v>393</v>
      </c>
      <c r="AH154" s="40" t="s">
        <v>2813</v>
      </c>
      <c r="AI154" s="40" t="s">
        <v>2813</v>
      </c>
      <c r="AJ154" s="40" t="s">
        <v>3700</v>
      </c>
      <c r="AK154" s="40" t="s">
        <v>442</v>
      </c>
      <c r="AL154" s="40" t="s">
        <v>442</v>
      </c>
      <c r="AM154" s="40" t="s">
        <v>393</v>
      </c>
      <c r="AN154" s="40" t="s">
        <v>393</v>
      </c>
      <c r="AO154" s="36" t="s">
        <v>393</v>
      </c>
    </row>
    <row r="155" spans="1:41">
      <c r="A155" s="40" t="s">
        <v>2677</v>
      </c>
      <c r="B155" s="40" t="s">
        <v>3677</v>
      </c>
      <c r="C155" s="40" t="s">
        <v>623</v>
      </c>
      <c r="D155" s="40" t="s">
        <v>3678</v>
      </c>
      <c r="E155" s="40" t="s">
        <v>1850</v>
      </c>
      <c r="F155" s="40" t="s">
        <v>3625</v>
      </c>
      <c r="G155" s="40" t="s">
        <v>393</v>
      </c>
      <c r="H155" s="40" t="s">
        <v>3712</v>
      </c>
      <c r="I155" s="40" t="s">
        <v>3713</v>
      </c>
      <c r="J155" s="40" t="s">
        <v>318</v>
      </c>
      <c r="K155" s="40" t="s">
        <v>318</v>
      </c>
      <c r="L155" s="40" t="s">
        <v>879</v>
      </c>
      <c r="M155" s="40" t="s">
        <v>393</v>
      </c>
      <c r="N155" s="40" t="s">
        <v>3681</v>
      </c>
      <c r="O155" s="40" t="s">
        <v>3682</v>
      </c>
      <c r="P155" s="40" t="s">
        <v>2685</v>
      </c>
      <c r="Q155" s="40" t="s">
        <v>2706</v>
      </c>
      <c r="R155" s="40" t="s">
        <v>3120</v>
      </c>
      <c r="S155" s="40" t="s">
        <v>3714</v>
      </c>
      <c r="T155" s="40" t="s">
        <v>393</v>
      </c>
      <c r="U155" s="40" t="s">
        <v>393</v>
      </c>
      <c r="V155" s="40" t="s">
        <v>393</v>
      </c>
      <c r="W155" s="40" t="s">
        <v>393</v>
      </c>
      <c r="X155" s="40" t="s">
        <v>393</v>
      </c>
      <c r="Y155" s="40" t="s">
        <v>3685</v>
      </c>
      <c r="Z155" s="40" t="s">
        <v>505</v>
      </c>
      <c r="AA155" s="40" t="s">
        <v>393</v>
      </c>
      <c r="AB155" s="40" t="s">
        <v>393</v>
      </c>
      <c r="AC155" s="40" t="s">
        <v>3685</v>
      </c>
      <c r="AD155" s="40" t="s">
        <v>490</v>
      </c>
      <c r="AE155" s="40" t="s">
        <v>364</v>
      </c>
      <c r="AF155" s="40" t="s">
        <v>2870</v>
      </c>
      <c r="AG155" s="40" t="s">
        <v>393</v>
      </c>
      <c r="AH155" s="40" t="s">
        <v>2813</v>
      </c>
      <c r="AI155" s="40" t="s">
        <v>2813</v>
      </c>
      <c r="AJ155" s="40" t="s">
        <v>3700</v>
      </c>
      <c r="AK155" s="40" t="s">
        <v>442</v>
      </c>
      <c r="AL155" s="40" t="s">
        <v>442</v>
      </c>
      <c r="AM155" s="40" t="s">
        <v>393</v>
      </c>
      <c r="AN155" s="40" t="s">
        <v>393</v>
      </c>
      <c r="AO155" s="36" t="s">
        <v>393</v>
      </c>
    </row>
    <row r="156" spans="1:41">
      <c r="A156" s="40" t="s">
        <v>2677</v>
      </c>
      <c r="B156" s="40" t="s">
        <v>3677</v>
      </c>
      <c r="C156" s="40" t="s">
        <v>623</v>
      </c>
      <c r="D156" s="40" t="s">
        <v>3678</v>
      </c>
      <c r="E156" s="40" t="s">
        <v>1850</v>
      </c>
      <c r="F156" s="40" t="s">
        <v>3715</v>
      </c>
      <c r="G156" s="40" t="s">
        <v>393</v>
      </c>
      <c r="H156" s="40" t="s">
        <v>3716</v>
      </c>
      <c r="I156" s="40" t="s">
        <v>3713</v>
      </c>
      <c r="J156" s="40" t="s">
        <v>318</v>
      </c>
      <c r="K156" s="40" t="s">
        <v>318</v>
      </c>
      <c r="L156" s="40" t="s">
        <v>879</v>
      </c>
      <c r="M156" s="40" t="s">
        <v>393</v>
      </c>
      <c r="N156" s="40" t="s">
        <v>3681</v>
      </c>
      <c r="O156" s="40" t="s">
        <v>3682</v>
      </c>
      <c r="P156" s="40" t="s">
        <v>2685</v>
      </c>
      <c r="Q156" s="40" t="s">
        <v>2706</v>
      </c>
      <c r="R156" s="40" t="s">
        <v>3120</v>
      </c>
      <c r="S156" s="40" t="s">
        <v>3714</v>
      </c>
      <c r="T156" s="40" t="s">
        <v>393</v>
      </c>
      <c r="U156" s="40" t="s">
        <v>393</v>
      </c>
      <c r="V156" s="40" t="s">
        <v>393</v>
      </c>
      <c r="W156" s="40" t="s">
        <v>393</v>
      </c>
      <c r="X156" s="40" t="s">
        <v>393</v>
      </c>
      <c r="Y156" s="40" t="s">
        <v>3685</v>
      </c>
      <c r="Z156" s="40" t="s">
        <v>505</v>
      </c>
      <c r="AA156" s="40" t="s">
        <v>393</v>
      </c>
      <c r="AB156" s="40" t="s">
        <v>393</v>
      </c>
      <c r="AC156" s="40" t="s">
        <v>3685</v>
      </c>
      <c r="AD156" s="40" t="s">
        <v>490</v>
      </c>
      <c r="AE156" s="40" t="s">
        <v>364</v>
      </c>
      <c r="AF156" s="40" t="s">
        <v>2870</v>
      </c>
      <c r="AG156" s="40" t="s">
        <v>393</v>
      </c>
      <c r="AH156" s="40" t="s">
        <v>2813</v>
      </c>
      <c r="AI156" s="40" t="s">
        <v>2813</v>
      </c>
      <c r="AJ156" s="40" t="s">
        <v>3700</v>
      </c>
      <c r="AK156" s="40" t="s">
        <v>442</v>
      </c>
      <c r="AL156" s="40" t="s">
        <v>442</v>
      </c>
      <c r="AM156" s="40" t="s">
        <v>393</v>
      </c>
      <c r="AN156" s="40" t="s">
        <v>393</v>
      </c>
      <c r="AO156" s="36" t="s">
        <v>393</v>
      </c>
    </row>
    <row r="157" spans="1:41">
      <c r="A157" s="40" t="s">
        <v>2677</v>
      </c>
      <c r="B157" s="40" t="s">
        <v>3677</v>
      </c>
      <c r="C157" s="40" t="s">
        <v>623</v>
      </c>
      <c r="D157" s="40" t="s">
        <v>3678</v>
      </c>
      <c r="E157" s="40" t="s">
        <v>1850</v>
      </c>
      <c r="F157" s="40" t="s">
        <v>3717</v>
      </c>
      <c r="G157" s="40" t="s">
        <v>393</v>
      </c>
      <c r="H157" s="40" t="s">
        <v>3718</v>
      </c>
      <c r="I157" s="40" t="s">
        <v>3719</v>
      </c>
      <c r="J157" s="40" t="s">
        <v>318</v>
      </c>
      <c r="K157" s="40" t="s">
        <v>318</v>
      </c>
      <c r="L157" s="40" t="s">
        <v>879</v>
      </c>
      <c r="M157" s="40" t="s">
        <v>393</v>
      </c>
      <c r="N157" s="40" t="s">
        <v>3681</v>
      </c>
      <c r="O157" s="40" t="s">
        <v>3682</v>
      </c>
      <c r="P157" s="40" t="s">
        <v>2685</v>
      </c>
      <c r="Q157" s="40" t="s">
        <v>2706</v>
      </c>
      <c r="R157" s="40" t="s">
        <v>2734</v>
      </c>
      <c r="S157" s="40" t="s">
        <v>3283</v>
      </c>
      <c r="T157" s="40" t="s">
        <v>393</v>
      </c>
      <c r="U157" s="40" t="s">
        <v>393</v>
      </c>
      <c r="V157" s="40" t="s">
        <v>393</v>
      </c>
      <c r="W157" s="40" t="s">
        <v>393</v>
      </c>
      <c r="X157" s="40" t="s">
        <v>393</v>
      </c>
      <c r="Y157" s="40" t="s">
        <v>3685</v>
      </c>
      <c r="Z157" s="40" t="s">
        <v>505</v>
      </c>
      <c r="AA157" s="40" t="s">
        <v>393</v>
      </c>
      <c r="AB157" s="40" t="s">
        <v>393</v>
      </c>
      <c r="AC157" s="40" t="s">
        <v>3685</v>
      </c>
      <c r="AD157" s="40" t="s">
        <v>490</v>
      </c>
      <c r="AE157" s="40" t="s">
        <v>364</v>
      </c>
      <c r="AF157" s="40" t="s">
        <v>2870</v>
      </c>
      <c r="AG157" s="40" t="s">
        <v>393</v>
      </c>
      <c r="AH157" s="40" t="s">
        <v>2813</v>
      </c>
      <c r="AI157" s="40" t="s">
        <v>2813</v>
      </c>
      <c r="AJ157" s="40" t="s">
        <v>3700</v>
      </c>
      <c r="AK157" s="40" t="s">
        <v>442</v>
      </c>
      <c r="AL157" s="40" t="s">
        <v>442</v>
      </c>
      <c r="AM157" s="40" t="s">
        <v>393</v>
      </c>
      <c r="AN157" s="40" t="s">
        <v>393</v>
      </c>
      <c r="AO157" s="36" t="s">
        <v>393</v>
      </c>
    </row>
    <row r="158" spans="1:41">
      <c r="A158" s="40" t="s">
        <v>2677</v>
      </c>
      <c r="B158" s="40" t="s">
        <v>3677</v>
      </c>
      <c r="C158" s="40" t="s">
        <v>623</v>
      </c>
      <c r="D158" s="40" t="s">
        <v>3678</v>
      </c>
      <c r="E158" s="40" t="s">
        <v>1850</v>
      </c>
      <c r="F158" s="40" t="s">
        <v>3720</v>
      </c>
      <c r="G158" s="40" t="s">
        <v>393</v>
      </c>
      <c r="H158" s="40" t="s">
        <v>3721</v>
      </c>
      <c r="I158" s="40" t="s">
        <v>3719</v>
      </c>
      <c r="J158" s="40" t="s">
        <v>318</v>
      </c>
      <c r="K158" s="40" t="s">
        <v>318</v>
      </c>
      <c r="L158" s="40" t="s">
        <v>879</v>
      </c>
      <c r="M158" s="40" t="s">
        <v>393</v>
      </c>
      <c r="N158" s="40" t="s">
        <v>3681</v>
      </c>
      <c r="O158" s="40" t="s">
        <v>3682</v>
      </c>
      <c r="P158" s="40" t="s">
        <v>2685</v>
      </c>
      <c r="Q158" s="40" t="s">
        <v>2706</v>
      </c>
      <c r="R158" s="40" t="s">
        <v>2734</v>
      </c>
      <c r="S158" s="40" t="s">
        <v>3283</v>
      </c>
      <c r="T158" s="40" t="s">
        <v>393</v>
      </c>
      <c r="U158" s="40" t="s">
        <v>393</v>
      </c>
      <c r="V158" s="40" t="s">
        <v>393</v>
      </c>
      <c r="W158" s="40" t="s">
        <v>393</v>
      </c>
      <c r="X158" s="40" t="s">
        <v>393</v>
      </c>
      <c r="Y158" s="40" t="s">
        <v>3685</v>
      </c>
      <c r="Z158" s="40" t="s">
        <v>505</v>
      </c>
      <c r="AA158" s="40" t="s">
        <v>393</v>
      </c>
      <c r="AB158" s="40" t="s">
        <v>393</v>
      </c>
      <c r="AC158" s="40" t="s">
        <v>3685</v>
      </c>
      <c r="AD158" s="40" t="s">
        <v>490</v>
      </c>
      <c r="AE158" s="40" t="s">
        <v>364</v>
      </c>
      <c r="AF158" s="40" t="s">
        <v>2870</v>
      </c>
      <c r="AG158" s="40" t="s">
        <v>393</v>
      </c>
      <c r="AH158" s="40" t="s">
        <v>2813</v>
      </c>
      <c r="AI158" s="40" t="s">
        <v>2813</v>
      </c>
      <c r="AJ158" s="40" t="s">
        <v>3700</v>
      </c>
      <c r="AK158" s="40" t="s">
        <v>442</v>
      </c>
      <c r="AL158" s="40" t="s">
        <v>442</v>
      </c>
      <c r="AM158" s="40" t="s">
        <v>393</v>
      </c>
      <c r="AN158" s="40" t="s">
        <v>393</v>
      </c>
      <c r="AO158" s="36" t="s">
        <v>393</v>
      </c>
    </row>
    <row r="159" spans="1:41">
      <c r="A159" s="40" t="s">
        <v>2677</v>
      </c>
      <c r="B159" s="40" t="s">
        <v>3677</v>
      </c>
      <c r="C159" s="40" t="s">
        <v>623</v>
      </c>
      <c r="D159" s="40" t="s">
        <v>3678</v>
      </c>
      <c r="E159" s="40" t="s">
        <v>1850</v>
      </c>
      <c r="F159" s="40" t="s">
        <v>3722</v>
      </c>
      <c r="G159" s="40" t="s">
        <v>393</v>
      </c>
      <c r="H159" s="40" t="s">
        <v>3723</v>
      </c>
      <c r="I159" s="40" t="s">
        <v>3724</v>
      </c>
      <c r="J159" s="40" t="s">
        <v>318</v>
      </c>
      <c r="K159" s="40" t="s">
        <v>318</v>
      </c>
      <c r="L159" s="40" t="s">
        <v>879</v>
      </c>
      <c r="M159" s="40" t="s">
        <v>393</v>
      </c>
      <c r="N159" s="40" t="s">
        <v>3681</v>
      </c>
      <c r="O159" s="40" t="s">
        <v>3682</v>
      </c>
      <c r="P159" s="40" t="s">
        <v>2685</v>
      </c>
      <c r="Q159" s="40" t="s">
        <v>2706</v>
      </c>
      <c r="R159" s="40" t="s">
        <v>354</v>
      </c>
      <c r="S159" s="40" t="s">
        <v>696</v>
      </c>
      <c r="T159" s="40" t="s">
        <v>393</v>
      </c>
      <c r="U159" s="40" t="s">
        <v>393</v>
      </c>
      <c r="V159" s="40" t="s">
        <v>393</v>
      </c>
      <c r="W159" s="40" t="s">
        <v>393</v>
      </c>
      <c r="X159" s="40" t="s">
        <v>393</v>
      </c>
      <c r="Y159" s="40" t="s">
        <v>3685</v>
      </c>
      <c r="Z159" s="40" t="s">
        <v>505</v>
      </c>
      <c r="AA159" s="40" t="s">
        <v>393</v>
      </c>
      <c r="AB159" s="40" t="s">
        <v>393</v>
      </c>
      <c r="AC159" s="40" t="s">
        <v>3685</v>
      </c>
      <c r="AD159" s="40" t="s">
        <v>490</v>
      </c>
      <c r="AE159" s="40" t="s">
        <v>364</v>
      </c>
      <c r="AF159" s="40" t="s">
        <v>2870</v>
      </c>
      <c r="AG159" s="40" t="s">
        <v>393</v>
      </c>
      <c r="AH159" s="40" t="s">
        <v>2813</v>
      </c>
      <c r="AI159" s="40" t="s">
        <v>2813</v>
      </c>
      <c r="AJ159" s="40" t="s">
        <v>3700</v>
      </c>
      <c r="AK159" s="40" t="s">
        <v>442</v>
      </c>
      <c r="AL159" s="40" t="s">
        <v>442</v>
      </c>
      <c r="AM159" s="40" t="s">
        <v>393</v>
      </c>
      <c r="AN159" s="40" t="s">
        <v>393</v>
      </c>
      <c r="AO159" s="36" t="s">
        <v>393</v>
      </c>
    </row>
    <row r="160" spans="1:41">
      <c r="A160" s="40" t="s">
        <v>2677</v>
      </c>
      <c r="B160" s="40" t="s">
        <v>3677</v>
      </c>
      <c r="C160" s="40" t="s">
        <v>623</v>
      </c>
      <c r="D160" s="40" t="s">
        <v>3678</v>
      </c>
      <c r="E160" s="40" t="s">
        <v>1850</v>
      </c>
      <c r="F160" s="40" t="s">
        <v>3725</v>
      </c>
      <c r="G160" s="40" t="s">
        <v>393</v>
      </c>
      <c r="H160" s="40" t="s">
        <v>3726</v>
      </c>
      <c r="I160" s="40" t="s">
        <v>3727</v>
      </c>
      <c r="J160" s="40" t="s">
        <v>318</v>
      </c>
      <c r="K160" s="40" t="s">
        <v>318</v>
      </c>
      <c r="L160" s="40" t="s">
        <v>879</v>
      </c>
      <c r="M160" s="40" t="s">
        <v>393</v>
      </c>
      <c r="N160" s="40" t="s">
        <v>3681</v>
      </c>
      <c r="O160" s="40" t="s">
        <v>3682</v>
      </c>
      <c r="P160" s="40" t="s">
        <v>2685</v>
      </c>
      <c r="Q160" s="40" t="s">
        <v>2706</v>
      </c>
      <c r="R160" s="40" t="s">
        <v>354</v>
      </c>
      <c r="S160" s="40" t="s">
        <v>412</v>
      </c>
      <c r="T160" s="40" t="s">
        <v>393</v>
      </c>
      <c r="U160" s="40" t="s">
        <v>393</v>
      </c>
      <c r="V160" s="40" t="s">
        <v>393</v>
      </c>
      <c r="W160" s="40" t="s">
        <v>393</v>
      </c>
      <c r="X160" s="40" t="s">
        <v>393</v>
      </c>
      <c r="Y160" s="40" t="s">
        <v>3685</v>
      </c>
      <c r="Z160" s="40" t="s">
        <v>505</v>
      </c>
      <c r="AA160" s="40" t="s">
        <v>393</v>
      </c>
      <c r="AB160" s="40" t="s">
        <v>393</v>
      </c>
      <c r="AC160" s="40" t="s">
        <v>3685</v>
      </c>
      <c r="AD160" s="40" t="s">
        <v>490</v>
      </c>
      <c r="AE160" s="40" t="s">
        <v>364</v>
      </c>
      <c r="AF160" s="40" t="s">
        <v>2870</v>
      </c>
      <c r="AG160" s="40" t="s">
        <v>393</v>
      </c>
      <c r="AH160" s="40" t="s">
        <v>2813</v>
      </c>
      <c r="AI160" s="40" t="s">
        <v>2813</v>
      </c>
      <c r="AJ160" s="40" t="s">
        <v>3700</v>
      </c>
      <c r="AK160" s="40" t="s">
        <v>442</v>
      </c>
      <c r="AL160" s="40" t="s">
        <v>442</v>
      </c>
      <c r="AM160" s="40" t="s">
        <v>393</v>
      </c>
      <c r="AN160" s="40" t="s">
        <v>393</v>
      </c>
      <c r="AO160" s="36" t="s">
        <v>393</v>
      </c>
    </row>
    <row r="161" spans="1:41">
      <c r="A161" s="40" t="s">
        <v>2677</v>
      </c>
      <c r="B161" s="40" t="s">
        <v>3677</v>
      </c>
      <c r="C161" s="40" t="s">
        <v>623</v>
      </c>
      <c r="D161" s="40" t="s">
        <v>3678</v>
      </c>
      <c r="E161" s="40" t="s">
        <v>1850</v>
      </c>
      <c r="F161" s="40" t="s">
        <v>3728</v>
      </c>
      <c r="G161" s="40" t="s">
        <v>393</v>
      </c>
      <c r="H161" s="40" t="s">
        <v>3729</v>
      </c>
      <c r="I161" s="40" t="s">
        <v>3730</v>
      </c>
      <c r="J161" s="40" t="s">
        <v>318</v>
      </c>
      <c r="K161" s="40" t="s">
        <v>318</v>
      </c>
      <c r="L161" s="40" t="s">
        <v>879</v>
      </c>
      <c r="M161" s="40" t="s">
        <v>393</v>
      </c>
      <c r="N161" s="40" t="s">
        <v>3681</v>
      </c>
      <c r="O161" s="40" t="s">
        <v>3682</v>
      </c>
      <c r="P161" s="40" t="s">
        <v>2685</v>
      </c>
      <c r="Q161" s="40" t="s">
        <v>2706</v>
      </c>
      <c r="R161" s="40" t="s">
        <v>3085</v>
      </c>
      <c r="S161" s="40" t="s">
        <v>3731</v>
      </c>
      <c r="T161" s="40" t="s">
        <v>393</v>
      </c>
      <c r="U161" s="40" t="s">
        <v>393</v>
      </c>
      <c r="V161" s="40" t="s">
        <v>393</v>
      </c>
      <c r="W161" s="40" t="s">
        <v>393</v>
      </c>
      <c r="X161" s="40" t="s">
        <v>393</v>
      </c>
      <c r="Y161" s="40" t="s">
        <v>3685</v>
      </c>
      <c r="Z161" s="40" t="s">
        <v>505</v>
      </c>
      <c r="AA161" s="40" t="s">
        <v>393</v>
      </c>
      <c r="AB161" s="40" t="s">
        <v>393</v>
      </c>
      <c r="AC161" s="40" t="s">
        <v>3685</v>
      </c>
      <c r="AD161" s="40" t="s">
        <v>490</v>
      </c>
      <c r="AE161" s="40" t="s">
        <v>364</v>
      </c>
      <c r="AF161" s="40" t="s">
        <v>2870</v>
      </c>
      <c r="AG161" s="40" t="s">
        <v>393</v>
      </c>
      <c r="AH161" s="40" t="s">
        <v>2813</v>
      </c>
      <c r="AI161" s="40" t="s">
        <v>2813</v>
      </c>
      <c r="AJ161" s="40" t="s">
        <v>3700</v>
      </c>
      <c r="AK161" s="40" t="s">
        <v>442</v>
      </c>
      <c r="AL161" s="40" t="s">
        <v>442</v>
      </c>
      <c r="AM161" s="40" t="s">
        <v>393</v>
      </c>
      <c r="AN161" s="40" t="s">
        <v>393</v>
      </c>
      <c r="AO161" s="36" t="s">
        <v>393</v>
      </c>
    </row>
    <row r="162" spans="1:41">
      <c r="A162" s="40" t="s">
        <v>2677</v>
      </c>
      <c r="B162" s="40" t="s">
        <v>3677</v>
      </c>
      <c r="C162" s="40" t="s">
        <v>623</v>
      </c>
      <c r="D162" s="40" t="s">
        <v>3678</v>
      </c>
      <c r="E162" s="40" t="s">
        <v>1850</v>
      </c>
      <c r="F162" s="40" t="s">
        <v>3732</v>
      </c>
      <c r="G162" s="40" t="s">
        <v>393</v>
      </c>
      <c r="H162" s="40" t="s">
        <v>3733</v>
      </c>
      <c r="I162" s="40" t="s">
        <v>3713</v>
      </c>
      <c r="J162" s="40" t="s">
        <v>318</v>
      </c>
      <c r="K162" s="40" t="s">
        <v>318</v>
      </c>
      <c r="L162" s="40" t="s">
        <v>879</v>
      </c>
      <c r="M162" s="40" t="s">
        <v>393</v>
      </c>
      <c r="N162" s="40" t="s">
        <v>3681</v>
      </c>
      <c r="O162" s="40" t="s">
        <v>3682</v>
      </c>
      <c r="P162" s="40" t="s">
        <v>2685</v>
      </c>
      <c r="Q162" s="40" t="s">
        <v>2706</v>
      </c>
      <c r="R162" s="40" t="s">
        <v>3380</v>
      </c>
      <c r="S162" s="40" t="s">
        <v>3734</v>
      </c>
      <c r="T162" s="40" t="s">
        <v>393</v>
      </c>
      <c r="U162" s="40" t="s">
        <v>393</v>
      </c>
      <c r="V162" s="40" t="s">
        <v>393</v>
      </c>
      <c r="W162" s="40" t="s">
        <v>393</v>
      </c>
      <c r="X162" s="40" t="s">
        <v>393</v>
      </c>
      <c r="Y162" s="40" t="s">
        <v>3685</v>
      </c>
      <c r="Z162" s="40" t="s">
        <v>505</v>
      </c>
      <c r="AA162" s="40" t="s">
        <v>393</v>
      </c>
      <c r="AB162" s="40" t="s">
        <v>393</v>
      </c>
      <c r="AC162" s="40" t="s">
        <v>3685</v>
      </c>
      <c r="AD162" s="40" t="s">
        <v>490</v>
      </c>
      <c r="AE162" s="40" t="s">
        <v>364</v>
      </c>
      <c r="AF162" s="40" t="s">
        <v>2870</v>
      </c>
      <c r="AG162" s="40" t="s">
        <v>393</v>
      </c>
      <c r="AH162" s="40" t="s">
        <v>2813</v>
      </c>
      <c r="AI162" s="40" t="s">
        <v>2813</v>
      </c>
      <c r="AJ162" s="40" t="s">
        <v>3700</v>
      </c>
      <c r="AK162" s="40" t="s">
        <v>442</v>
      </c>
      <c r="AL162" s="40" t="s">
        <v>442</v>
      </c>
      <c r="AM162" s="40" t="s">
        <v>393</v>
      </c>
      <c r="AN162" s="40" t="s">
        <v>393</v>
      </c>
      <c r="AO162" s="36" t="s">
        <v>393</v>
      </c>
    </row>
    <row r="163" spans="1:41">
      <c r="A163" s="40" t="s">
        <v>2677</v>
      </c>
      <c r="B163" s="40" t="s">
        <v>3677</v>
      </c>
      <c r="C163" s="40" t="s">
        <v>623</v>
      </c>
      <c r="D163" s="40" t="s">
        <v>3678</v>
      </c>
      <c r="E163" s="40" t="s">
        <v>1850</v>
      </c>
      <c r="F163" s="40" t="s">
        <v>3735</v>
      </c>
      <c r="G163" s="40" t="s">
        <v>393</v>
      </c>
      <c r="H163" s="40" t="s">
        <v>3736</v>
      </c>
      <c r="I163" s="40" t="s">
        <v>3737</v>
      </c>
      <c r="J163" s="40" t="s">
        <v>318</v>
      </c>
      <c r="K163" s="40" t="s">
        <v>318</v>
      </c>
      <c r="L163" s="40" t="s">
        <v>879</v>
      </c>
      <c r="M163" s="40" t="s">
        <v>393</v>
      </c>
      <c r="N163" s="40" t="s">
        <v>3681</v>
      </c>
      <c r="O163" s="40" t="s">
        <v>3682</v>
      </c>
      <c r="P163" s="40" t="s">
        <v>2685</v>
      </c>
      <c r="Q163" s="40" t="s">
        <v>2706</v>
      </c>
      <c r="R163" s="40" t="s">
        <v>3085</v>
      </c>
      <c r="S163" s="40" t="s">
        <v>2790</v>
      </c>
      <c r="T163" s="40" t="s">
        <v>393</v>
      </c>
      <c r="U163" s="40" t="s">
        <v>393</v>
      </c>
      <c r="V163" s="40" t="s">
        <v>393</v>
      </c>
      <c r="W163" s="40" t="s">
        <v>393</v>
      </c>
      <c r="X163" s="40" t="s">
        <v>393</v>
      </c>
      <c r="Y163" s="40" t="s">
        <v>3685</v>
      </c>
      <c r="Z163" s="40" t="s">
        <v>505</v>
      </c>
      <c r="AA163" s="40" t="s">
        <v>393</v>
      </c>
      <c r="AB163" s="40" t="s">
        <v>393</v>
      </c>
      <c r="AC163" s="40" t="s">
        <v>3685</v>
      </c>
      <c r="AD163" s="40" t="s">
        <v>490</v>
      </c>
      <c r="AE163" s="40" t="s">
        <v>364</v>
      </c>
      <c r="AF163" s="40" t="s">
        <v>2870</v>
      </c>
      <c r="AG163" s="40" t="s">
        <v>393</v>
      </c>
      <c r="AH163" s="40" t="s">
        <v>2813</v>
      </c>
      <c r="AI163" s="40" t="s">
        <v>2813</v>
      </c>
      <c r="AJ163" s="40" t="s">
        <v>3700</v>
      </c>
      <c r="AK163" s="40" t="s">
        <v>442</v>
      </c>
      <c r="AL163" s="40" t="s">
        <v>442</v>
      </c>
      <c r="AM163" s="40" t="s">
        <v>393</v>
      </c>
      <c r="AN163" s="40" t="s">
        <v>393</v>
      </c>
      <c r="AO163" s="36" t="s">
        <v>393</v>
      </c>
    </row>
    <row r="164" spans="1:41">
      <c r="A164" s="40" t="s">
        <v>2677</v>
      </c>
      <c r="B164" s="40" t="s">
        <v>3677</v>
      </c>
      <c r="C164" s="40" t="s">
        <v>623</v>
      </c>
      <c r="D164" s="40" t="s">
        <v>3678</v>
      </c>
      <c r="E164" s="40" t="s">
        <v>1850</v>
      </c>
      <c r="F164" s="40" t="s">
        <v>3738</v>
      </c>
      <c r="G164" s="40" t="s">
        <v>393</v>
      </c>
      <c r="H164" s="40" t="s">
        <v>3739</v>
      </c>
      <c r="I164" s="40" t="s">
        <v>3740</v>
      </c>
      <c r="J164" s="40" t="s">
        <v>318</v>
      </c>
      <c r="K164" s="40" t="s">
        <v>318</v>
      </c>
      <c r="L164" s="40" t="s">
        <v>879</v>
      </c>
      <c r="M164" s="40" t="s">
        <v>393</v>
      </c>
      <c r="N164" s="40" t="s">
        <v>3681</v>
      </c>
      <c r="O164" s="40" t="s">
        <v>3682</v>
      </c>
      <c r="P164" s="40" t="s">
        <v>2685</v>
      </c>
      <c r="Q164" s="40" t="s">
        <v>2706</v>
      </c>
      <c r="R164" s="40" t="s">
        <v>2791</v>
      </c>
      <c r="S164" s="40" t="s">
        <v>3741</v>
      </c>
      <c r="T164" s="40" t="s">
        <v>393</v>
      </c>
      <c r="U164" s="40" t="s">
        <v>393</v>
      </c>
      <c r="V164" s="40" t="s">
        <v>393</v>
      </c>
      <c r="W164" s="40" t="s">
        <v>393</v>
      </c>
      <c r="X164" s="40" t="s">
        <v>393</v>
      </c>
      <c r="Y164" s="40" t="s">
        <v>3685</v>
      </c>
      <c r="Z164" s="40" t="s">
        <v>505</v>
      </c>
      <c r="AA164" s="40" t="s">
        <v>393</v>
      </c>
      <c r="AB164" s="40" t="s">
        <v>393</v>
      </c>
      <c r="AC164" s="40" t="s">
        <v>3685</v>
      </c>
      <c r="AD164" s="40" t="s">
        <v>490</v>
      </c>
      <c r="AE164" s="40" t="s">
        <v>364</v>
      </c>
      <c r="AF164" s="40" t="s">
        <v>2870</v>
      </c>
      <c r="AG164" s="40" t="s">
        <v>393</v>
      </c>
      <c r="AH164" s="40" t="s">
        <v>2842</v>
      </c>
      <c r="AI164" s="40" t="s">
        <v>3699</v>
      </c>
      <c r="AJ164" s="40" t="s">
        <v>3700</v>
      </c>
      <c r="AK164" s="40" t="s">
        <v>505</v>
      </c>
      <c r="AL164" s="40" t="s">
        <v>505</v>
      </c>
      <c r="AM164" s="40" t="s">
        <v>393</v>
      </c>
      <c r="AN164" s="40" t="s">
        <v>393</v>
      </c>
      <c r="AO164" s="36" t="s">
        <v>393</v>
      </c>
    </row>
    <row r="165" spans="1:41">
      <c r="A165" s="40" t="s">
        <v>2677</v>
      </c>
      <c r="B165" s="40" t="s">
        <v>3677</v>
      </c>
      <c r="C165" s="40" t="s">
        <v>623</v>
      </c>
      <c r="D165" s="40" t="s">
        <v>3678</v>
      </c>
      <c r="E165" s="40" t="s">
        <v>1850</v>
      </c>
      <c r="F165" s="40" t="s">
        <v>3742</v>
      </c>
      <c r="G165" s="40" t="s">
        <v>393</v>
      </c>
      <c r="H165" s="40" t="s">
        <v>3743</v>
      </c>
      <c r="I165" s="40" t="s">
        <v>3740</v>
      </c>
      <c r="J165" s="40" t="s">
        <v>318</v>
      </c>
      <c r="K165" s="40" t="s">
        <v>318</v>
      </c>
      <c r="L165" s="40" t="s">
        <v>879</v>
      </c>
      <c r="M165" s="40" t="s">
        <v>393</v>
      </c>
      <c r="N165" s="40" t="s">
        <v>3681</v>
      </c>
      <c r="O165" s="40" t="s">
        <v>3682</v>
      </c>
      <c r="P165" s="40" t="s">
        <v>2685</v>
      </c>
      <c r="Q165" s="40" t="s">
        <v>2706</v>
      </c>
      <c r="R165" s="40" t="s">
        <v>2791</v>
      </c>
      <c r="S165" s="40" t="s">
        <v>3741</v>
      </c>
      <c r="T165" s="40" t="s">
        <v>393</v>
      </c>
      <c r="U165" s="40" t="s">
        <v>393</v>
      </c>
      <c r="V165" s="40" t="s">
        <v>393</v>
      </c>
      <c r="W165" s="40" t="s">
        <v>393</v>
      </c>
      <c r="X165" s="40" t="s">
        <v>393</v>
      </c>
      <c r="Y165" s="40" t="s">
        <v>3685</v>
      </c>
      <c r="Z165" s="40" t="s">
        <v>505</v>
      </c>
      <c r="AA165" s="40" t="s">
        <v>393</v>
      </c>
      <c r="AB165" s="40" t="s">
        <v>393</v>
      </c>
      <c r="AC165" s="40" t="s">
        <v>3685</v>
      </c>
      <c r="AD165" s="40" t="s">
        <v>490</v>
      </c>
      <c r="AE165" s="40" t="s">
        <v>364</v>
      </c>
      <c r="AF165" s="40" t="s">
        <v>2870</v>
      </c>
      <c r="AG165" s="40" t="s">
        <v>393</v>
      </c>
      <c r="AH165" s="40" t="s">
        <v>2842</v>
      </c>
      <c r="AI165" s="40" t="s">
        <v>3699</v>
      </c>
      <c r="AJ165" s="40" t="s">
        <v>3700</v>
      </c>
      <c r="AK165" s="40" t="s">
        <v>505</v>
      </c>
      <c r="AL165" s="40" t="s">
        <v>505</v>
      </c>
      <c r="AM165" s="40" t="s">
        <v>393</v>
      </c>
      <c r="AN165" s="40" t="s">
        <v>393</v>
      </c>
      <c r="AO165" s="36" t="s">
        <v>393</v>
      </c>
    </row>
    <row r="166" spans="1:41">
      <c r="A166" s="40" t="s">
        <v>2677</v>
      </c>
      <c r="B166" s="40" t="s">
        <v>3677</v>
      </c>
      <c r="C166" s="40" t="s">
        <v>623</v>
      </c>
      <c r="D166" s="40" t="s">
        <v>3678</v>
      </c>
      <c r="E166" s="40" t="s">
        <v>1850</v>
      </c>
      <c r="F166" s="40" t="s">
        <v>3744</v>
      </c>
      <c r="G166" s="40" t="s">
        <v>393</v>
      </c>
      <c r="H166" s="40" t="s">
        <v>3745</v>
      </c>
      <c r="I166" s="40" t="s">
        <v>3740</v>
      </c>
      <c r="J166" s="40" t="s">
        <v>318</v>
      </c>
      <c r="K166" s="40" t="s">
        <v>318</v>
      </c>
      <c r="L166" s="40" t="s">
        <v>879</v>
      </c>
      <c r="M166" s="40" t="s">
        <v>393</v>
      </c>
      <c r="N166" s="40" t="s">
        <v>3681</v>
      </c>
      <c r="O166" s="40" t="s">
        <v>3682</v>
      </c>
      <c r="P166" s="40" t="s">
        <v>2685</v>
      </c>
      <c r="Q166" s="40" t="s">
        <v>2706</v>
      </c>
      <c r="R166" s="40" t="s">
        <v>2924</v>
      </c>
      <c r="S166" s="40" t="s">
        <v>3341</v>
      </c>
      <c r="T166" s="40" t="s">
        <v>393</v>
      </c>
      <c r="U166" s="40" t="s">
        <v>393</v>
      </c>
      <c r="V166" s="40" t="s">
        <v>393</v>
      </c>
      <c r="W166" s="40" t="s">
        <v>393</v>
      </c>
      <c r="X166" s="40" t="s">
        <v>393</v>
      </c>
      <c r="Y166" s="40" t="s">
        <v>3685</v>
      </c>
      <c r="Z166" s="40" t="s">
        <v>505</v>
      </c>
      <c r="AA166" s="40" t="s">
        <v>393</v>
      </c>
      <c r="AB166" s="40" t="s">
        <v>393</v>
      </c>
      <c r="AC166" s="40" t="s">
        <v>3685</v>
      </c>
      <c r="AD166" s="40" t="s">
        <v>490</v>
      </c>
      <c r="AE166" s="40" t="s">
        <v>364</v>
      </c>
      <c r="AF166" s="40" t="s">
        <v>2870</v>
      </c>
      <c r="AG166" s="40" t="s">
        <v>393</v>
      </c>
      <c r="AH166" s="40" t="s">
        <v>2813</v>
      </c>
      <c r="AI166" s="40" t="s">
        <v>2813</v>
      </c>
      <c r="AJ166" s="40" t="s">
        <v>3700</v>
      </c>
      <c r="AK166" s="40" t="s">
        <v>442</v>
      </c>
      <c r="AL166" s="40" t="s">
        <v>442</v>
      </c>
      <c r="AM166" s="40" t="s">
        <v>393</v>
      </c>
      <c r="AN166" s="40" t="s">
        <v>393</v>
      </c>
      <c r="AO166" s="36" t="s">
        <v>393</v>
      </c>
    </row>
    <row r="167" spans="1:41">
      <c r="A167" s="40" t="s">
        <v>2677</v>
      </c>
      <c r="B167" s="40" t="s">
        <v>3677</v>
      </c>
      <c r="C167" s="40" t="s">
        <v>623</v>
      </c>
      <c r="D167" s="40" t="s">
        <v>3678</v>
      </c>
      <c r="E167" s="40" t="s">
        <v>1850</v>
      </c>
      <c r="F167" s="40" t="s">
        <v>3746</v>
      </c>
      <c r="G167" s="40" t="s">
        <v>393</v>
      </c>
      <c r="H167" s="40" t="s">
        <v>3747</v>
      </c>
      <c r="I167" s="40" t="s">
        <v>3740</v>
      </c>
      <c r="J167" s="40" t="s">
        <v>318</v>
      </c>
      <c r="K167" s="40" t="s">
        <v>318</v>
      </c>
      <c r="L167" s="40" t="s">
        <v>879</v>
      </c>
      <c r="M167" s="40" t="s">
        <v>393</v>
      </c>
      <c r="N167" s="40" t="s">
        <v>3681</v>
      </c>
      <c r="O167" s="40" t="s">
        <v>3682</v>
      </c>
      <c r="P167" s="40" t="s">
        <v>2685</v>
      </c>
      <c r="Q167" s="40" t="s">
        <v>2706</v>
      </c>
      <c r="R167" s="40" t="s">
        <v>2924</v>
      </c>
      <c r="S167" s="40" t="s">
        <v>3341</v>
      </c>
      <c r="T167" s="40" t="s">
        <v>393</v>
      </c>
      <c r="U167" s="40" t="s">
        <v>393</v>
      </c>
      <c r="V167" s="40" t="s">
        <v>393</v>
      </c>
      <c r="W167" s="40" t="s">
        <v>393</v>
      </c>
      <c r="X167" s="40" t="s">
        <v>393</v>
      </c>
      <c r="Y167" s="40" t="s">
        <v>3685</v>
      </c>
      <c r="Z167" s="40" t="s">
        <v>505</v>
      </c>
      <c r="AA167" s="40" t="s">
        <v>393</v>
      </c>
      <c r="AB167" s="40" t="s">
        <v>393</v>
      </c>
      <c r="AC167" s="40" t="s">
        <v>3685</v>
      </c>
      <c r="AD167" s="40" t="s">
        <v>490</v>
      </c>
      <c r="AE167" s="40" t="s">
        <v>364</v>
      </c>
      <c r="AF167" s="40" t="s">
        <v>2870</v>
      </c>
      <c r="AG167" s="40" t="s">
        <v>393</v>
      </c>
      <c r="AH167" s="40" t="s">
        <v>2813</v>
      </c>
      <c r="AI167" s="40" t="s">
        <v>2813</v>
      </c>
      <c r="AJ167" s="40" t="s">
        <v>3700</v>
      </c>
      <c r="AK167" s="40" t="s">
        <v>442</v>
      </c>
      <c r="AL167" s="40" t="s">
        <v>442</v>
      </c>
      <c r="AM167" s="40" t="s">
        <v>393</v>
      </c>
      <c r="AN167" s="40" t="s">
        <v>393</v>
      </c>
      <c r="AO167" s="36" t="s">
        <v>393</v>
      </c>
    </row>
    <row r="168" spans="1:41">
      <c r="A168" s="40" t="s">
        <v>2677</v>
      </c>
      <c r="B168" s="40" t="s">
        <v>3677</v>
      </c>
      <c r="C168" s="40" t="s">
        <v>623</v>
      </c>
      <c r="D168" s="40" t="s">
        <v>3678</v>
      </c>
      <c r="E168" s="40" t="s">
        <v>1850</v>
      </c>
      <c r="F168" s="40" t="s">
        <v>3748</v>
      </c>
      <c r="G168" s="40" t="s">
        <v>393</v>
      </c>
      <c r="H168" s="40" t="s">
        <v>3749</v>
      </c>
      <c r="I168" s="40" t="s">
        <v>3740</v>
      </c>
      <c r="J168" s="40" t="s">
        <v>318</v>
      </c>
      <c r="K168" s="40" t="s">
        <v>318</v>
      </c>
      <c r="L168" s="40" t="s">
        <v>879</v>
      </c>
      <c r="M168" s="40" t="s">
        <v>393</v>
      </c>
      <c r="N168" s="40" t="s">
        <v>3681</v>
      </c>
      <c r="O168" s="40" t="s">
        <v>3682</v>
      </c>
      <c r="P168" s="40" t="s">
        <v>2685</v>
      </c>
      <c r="Q168" s="40" t="s">
        <v>2706</v>
      </c>
      <c r="R168" s="40" t="s">
        <v>2924</v>
      </c>
      <c r="S168" s="40" t="s">
        <v>3341</v>
      </c>
      <c r="T168" s="40" t="s">
        <v>393</v>
      </c>
      <c r="U168" s="40" t="s">
        <v>393</v>
      </c>
      <c r="V168" s="40" t="s">
        <v>393</v>
      </c>
      <c r="W168" s="40" t="s">
        <v>393</v>
      </c>
      <c r="X168" s="40" t="s">
        <v>393</v>
      </c>
      <c r="Y168" s="40" t="s">
        <v>3685</v>
      </c>
      <c r="Z168" s="40" t="s">
        <v>505</v>
      </c>
      <c r="AA168" s="40" t="s">
        <v>393</v>
      </c>
      <c r="AB168" s="40" t="s">
        <v>393</v>
      </c>
      <c r="AC168" s="40" t="s">
        <v>3685</v>
      </c>
      <c r="AD168" s="40" t="s">
        <v>490</v>
      </c>
      <c r="AE168" s="40" t="s">
        <v>364</v>
      </c>
      <c r="AF168" s="40" t="s">
        <v>2870</v>
      </c>
      <c r="AG168" s="40" t="s">
        <v>393</v>
      </c>
      <c r="AH168" s="40" t="s">
        <v>2813</v>
      </c>
      <c r="AI168" s="40" t="s">
        <v>2813</v>
      </c>
      <c r="AJ168" s="40" t="s">
        <v>3700</v>
      </c>
      <c r="AK168" s="40" t="s">
        <v>442</v>
      </c>
      <c r="AL168" s="40" t="s">
        <v>442</v>
      </c>
      <c r="AM168" s="40" t="s">
        <v>393</v>
      </c>
      <c r="AN168" s="40" t="s">
        <v>393</v>
      </c>
      <c r="AO168" s="36" t="s">
        <v>393</v>
      </c>
    </row>
    <row r="169" spans="1:41">
      <c r="A169" s="40" t="s">
        <v>2677</v>
      </c>
      <c r="B169" s="40" t="s">
        <v>3677</v>
      </c>
      <c r="C169" s="40" t="s">
        <v>623</v>
      </c>
      <c r="D169" s="40" t="s">
        <v>3678</v>
      </c>
      <c r="E169" s="40" t="s">
        <v>1850</v>
      </c>
      <c r="F169" s="40" t="s">
        <v>3750</v>
      </c>
      <c r="G169" s="40" t="s">
        <v>393</v>
      </c>
      <c r="H169" s="40" t="s">
        <v>3751</v>
      </c>
      <c r="I169" s="40" t="s">
        <v>3740</v>
      </c>
      <c r="J169" s="40" t="s">
        <v>318</v>
      </c>
      <c r="K169" s="40" t="s">
        <v>318</v>
      </c>
      <c r="L169" s="40" t="s">
        <v>879</v>
      </c>
      <c r="M169" s="40" t="s">
        <v>393</v>
      </c>
      <c r="N169" s="40" t="s">
        <v>3681</v>
      </c>
      <c r="O169" s="40" t="s">
        <v>3682</v>
      </c>
      <c r="P169" s="40" t="s">
        <v>2685</v>
      </c>
      <c r="Q169" s="40" t="s">
        <v>2706</v>
      </c>
      <c r="R169" s="40" t="s">
        <v>2924</v>
      </c>
      <c r="S169" s="40" t="s">
        <v>3341</v>
      </c>
      <c r="T169" s="40" t="s">
        <v>393</v>
      </c>
      <c r="U169" s="40" t="s">
        <v>393</v>
      </c>
      <c r="V169" s="40" t="s">
        <v>393</v>
      </c>
      <c r="W169" s="40" t="s">
        <v>393</v>
      </c>
      <c r="X169" s="40" t="s">
        <v>393</v>
      </c>
      <c r="Y169" s="40" t="s">
        <v>3685</v>
      </c>
      <c r="Z169" s="40" t="s">
        <v>505</v>
      </c>
      <c r="AA169" s="40" t="s">
        <v>393</v>
      </c>
      <c r="AB169" s="40" t="s">
        <v>393</v>
      </c>
      <c r="AC169" s="40" t="s">
        <v>3685</v>
      </c>
      <c r="AD169" s="40" t="s">
        <v>490</v>
      </c>
      <c r="AE169" s="40" t="s">
        <v>364</v>
      </c>
      <c r="AF169" s="40" t="s">
        <v>2870</v>
      </c>
      <c r="AG169" s="40" t="s">
        <v>393</v>
      </c>
      <c r="AH169" s="40" t="s">
        <v>2813</v>
      </c>
      <c r="AI169" s="40" t="s">
        <v>2813</v>
      </c>
      <c r="AJ169" s="40" t="s">
        <v>3700</v>
      </c>
      <c r="AK169" s="40" t="s">
        <v>442</v>
      </c>
      <c r="AL169" s="40" t="s">
        <v>442</v>
      </c>
      <c r="AM169" s="40" t="s">
        <v>393</v>
      </c>
      <c r="AN169" s="40" t="s">
        <v>393</v>
      </c>
      <c r="AO169" s="36" t="s">
        <v>393</v>
      </c>
    </row>
    <row r="170" spans="1:41">
      <c r="A170" s="40" t="s">
        <v>2677</v>
      </c>
      <c r="B170" s="40" t="s">
        <v>3677</v>
      </c>
      <c r="C170" s="40" t="s">
        <v>623</v>
      </c>
      <c r="D170" s="40" t="s">
        <v>3678</v>
      </c>
      <c r="E170" s="40" t="s">
        <v>1850</v>
      </c>
      <c r="F170" s="40" t="s">
        <v>3752</v>
      </c>
      <c r="G170" s="40" t="s">
        <v>393</v>
      </c>
      <c r="H170" s="40" t="s">
        <v>3753</v>
      </c>
      <c r="I170" s="40" t="s">
        <v>3740</v>
      </c>
      <c r="J170" s="40" t="s">
        <v>318</v>
      </c>
      <c r="K170" s="40" t="s">
        <v>318</v>
      </c>
      <c r="L170" s="40" t="s">
        <v>879</v>
      </c>
      <c r="M170" s="40" t="s">
        <v>393</v>
      </c>
      <c r="N170" s="40" t="s">
        <v>3681</v>
      </c>
      <c r="O170" s="40" t="s">
        <v>3682</v>
      </c>
      <c r="P170" s="40" t="s">
        <v>2685</v>
      </c>
      <c r="Q170" s="40" t="s">
        <v>2706</v>
      </c>
      <c r="R170" s="40" t="s">
        <v>2924</v>
      </c>
      <c r="S170" s="40" t="s">
        <v>3341</v>
      </c>
      <c r="T170" s="40" t="s">
        <v>393</v>
      </c>
      <c r="U170" s="40" t="s">
        <v>393</v>
      </c>
      <c r="V170" s="40" t="s">
        <v>393</v>
      </c>
      <c r="W170" s="40" t="s">
        <v>393</v>
      </c>
      <c r="X170" s="40" t="s">
        <v>393</v>
      </c>
      <c r="Y170" s="40" t="s">
        <v>3685</v>
      </c>
      <c r="Z170" s="40" t="s">
        <v>505</v>
      </c>
      <c r="AA170" s="40" t="s">
        <v>393</v>
      </c>
      <c r="AB170" s="40" t="s">
        <v>393</v>
      </c>
      <c r="AC170" s="40" t="s">
        <v>3685</v>
      </c>
      <c r="AD170" s="40" t="s">
        <v>490</v>
      </c>
      <c r="AE170" s="40" t="s">
        <v>364</v>
      </c>
      <c r="AF170" s="40" t="s">
        <v>2870</v>
      </c>
      <c r="AG170" s="40" t="s">
        <v>393</v>
      </c>
      <c r="AH170" s="40" t="s">
        <v>2813</v>
      </c>
      <c r="AI170" s="40" t="s">
        <v>2813</v>
      </c>
      <c r="AJ170" s="40" t="s">
        <v>3700</v>
      </c>
      <c r="AK170" s="40" t="s">
        <v>442</v>
      </c>
      <c r="AL170" s="40" t="s">
        <v>442</v>
      </c>
      <c r="AM170" s="40" t="s">
        <v>393</v>
      </c>
      <c r="AN170" s="40" t="s">
        <v>393</v>
      </c>
      <c r="AO170" s="36" t="s">
        <v>393</v>
      </c>
    </row>
    <row r="171" spans="1:41">
      <c r="A171" s="40" t="s">
        <v>2677</v>
      </c>
      <c r="B171" s="40" t="s">
        <v>3677</v>
      </c>
      <c r="C171" s="40" t="s">
        <v>623</v>
      </c>
      <c r="D171" s="40" t="s">
        <v>3678</v>
      </c>
      <c r="E171" s="40" t="s">
        <v>1850</v>
      </c>
      <c r="F171" s="40" t="s">
        <v>3754</v>
      </c>
      <c r="G171" s="40" t="s">
        <v>393</v>
      </c>
      <c r="H171" s="40" t="s">
        <v>3755</v>
      </c>
      <c r="I171" s="40" t="s">
        <v>3740</v>
      </c>
      <c r="J171" s="40" t="s">
        <v>318</v>
      </c>
      <c r="K171" s="40" t="s">
        <v>318</v>
      </c>
      <c r="L171" s="40" t="s">
        <v>879</v>
      </c>
      <c r="M171" s="40" t="s">
        <v>393</v>
      </c>
      <c r="N171" s="40" t="s">
        <v>3681</v>
      </c>
      <c r="O171" s="40" t="s">
        <v>3682</v>
      </c>
      <c r="P171" s="40" t="s">
        <v>2685</v>
      </c>
      <c r="Q171" s="40" t="s">
        <v>2706</v>
      </c>
      <c r="R171" s="40" t="s">
        <v>2924</v>
      </c>
      <c r="S171" s="40" t="s">
        <v>3341</v>
      </c>
      <c r="T171" s="40" t="s">
        <v>393</v>
      </c>
      <c r="U171" s="40" t="s">
        <v>393</v>
      </c>
      <c r="V171" s="40" t="s">
        <v>393</v>
      </c>
      <c r="W171" s="40" t="s">
        <v>393</v>
      </c>
      <c r="X171" s="40" t="s">
        <v>393</v>
      </c>
      <c r="Y171" s="40" t="s">
        <v>3685</v>
      </c>
      <c r="Z171" s="40" t="s">
        <v>505</v>
      </c>
      <c r="AA171" s="40" t="s">
        <v>393</v>
      </c>
      <c r="AB171" s="40" t="s">
        <v>393</v>
      </c>
      <c r="AC171" s="40" t="s">
        <v>3685</v>
      </c>
      <c r="AD171" s="40" t="s">
        <v>490</v>
      </c>
      <c r="AE171" s="40" t="s">
        <v>364</v>
      </c>
      <c r="AF171" s="40" t="s">
        <v>2870</v>
      </c>
      <c r="AG171" s="40" t="s">
        <v>393</v>
      </c>
      <c r="AH171" s="40" t="s">
        <v>2813</v>
      </c>
      <c r="AI171" s="40" t="s">
        <v>2813</v>
      </c>
      <c r="AJ171" s="40" t="s">
        <v>3700</v>
      </c>
      <c r="AK171" s="40" t="s">
        <v>442</v>
      </c>
      <c r="AL171" s="40" t="s">
        <v>442</v>
      </c>
      <c r="AM171" s="40" t="s">
        <v>393</v>
      </c>
      <c r="AN171" s="40" t="s">
        <v>393</v>
      </c>
      <c r="AO171" s="36" t="s">
        <v>393</v>
      </c>
    </row>
    <row r="172" spans="1:41">
      <c r="A172" s="40" t="s">
        <v>2677</v>
      </c>
      <c r="B172" s="40" t="s">
        <v>3677</v>
      </c>
      <c r="C172" s="40" t="s">
        <v>623</v>
      </c>
      <c r="D172" s="40" t="s">
        <v>3678</v>
      </c>
      <c r="E172" s="40" t="s">
        <v>1850</v>
      </c>
      <c r="F172" s="40" t="s">
        <v>3756</v>
      </c>
      <c r="G172" s="40" t="s">
        <v>393</v>
      </c>
      <c r="H172" s="40" t="s">
        <v>3757</v>
      </c>
      <c r="I172" s="40" t="s">
        <v>3740</v>
      </c>
      <c r="J172" s="40" t="s">
        <v>318</v>
      </c>
      <c r="K172" s="40" t="s">
        <v>318</v>
      </c>
      <c r="L172" s="40" t="s">
        <v>879</v>
      </c>
      <c r="M172" s="40" t="s">
        <v>393</v>
      </c>
      <c r="N172" s="40" t="s">
        <v>3681</v>
      </c>
      <c r="O172" s="40" t="s">
        <v>3682</v>
      </c>
      <c r="P172" s="40" t="s">
        <v>2685</v>
      </c>
      <c r="Q172" s="40" t="s">
        <v>2706</v>
      </c>
      <c r="R172" s="40" t="s">
        <v>2924</v>
      </c>
      <c r="S172" s="40" t="s">
        <v>3341</v>
      </c>
      <c r="T172" s="40" t="s">
        <v>393</v>
      </c>
      <c r="U172" s="40" t="s">
        <v>393</v>
      </c>
      <c r="V172" s="40" t="s">
        <v>393</v>
      </c>
      <c r="W172" s="40" t="s">
        <v>393</v>
      </c>
      <c r="X172" s="40" t="s">
        <v>393</v>
      </c>
      <c r="Y172" s="40" t="s">
        <v>3685</v>
      </c>
      <c r="Z172" s="40" t="s">
        <v>505</v>
      </c>
      <c r="AA172" s="40" t="s">
        <v>393</v>
      </c>
      <c r="AB172" s="40" t="s">
        <v>393</v>
      </c>
      <c r="AC172" s="40" t="s">
        <v>3685</v>
      </c>
      <c r="AD172" s="40" t="s">
        <v>490</v>
      </c>
      <c r="AE172" s="40" t="s">
        <v>364</v>
      </c>
      <c r="AF172" s="40" t="s">
        <v>2870</v>
      </c>
      <c r="AG172" s="40" t="s">
        <v>393</v>
      </c>
      <c r="AH172" s="40" t="s">
        <v>2813</v>
      </c>
      <c r="AI172" s="40" t="s">
        <v>2813</v>
      </c>
      <c r="AJ172" s="40" t="s">
        <v>3700</v>
      </c>
      <c r="AK172" s="40" t="s">
        <v>442</v>
      </c>
      <c r="AL172" s="40" t="s">
        <v>442</v>
      </c>
      <c r="AM172" s="40" t="s">
        <v>393</v>
      </c>
      <c r="AN172" s="40" t="s">
        <v>393</v>
      </c>
      <c r="AO172" s="36" t="s">
        <v>393</v>
      </c>
    </row>
    <row r="173" spans="1:41">
      <c r="A173" s="40" t="s">
        <v>2677</v>
      </c>
      <c r="B173" s="40" t="s">
        <v>3677</v>
      </c>
      <c r="C173" s="40" t="s">
        <v>623</v>
      </c>
      <c r="D173" s="40" t="s">
        <v>3678</v>
      </c>
      <c r="E173" s="40" t="s">
        <v>1850</v>
      </c>
      <c r="F173" s="40" t="s">
        <v>3758</v>
      </c>
      <c r="G173" s="40" t="s">
        <v>393</v>
      </c>
      <c r="H173" s="40" t="s">
        <v>3759</v>
      </c>
      <c r="I173" s="40" t="s">
        <v>3740</v>
      </c>
      <c r="J173" s="40" t="s">
        <v>318</v>
      </c>
      <c r="K173" s="40" t="s">
        <v>318</v>
      </c>
      <c r="L173" s="40" t="s">
        <v>879</v>
      </c>
      <c r="M173" s="40" t="s">
        <v>393</v>
      </c>
      <c r="N173" s="40" t="s">
        <v>3681</v>
      </c>
      <c r="O173" s="40" t="s">
        <v>3682</v>
      </c>
      <c r="P173" s="40" t="s">
        <v>2685</v>
      </c>
      <c r="Q173" s="40" t="s">
        <v>2706</v>
      </c>
      <c r="R173" s="40" t="s">
        <v>2924</v>
      </c>
      <c r="S173" s="40" t="s">
        <v>3341</v>
      </c>
      <c r="T173" s="40" t="s">
        <v>393</v>
      </c>
      <c r="U173" s="40" t="s">
        <v>393</v>
      </c>
      <c r="V173" s="40" t="s">
        <v>393</v>
      </c>
      <c r="W173" s="40" t="s">
        <v>393</v>
      </c>
      <c r="X173" s="40" t="s">
        <v>393</v>
      </c>
      <c r="Y173" s="40" t="s">
        <v>3685</v>
      </c>
      <c r="Z173" s="40" t="s">
        <v>505</v>
      </c>
      <c r="AA173" s="40" t="s">
        <v>393</v>
      </c>
      <c r="AB173" s="40" t="s">
        <v>393</v>
      </c>
      <c r="AC173" s="40" t="s">
        <v>3685</v>
      </c>
      <c r="AD173" s="40" t="s">
        <v>490</v>
      </c>
      <c r="AE173" s="40" t="s">
        <v>364</v>
      </c>
      <c r="AF173" s="40" t="s">
        <v>2870</v>
      </c>
      <c r="AG173" s="40" t="s">
        <v>393</v>
      </c>
      <c r="AH173" s="40" t="s">
        <v>2813</v>
      </c>
      <c r="AI173" s="40" t="s">
        <v>2813</v>
      </c>
      <c r="AJ173" s="40" t="s">
        <v>3700</v>
      </c>
      <c r="AK173" s="40" t="s">
        <v>442</v>
      </c>
      <c r="AL173" s="40" t="s">
        <v>442</v>
      </c>
      <c r="AM173" s="40" t="s">
        <v>393</v>
      </c>
      <c r="AN173" s="40" t="s">
        <v>393</v>
      </c>
      <c r="AO173" s="36" t="s">
        <v>393</v>
      </c>
    </row>
    <row r="174" spans="1:41">
      <c r="A174" s="40" t="s">
        <v>2677</v>
      </c>
      <c r="B174" s="40" t="s">
        <v>3677</v>
      </c>
      <c r="C174" s="40" t="s">
        <v>623</v>
      </c>
      <c r="D174" s="40" t="s">
        <v>3678</v>
      </c>
      <c r="E174" s="40" t="s">
        <v>1850</v>
      </c>
      <c r="F174" s="40" t="s">
        <v>3760</v>
      </c>
      <c r="G174" s="40" t="s">
        <v>393</v>
      </c>
      <c r="H174" s="40" t="s">
        <v>3761</v>
      </c>
      <c r="I174" s="40" t="s">
        <v>3740</v>
      </c>
      <c r="J174" s="40" t="s">
        <v>318</v>
      </c>
      <c r="K174" s="40" t="s">
        <v>318</v>
      </c>
      <c r="L174" s="40" t="s">
        <v>879</v>
      </c>
      <c r="M174" s="40" t="s">
        <v>393</v>
      </c>
      <c r="N174" s="40" t="s">
        <v>3681</v>
      </c>
      <c r="O174" s="40" t="s">
        <v>3682</v>
      </c>
      <c r="P174" s="40" t="s">
        <v>2685</v>
      </c>
      <c r="Q174" s="40" t="s">
        <v>2706</v>
      </c>
      <c r="R174" s="40" t="s">
        <v>2924</v>
      </c>
      <c r="S174" s="40" t="s">
        <v>3341</v>
      </c>
      <c r="T174" s="40" t="s">
        <v>393</v>
      </c>
      <c r="U174" s="40" t="s">
        <v>393</v>
      </c>
      <c r="V174" s="40" t="s">
        <v>393</v>
      </c>
      <c r="W174" s="40" t="s">
        <v>393</v>
      </c>
      <c r="X174" s="40" t="s">
        <v>393</v>
      </c>
      <c r="Y174" s="40" t="s">
        <v>3685</v>
      </c>
      <c r="Z174" s="40" t="s">
        <v>505</v>
      </c>
      <c r="AA174" s="40" t="s">
        <v>393</v>
      </c>
      <c r="AB174" s="40" t="s">
        <v>393</v>
      </c>
      <c r="AC174" s="40" t="s">
        <v>3685</v>
      </c>
      <c r="AD174" s="40" t="s">
        <v>490</v>
      </c>
      <c r="AE174" s="40" t="s">
        <v>364</v>
      </c>
      <c r="AF174" s="40" t="s">
        <v>2870</v>
      </c>
      <c r="AG174" s="40" t="s">
        <v>393</v>
      </c>
      <c r="AH174" s="40" t="s">
        <v>2813</v>
      </c>
      <c r="AI174" s="40" t="s">
        <v>2813</v>
      </c>
      <c r="AJ174" s="40" t="s">
        <v>3700</v>
      </c>
      <c r="AK174" s="40" t="s">
        <v>442</v>
      </c>
      <c r="AL174" s="40" t="s">
        <v>442</v>
      </c>
      <c r="AM174" s="40" t="s">
        <v>393</v>
      </c>
      <c r="AN174" s="40" t="s">
        <v>393</v>
      </c>
      <c r="AO174" s="36" t="s">
        <v>393</v>
      </c>
    </row>
    <row r="175" spans="1:41">
      <c r="A175" s="40" t="s">
        <v>2677</v>
      </c>
      <c r="B175" s="40" t="s">
        <v>3677</v>
      </c>
      <c r="C175" s="40" t="s">
        <v>623</v>
      </c>
      <c r="D175" s="40" t="s">
        <v>3678</v>
      </c>
      <c r="E175" s="40" t="s">
        <v>1850</v>
      </c>
      <c r="F175" s="40" t="s">
        <v>3762</v>
      </c>
      <c r="G175" s="40" t="s">
        <v>393</v>
      </c>
      <c r="H175" s="40" t="s">
        <v>3763</v>
      </c>
      <c r="I175" s="40" t="s">
        <v>3740</v>
      </c>
      <c r="J175" s="40" t="s">
        <v>318</v>
      </c>
      <c r="K175" s="40" t="s">
        <v>318</v>
      </c>
      <c r="L175" s="40" t="s">
        <v>879</v>
      </c>
      <c r="M175" s="40" t="s">
        <v>393</v>
      </c>
      <c r="N175" s="40" t="s">
        <v>3681</v>
      </c>
      <c r="O175" s="40" t="s">
        <v>3682</v>
      </c>
      <c r="P175" s="40" t="s">
        <v>2685</v>
      </c>
      <c r="Q175" s="40" t="s">
        <v>2706</v>
      </c>
      <c r="R175" s="40" t="s">
        <v>2924</v>
      </c>
      <c r="S175" s="40" t="s">
        <v>3341</v>
      </c>
      <c r="T175" s="40" t="s">
        <v>393</v>
      </c>
      <c r="U175" s="40" t="s">
        <v>393</v>
      </c>
      <c r="V175" s="40" t="s">
        <v>393</v>
      </c>
      <c r="W175" s="40" t="s">
        <v>393</v>
      </c>
      <c r="X175" s="40" t="s">
        <v>393</v>
      </c>
      <c r="Y175" s="40" t="s">
        <v>3685</v>
      </c>
      <c r="Z175" s="40" t="s">
        <v>505</v>
      </c>
      <c r="AA175" s="40" t="s">
        <v>393</v>
      </c>
      <c r="AB175" s="40" t="s">
        <v>393</v>
      </c>
      <c r="AC175" s="40" t="s">
        <v>3685</v>
      </c>
      <c r="AD175" s="40" t="s">
        <v>490</v>
      </c>
      <c r="AE175" s="40" t="s">
        <v>364</v>
      </c>
      <c r="AF175" s="40" t="s">
        <v>2870</v>
      </c>
      <c r="AG175" s="40" t="s">
        <v>393</v>
      </c>
      <c r="AH175" s="40" t="s">
        <v>2813</v>
      </c>
      <c r="AI175" s="40" t="s">
        <v>2813</v>
      </c>
      <c r="AJ175" s="40" t="s">
        <v>3700</v>
      </c>
      <c r="AK175" s="40" t="s">
        <v>442</v>
      </c>
      <c r="AL175" s="40" t="s">
        <v>442</v>
      </c>
      <c r="AM175" s="40" t="s">
        <v>393</v>
      </c>
      <c r="AN175" s="40" t="s">
        <v>393</v>
      </c>
      <c r="AO175" s="36" t="s">
        <v>393</v>
      </c>
    </row>
    <row r="176" spans="1:41">
      <c r="A176" s="40" t="s">
        <v>2677</v>
      </c>
      <c r="B176" s="40" t="s">
        <v>3677</v>
      </c>
      <c r="C176" s="40" t="s">
        <v>623</v>
      </c>
      <c r="D176" s="40" t="s">
        <v>3678</v>
      </c>
      <c r="E176" s="40" t="s">
        <v>1850</v>
      </c>
      <c r="F176" s="40" t="s">
        <v>3764</v>
      </c>
      <c r="G176" s="40" t="s">
        <v>393</v>
      </c>
      <c r="H176" s="40" t="s">
        <v>3765</v>
      </c>
      <c r="I176" s="40" t="s">
        <v>3740</v>
      </c>
      <c r="J176" s="40" t="s">
        <v>318</v>
      </c>
      <c r="K176" s="40" t="s">
        <v>318</v>
      </c>
      <c r="L176" s="40" t="s">
        <v>879</v>
      </c>
      <c r="M176" s="40" t="s">
        <v>393</v>
      </c>
      <c r="N176" s="40" t="s">
        <v>3681</v>
      </c>
      <c r="O176" s="40" t="s">
        <v>3682</v>
      </c>
      <c r="P176" s="40" t="s">
        <v>2685</v>
      </c>
      <c r="Q176" s="40" t="s">
        <v>2706</v>
      </c>
      <c r="R176" s="40" t="s">
        <v>2924</v>
      </c>
      <c r="S176" s="40" t="s">
        <v>3341</v>
      </c>
      <c r="T176" s="40" t="s">
        <v>393</v>
      </c>
      <c r="U176" s="40" t="s">
        <v>393</v>
      </c>
      <c r="V176" s="40" t="s">
        <v>393</v>
      </c>
      <c r="W176" s="40" t="s">
        <v>393</v>
      </c>
      <c r="X176" s="40" t="s">
        <v>393</v>
      </c>
      <c r="Y176" s="40" t="s">
        <v>3685</v>
      </c>
      <c r="Z176" s="40" t="s">
        <v>505</v>
      </c>
      <c r="AA176" s="40" t="s">
        <v>393</v>
      </c>
      <c r="AB176" s="40" t="s">
        <v>393</v>
      </c>
      <c r="AC176" s="40" t="s">
        <v>3685</v>
      </c>
      <c r="AD176" s="40" t="s">
        <v>490</v>
      </c>
      <c r="AE176" s="40" t="s">
        <v>364</v>
      </c>
      <c r="AF176" s="40" t="s">
        <v>2870</v>
      </c>
      <c r="AG176" s="40" t="s">
        <v>393</v>
      </c>
      <c r="AH176" s="40" t="s">
        <v>2813</v>
      </c>
      <c r="AI176" s="40" t="s">
        <v>2813</v>
      </c>
      <c r="AJ176" s="40" t="s">
        <v>3700</v>
      </c>
      <c r="AK176" s="40" t="s">
        <v>442</v>
      </c>
      <c r="AL176" s="40" t="s">
        <v>442</v>
      </c>
      <c r="AM176" s="40" t="s">
        <v>393</v>
      </c>
      <c r="AN176" s="40" t="s">
        <v>393</v>
      </c>
      <c r="AO176" s="36" t="s">
        <v>393</v>
      </c>
    </row>
    <row r="177" spans="1:41">
      <c r="A177" s="40" t="s">
        <v>2677</v>
      </c>
      <c r="B177" s="40" t="s">
        <v>3677</v>
      </c>
      <c r="C177" s="40" t="s">
        <v>623</v>
      </c>
      <c r="D177" s="40" t="s">
        <v>3678</v>
      </c>
      <c r="E177" s="40" t="s">
        <v>1850</v>
      </c>
      <c r="F177" s="40" t="s">
        <v>3766</v>
      </c>
      <c r="G177" s="40" t="s">
        <v>393</v>
      </c>
      <c r="H177" s="40" t="s">
        <v>3767</v>
      </c>
      <c r="I177" s="40" t="s">
        <v>3740</v>
      </c>
      <c r="J177" s="40" t="s">
        <v>318</v>
      </c>
      <c r="K177" s="40" t="s">
        <v>318</v>
      </c>
      <c r="L177" s="40" t="s">
        <v>879</v>
      </c>
      <c r="M177" s="40" t="s">
        <v>393</v>
      </c>
      <c r="N177" s="40" t="s">
        <v>3681</v>
      </c>
      <c r="O177" s="40" t="s">
        <v>3682</v>
      </c>
      <c r="P177" s="40" t="s">
        <v>2685</v>
      </c>
      <c r="Q177" s="40" t="s">
        <v>2706</v>
      </c>
      <c r="R177" s="40" t="s">
        <v>2924</v>
      </c>
      <c r="S177" s="40" t="s">
        <v>3341</v>
      </c>
      <c r="T177" s="40" t="s">
        <v>393</v>
      </c>
      <c r="U177" s="40" t="s">
        <v>393</v>
      </c>
      <c r="V177" s="40" t="s">
        <v>393</v>
      </c>
      <c r="W177" s="40" t="s">
        <v>393</v>
      </c>
      <c r="X177" s="40" t="s">
        <v>393</v>
      </c>
      <c r="Y177" s="40" t="s">
        <v>3685</v>
      </c>
      <c r="Z177" s="40" t="s">
        <v>505</v>
      </c>
      <c r="AA177" s="40" t="s">
        <v>393</v>
      </c>
      <c r="AB177" s="40" t="s">
        <v>393</v>
      </c>
      <c r="AC177" s="40" t="s">
        <v>3685</v>
      </c>
      <c r="AD177" s="40" t="s">
        <v>490</v>
      </c>
      <c r="AE177" s="40" t="s">
        <v>364</v>
      </c>
      <c r="AF177" s="40" t="s">
        <v>2870</v>
      </c>
      <c r="AG177" s="40" t="s">
        <v>393</v>
      </c>
      <c r="AH177" s="40" t="s">
        <v>2813</v>
      </c>
      <c r="AI177" s="40" t="s">
        <v>2813</v>
      </c>
      <c r="AJ177" s="40" t="s">
        <v>3700</v>
      </c>
      <c r="AK177" s="40" t="s">
        <v>442</v>
      </c>
      <c r="AL177" s="40" t="s">
        <v>442</v>
      </c>
      <c r="AM177" s="40" t="s">
        <v>393</v>
      </c>
      <c r="AN177" s="40" t="s">
        <v>393</v>
      </c>
      <c r="AO177" s="36" t="s">
        <v>393</v>
      </c>
    </row>
    <row r="178" spans="1:41">
      <c r="A178" s="40" t="s">
        <v>2677</v>
      </c>
      <c r="B178" s="40" t="s">
        <v>3677</v>
      </c>
      <c r="C178" s="40" t="s">
        <v>623</v>
      </c>
      <c r="D178" s="40" t="s">
        <v>3678</v>
      </c>
      <c r="E178" s="40" t="s">
        <v>1850</v>
      </c>
      <c r="F178" s="40" t="s">
        <v>3768</v>
      </c>
      <c r="G178" s="40" t="s">
        <v>393</v>
      </c>
      <c r="H178" s="40" t="s">
        <v>3769</v>
      </c>
      <c r="I178" s="40" t="s">
        <v>3740</v>
      </c>
      <c r="J178" s="40" t="s">
        <v>318</v>
      </c>
      <c r="K178" s="40" t="s">
        <v>318</v>
      </c>
      <c r="L178" s="40" t="s">
        <v>879</v>
      </c>
      <c r="M178" s="40" t="s">
        <v>393</v>
      </c>
      <c r="N178" s="40" t="s">
        <v>3681</v>
      </c>
      <c r="O178" s="40" t="s">
        <v>3682</v>
      </c>
      <c r="P178" s="40" t="s">
        <v>2685</v>
      </c>
      <c r="Q178" s="40" t="s">
        <v>2706</v>
      </c>
      <c r="R178" s="40" t="s">
        <v>2791</v>
      </c>
      <c r="S178" s="40" t="s">
        <v>3741</v>
      </c>
      <c r="T178" s="40" t="s">
        <v>393</v>
      </c>
      <c r="U178" s="40" t="s">
        <v>393</v>
      </c>
      <c r="V178" s="40" t="s">
        <v>393</v>
      </c>
      <c r="W178" s="40" t="s">
        <v>393</v>
      </c>
      <c r="X178" s="40" t="s">
        <v>393</v>
      </c>
      <c r="Y178" s="40" t="s">
        <v>3685</v>
      </c>
      <c r="Z178" s="40" t="s">
        <v>505</v>
      </c>
      <c r="AA178" s="40" t="s">
        <v>393</v>
      </c>
      <c r="AB178" s="40" t="s">
        <v>393</v>
      </c>
      <c r="AC178" s="40" t="s">
        <v>3685</v>
      </c>
      <c r="AD178" s="40" t="s">
        <v>490</v>
      </c>
      <c r="AE178" s="40" t="s">
        <v>364</v>
      </c>
      <c r="AF178" s="40" t="s">
        <v>2870</v>
      </c>
      <c r="AG178" s="40" t="s">
        <v>393</v>
      </c>
      <c r="AH178" s="40" t="s">
        <v>2842</v>
      </c>
      <c r="AI178" s="40" t="s">
        <v>3699</v>
      </c>
      <c r="AJ178" s="40" t="s">
        <v>3700</v>
      </c>
      <c r="AK178" s="40" t="s">
        <v>505</v>
      </c>
      <c r="AL178" s="40" t="s">
        <v>505</v>
      </c>
      <c r="AM178" s="40" t="s">
        <v>393</v>
      </c>
      <c r="AN178" s="40" t="s">
        <v>393</v>
      </c>
      <c r="AO178" s="36" t="s">
        <v>393</v>
      </c>
    </row>
    <row r="179" spans="1:41">
      <c r="A179" s="40" t="s">
        <v>2677</v>
      </c>
      <c r="B179" s="40" t="s">
        <v>3677</v>
      </c>
      <c r="C179" s="40" t="s">
        <v>623</v>
      </c>
      <c r="D179" s="40" t="s">
        <v>3678</v>
      </c>
      <c r="E179" s="40" t="s">
        <v>1850</v>
      </c>
      <c r="F179" s="40" t="s">
        <v>3770</v>
      </c>
      <c r="G179" s="40" t="s">
        <v>393</v>
      </c>
      <c r="H179" s="40" t="s">
        <v>3771</v>
      </c>
      <c r="I179" s="40" t="s">
        <v>3740</v>
      </c>
      <c r="J179" s="40" t="s">
        <v>318</v>
      </c>
      <c r="K179" s="40" t="s">
        <v>318</v>
      </c>
      <c r="L179" s="40" t="s">
        <v>879</v>
      </c>
      <c r="M179" s="40" t="s">
        <v>393</v>
      </c>
      <c r="N179" s="40" t="s">
        <v>3681</v>
      </c>
      <c r="O179" s="40" t="s">
        <v>3682</v>
      </c>
      <c r="P179" s="40" t="s">
        <v>2685</v>
      </c>
      <c r="Q179" s="40" t="s">
        <v>2706</v>
      </c>
      <c r="R179" s="40" t="s">
        <v>2791</v>
      </c>
      <c r="S179" s="40" t="s">
        <v>3741</v>
      </c>
      <c r="T179" s="40" t="s">
        <v>393</v>
      </c>
      <c r="U179" s="40" t="s">
        <v>393</v>
      </c>
      <c r="V179" s="40" t="s">
        <v>393</v>
      </c>
      <c r="W179" s="40" t="s">
        <v>393</v>
      </c>
      <c r="X179" s="40" t="s">
        <v>393</v>
      </c>
      <c r="Y179" s="40" t="s">
        <v>3685</v>
      </c>
      <c r="Z179" s="40" t="s">
        <v>505</v>
      </c>
      <c r="AA179" s="40" t="s">
        <v>393</v>
      </c>
      <c r="AB179" s="40" t="s">
        <v>393</v>
      </c>
      <c r="AC179" s="40" t="s">
        <v>3685</v>
      </c>
      <c r="AD179" s="40" t="s">
        <v>490</v>
      </c>
      <c r="AE179" s="40" t="s">
        <v>364</v>
      </c>
      <c r="AF179" s="40" t="s">
        <v>2870</v>
      </c>
      <c r="AG179" s="40" t="s">
        <v>393</v>
      </c>
      <c r="AH179" s="40" t="s">
        <v>2842</v>
      </c>
      <c r="AI179" s="40" t="s">
        <v>3699</v>
      </c>
      <c r="AJ179" s="40" t="s">
        <v>3700</v>
      </c>
      <c r="AK179" s="40" t="s">
        <v>505</v>
      </c>
      <c r="AL179" s="40" t="s">
        <v>505</v>
      </c>
      <c r="AM179" s="40" t="s">
        <v>393</v>
      </c>
      <c r="AN179" s="40" t="s">
        <v>393</v>
      </c>
      <c r="AO179" s="36" t="s">
        <v>393</v>
      </c>
    </row>
    <row r="180" spans="1:41">
      <c r="A180" s="40" t="s">
        <v>2677</v>
      </c>
      <c r="B180" s="40" t="s">
        <v>3677</v>
      </c>
      <c r="C180" s="40" t="s">
        <v>623</v>
      </c>
      <c r="D180" s="40" t="s">
        <v>2866</v>
      </c>
      <c r="E180" s="40" t="s">
        <v>1850</v>
      </c>
      <c r="F180" s="40" t="s">
        <v>2680</v>
      </c>
      <c r="G180" s="40" t="s">
        <v>393</v>
      </c>
      <c r="H180" s="40" t="s">
        <v>3772</v>
      </c>
      <c r="I180" s="40" t="s">
        <v>3773</v>
      </c>
      <c r="J180" s="40" t="s">
        <v>318</v>
      </c>
      <c r="K180" s="40" t="s">
        <v>318</v>
      </c>
      <c r="L180" s="40" t="s">
        <v>879</v>
      </c>
      <c r="M180" s="40" t="s">
        <v>393</v>
      </c>
      <c r="N180" s="40" t="s">
        <v>3681</v>
      </c>
      <c r="O180" s="40" t="s">
        <v>2867</v>
      </c>
      <c r="P180" s="40" t="s">
        <v>2685</v>
      </c>
      <c r="Q180" s="40" t="s">
        <v>2706</v>
      </c>
      <c r="R180" s="40" t="s">
        <v>807</v>
      </c>
      <c r="S180" s="40" t="s">
        <v>2815</v>
      </c>
      <c r="T180" s="40" t="s">
        <v>393</v>
      </c>
      <c r="U180" s="40" t="s">
        <v>393</v>
      </c>
      <c r="V180" s="40" t="s">
        <v>393</v>
      </c>
      <c r="W180" s="40" t="s">
        <v>393</v>
      </c>
      <c r="X180" s="40" t="s">
        <v>393</v>
      </c>
      <c r="Y180" s="40" t="s">
        <v>393</v>
      </c>
      <c r="Z180" s="40" t="s">
        <v>393</v>
      </c>
      <c r="AA180" s="40" t="s">
        <v>393</v>
      </c>
      <c r="AB180" s="40" t="s">
        <v>393</v>
      </c>
      <c r="AC180" s="40" t="s">
        <v>393</v>
      </c>
      <c r="AD180" s="40" t="s">
        <v>393</v>
      </c>
      <c r="AE180" s="40" t="s">
        <v>3774</v>
      </c>
      <c r="AF180" s="40" t="s">
        <v>3774</v>
      </c>
      <c r="AG180" s="40" t="s">
        <v>393</v>
      </c>
      <c r="AH180" s="40" t="s">
        <v>354</v>
      </c>
      <c r="AI180" s="40" t="s">
        <v>1938</v>
      </c>
      <c r="AJ180" s="40" t="s">
        <v>2870</v>
      </c>
      <c r="AK180" s="40" t="s">
        <v>435</v>
      </c>
      <c r="AL180" s="40" t="s">
        <v>435</v>
      </c>
      <c r="AM180" s="40" t="s">
        <v>393</v>
      </c>
      <c r="AN180" s="40" t="s">
        <v>393</v>
      </c>
      <c r="AO180" s="36" t="s">
        <v>3775</v>
      </c>
    </row>
    <row r="181" spans="1:41">
      <c r="A181" s="40" t="s">
        <v>2677</v>
      </c>
      <c r="B181" s="40" t="s">
        <v>3677</v>
      </c>
      <c r="C181" s="40" t="s">
        <v>623</v>
      </c>
      <c r="D181" s="40" t="s">
        <v>2866</v>
      </c>
      <c r="E181" s="40" t="s">
        <v>1850</v>
      </c>
      <c r="F181" s="40" t="s">
        <v>2782</v>
      </c>
      <c r="G181" s="40" t="s">
        <v>393</v>
      </c>
      <c r="H181" s="40" t="s">
        <v>3776</v>
      </c>
      <c r="I181" s="40" t="s">
        <v>3777</v>
      </c>
      <c r="J181" s="40" t="s">
        <v>318</v>
      </c>
      <c r="K181" s="40" t="s">
        <v>318</v>
      </c>
      <c r="L181" s="40" t="s">
        <v>879</v>
      </c>
      <c r="M181" s="40" t="s">
        <v>393</v>
      </c>
      <c r="N181" s="40" t="s">
        <v>3681</v>
      </c>
      <c r="O181" s="40" t="s">
        <v>2867</v>
      </c>
      <c r="P181" s="40" t="s">
        <v>2685</v>
      </c>
      <c r="Q181" s="40" t="s">
        <v>2706</v>
      </c>
      <c r="R181" s="40" t="s">
        <v>2894</v>
      </c>
      <c r="S181" s="40" t="s">
        <v>2790</v>
      </c>
      <c r="T181" s="40" t="s">
        <v>393</v>
      </c>
      <c r="U181" s="40" t="s">
        <v>393</v>
      </c>
      <c r="V181" s="40" t="s">
        <v>393</v>
      </c>
      <c r="W181" s="40" t="s">
        <v>393</v>
      </c>
      <c r="X181" s="40" t="s">
        <v>393</v>
      </c>
      <c r="Y181" s="40" t="s">
        <v>393</v>
      </c>
      <c r="Z181" s="40" t="s">
        <v>393</v>
      </c>
      <c r="AA181" s="40" t="s">
        <v>393</v>
      </c>
      <c r="AB181" s="40" t="s">
        <v>393</v>
      </c>
      <c r="AC181" s="40" t="s">
        <v>393</v>
      </c>
      <c r="AD181" s="40" t="s">
        <v>393</v>
      </c>
      <c r="AE181" s="40" t="s">
        <v>753</v>
      </c>
      <c r="AF181" s="40" t="s">
        <v>753</v>
      </c>
      <c r="AG181" s="40" t="s">
        <v>393</v>
      </c>
      <c r="AH181" s="40" t="s">
        <v>354</v>
      </c>
      <c r="AI181" s="40" t="s">
        <v>354</v>
      </c>
      <c r="AJ181" s="40" t="s">
        <v>2870</v>
      </c>
      <c r="AK181" s="40" t="s">
        <v>371</v>
      </c>
      <c r="AL181" s="40" t="s">
        <v>371</v>
      </c>
      <c r="AM181" s="40" t="s">
        <v>393</v>
      </c>
      <c r="AN181" s="40" t="s">
        <v>393</v>
      </c>
      <c r="AO181" s="36" t="s">
        <v>3778</v>
      </c>
    </row>
    <row r="182" spans="1:41">
      <c r="A182" s="40" t="s">
        <v>2677</v>
      </c>
      <c r="B182" s="40" t="s">
        <v>3677</v>
      </c>
      <c r="C182" s="40" t="s">
        <v>623</v>
      </c>
      <c r="D182" s="40" t="s">
        <v>2866</v>
      </c>
      <c r="E182" s="40" t="s">
        <v>1850</v>
      </c>
      <c r="F182" s="40" t="s">
        <v>2740</v>
      </c>
      <c r="G182" s="40" t="s">
        <v>393</v>
      </c>
      <c r="H182" s="40" t="s">
        <v>3779</v>
      </c>
      <c r="I182" s="40" t="s">
        <v>3780</v>
      </c>
      <c r="J182" s="40" t="s">
        <v>318</v>
      </c>
      <c r="K182" s="40" t="s">
        <v>318</v>
      </c>
      <c r="L182" s="40" t="s">
        <v>879</v>
      </c>
      <c r="M182" s="40" t="s">
        <v>393</v>
      </c>
      <c r="N182" s="40" t="s">
        <v>3681</v>
      </c>
      <c r="O182" s="40" t="s">
        <v>2867</v>
      </c>
      <c r="P182" s="40" t="s">
        <v>2685</v>
      </c>
      <c r="Q182" s="40" t="s">
        <v>2706</v>
      </c>
      <c r="R182" s="40" t="s">
        <v>3085</v>
      </c>
      <c r="S182" s="40" t="s">
        <v>2871</v>
      </c>
      <c r="T182" s="40" t="s">
        <v>393</v>
      </c>
      <c r="U182" s="40" t="s">
        <v>393</v>
      </c>
      <c r="V182" s="40" t="s">
        <v>393</v>
      </c>
      <c r="W182" s="40" t="s">
        <v>393</v>
      </c>
      <c r="X182" s="40" t="s">
        <v>393</v>
      </c>
      <c r="Y182" s="40" t="s">
        <v>393</v>
      </c>
      <c r="Z182" s="40" t="s">
        <v>393</v>
      </c>
      <c r="AA182" s="40" t="s">
        <v>393</v>
      </c>
      <c r="AB182" s="40" t="s">
        <v>393</v>
      </c>
      <c r="AC182" s="40" t="s">
        <v>393</v>
      </c>
      <c r="AD182" s="40" t="s">
        <v>393</v>
      </c>
      <c r="AE182" s="40" t="s">
        <v>613</v>
      </c>
      <c r="AF182" s="40" t="s">
        <v>613</v>
      </c>
      <c r="AG182" s="40" t="s">
        <v>393</v>
      </c>
      <c r="AH182" s="40" t="s">
        <v>354</v>
      </c>
      <c r="AI182" s="40" t="s">
        <v>354</v>
      </c>
      <c r="AJ182" s="40" t="s">
        <v>2870</v>
      </c>
      <c r="AK182" s="40" t="s">
        <v>371</v>
      </c>
      <c r="AL182" s="40" t="s">
        <v>371</v>
      </c>
      <c r="AM182" s="40" t="s">
        <v>393</v>
      </c>
      <c r="AN182" s="40" t="s">
        <v>393</v>
      </c>
      <c r="AO182" s="36" t="s">
        <v>393</v>
      </c>
    </row>
    <row r="183" spans="1:41">
      <c r="A183" s="40" t="s">
        <v>2677</v>
      </c>
      <c r="B183" s="40" t="s">
        <v>3677</v>
      </c>
      <c r="C183" s="40" t="s">
        <v>623</v>
      </c>
      <c r="D183" s="40" t="s">
        <v>2866</v>
      </c>
      <c r="E183" s="40" t="s">
        <v>1850</v>
      </c>
      <c r="F183" s="40" t="s">
        <v>2920</v>
      </c>
      <c r="G183" s="40" t="s">
        <v>393</v>
      </c>
      <c r="H183" s="40" t="s">
        <v>3781</v>
      </c>
      <c r="I183" s="40" t="s">
        <v>3782</v>
      </c>
      <c r="J183" s="40" t="s">
        <v>318</v>
      </c>
      <c r="K183" s="40" t="s">
        <v>318</v>
      </c>
      <c r="L183" s="40" t="s">
        <v>879</v>
      </c>
      <c r="M183" s="40" t="s">
        <v>393</v>
      </c>
      <c r="N183" s="40" t="s">
        <v>3681</v>
      </c>
      <c r="O183" s="40" t="s">
        <v>2867</v>
      </c>
      <c r="P183" s="40" t="s">
        <v>2685</v>
      </c>
      <c r="Q183" s="40" t="s">
        <v>2706</v>
      </c>
      <c r="R183" s="40" t="s">
        <v>2758</v>
      </c>
      <c r="S183" s="40" t="s">
        <v>2871</v>
      </c>
      <c r="T183" s="40" t="s">
        <v>393</v>
      </c>
      <c r="U183" s="40" t="s">
        <v>393</v>
      </c>
      <c r="V183" s="40" t="s">
        <v>393</v>
      </c>
      <c r="W183" s="40" t="s">
        <v>393</v>
      </c>
      <c r="X183" s="40" t="s">
        <v>393</v>
      </c>
      <c r="Y183" s="40" t="s">
        <v>393</v>
      </c>
      <c r="Z183" s="40" t="s">
        <v>393</v>
      </c>
      <c r="AA183" s="40" t="s">
        <v>393</v>
      </c>
      <c r="AB183" s="40" t="s">
        <v>393</v>
      </c>
      <c r="AC183" s="40" t="s">
        <v>393</v>
      </c>
      <c r="AD183" s="40" t="s">
        <v>393</v>
      </c>
      <c r="AE183" s="40" t="s">
        <v>753</v>
      </c>
      <c r="AF183" s="40" t="s">
        <v>753</v>
      </c>
      <c r="AG183" s="40" t="s">
        <v>393</v>
      </c>
      <c r="AH183" s="40" t="s">
        <v>1938</v>
      </c>
      <c r="AI183" s="40" t="s">
        <v>1938</v>
      </c>
      <c r="AJ183" s="40" t="s">
        <v>354</v>
      </c>
      <c r="AK183" s="40" t="s">
        <v>448</v>
      </c>
      <c r="AL183" s="40" t="s">
        <v>448</v>
      </c>
      <c r="AM183" s="40" t="s">
        <v>393</v>
      </c>
      <c r="AN183" s="40" t="s">
        <v>393</v>
      </c>
      <c r="AO183" s="36" t="s">
        <v>393</v>
      </c>
    </row>
    <row r="184" spans="1:41">
      <c r="A184" s="40" t="s">
        <v>2677</v>
      </c>
      <c r="B184" s="40" t="s">
        <v>3677</v>
      </c>
      <c r="C184" s="40" t="s">
        <v>623</v>
      </c>
      <c r="D184" s="40" t="s">
        <v>2866</v>
      </c>
      <c r="E184" s="40" t="s">
        <v>1850</v>
      </c>
      <c r="F184" s="40" t="s">
        <v>3293</v>
      </c>
      <c r="G184" s="40" t="s">
        <v>393</v>
      </c>
      <c r="H184" s="40" t="s">
        <v>3783</v>
      </c>
      <c r="I184" s="40" t="s">
        <v>3784</v>
      </c>
      <c r="J184" s="40" t="s">
        <v>318</v>
      </c>
      <c r="K184" s="40" t="s">
        <v>318</v>
      </c>
      <c r="L184" s="40" t="s">
        <v>879</v>
      </c>
      <c r="M184" s="40" t="s">
        <v>393</v>
      </c>
      <c r="N184" s="40" t="s">
        <v>3681</v>
      </c>
      <c r="O184" s="40" t="s">
        <v>2867</v>
      </c>
      <c r="P184" s="40" t="s">
        <v>2685</v>
      </c>
      <c r="Q184" s="40" t="s">
        <v>2706</v>
      </c>
      <c r="R184" s="40" t="s">
        <v>2925</v>
      </c>
      <c r="S184" s="40" t="s">
        <v>3383</v>
      </c>
      <c r="T184" s="40" t="s">
        <v>393</v>
      </c>
      <c r="U184" s="40" t="s">
        <v>393</v>
      </c>
      <c r="V184" s="40" t="s">
        <v>393</v>
      </c>
      <c r="W184" s="40" t="s">
        <v>393</v>
      </c>
      <c r="X184" s="40" t="s">
        <v>393</v>
      </c>
      <c r="Y184" s="40" t="s">
        <v>393</v>
      </c>
      <c r="Z184" s="40" t="s">
        <v>393</v>
      </c>
      <c r="AA184" s="40" t="s">
        <v>393</v>
      </c>
      <c r="AB184" s="40" t="s">
        <v>393</v>
      </c>
      <c r="AC184" s="40" t="s">
        <v>393</v>
      </c>
      <c r="AD184" s="40" t="s">
        <v>393</v>
      </c>
      <c r="AE184" s="40" t="s">
        <v>3785</v>
      </c>
      <c r="AF184" s="40" t="s">
        <v>3785</v>
      </c>
      <c r="AG184" s="40" t="s">
        <v>393</v>
      </c>
      <c r="AH184" s="40" t="s">
        <v>354</v>
      </c>
      <c r="AI184" s="40" t="s">
        <v>3786</v>
      </c>
      <c r="AJ184" s="40" t="s">
        <v>3786</v>
      </c>
      <c r="AK184" s="40" t="s">
        <v>360</v>
      </c>
      <c r="AL184" s="40" t="s">
        <v>345</v>
      </c>
      <c r="AM184" s="40" t="s">
        <v>393</v>
      </c>
      <c r="AN184" s="40" t="s">
        <v>393</v>
      </c>
      <c r="AO184" s="36" t="s">
        <v>393</v>
      </c>
    </row>
    <row r="185" spans="1:41">
      <c r="A185" s="40" t="s">
        <v>2677</v>
      </c>
      <c r="B185" s="40" t="s">
        <v>3677</v>
      </c>
      <c r="C185" s="40" t="s">
        <v>623</v>
      </c>
      <c r="D185" s="40" t="s">
        <v>2866</v>
      </c>
      <c r="E185" s="40" t="s">
        <v>1850</v>
      </c>
      <c r="F185" s="40" t="s">
        <v>3349</v>
      </c>
      <c r="G185" s="40" t="s">
        <v>393</v>
      </c>
      <c r="H185" s="40" t="s">
        <v>3787</v>
      </c>
      <c r="I185" s="40" t="s">
        <v>3788</v>
      </c>
      <c r="J185" s="40" t="s">
        <v>318</v>
      </c>
      <c r="K185" s="40" t="s">
        <v>318</v>
      </c>
      <c r="L185" s="40" t="s">
        <v>879</v>
      </c>
      <c r="M185" s="40" t="s">
        <v>393</v>
      </c>
      <c r="N185" s="40" t="s">
        <v>3681</v>
      </c>
      <c r="O185" s="40" t="s">
        <v>2867</v>
      </c>
      <c r="P185" s="40" t="s">
        <v>2685</v>
      </c>
      <c r="Q185" s="40" t="s">
        <v>2706</v>
      </c>
      <c r="R185" s="40" t="s">
        <v>2925</v>
      </c>
      <c r="S185" s="40" t="s">
        <v>3789</v>
      </c>
      <c r="T185" s="40" t="s">
        <v>393</v>
      </c>
      <c r="U185" s="40" t="s">
        <v>393</v>
      </c>
      <c r="V185" s="40" t="s">
        <v>393</v>
      </c>
      <c r="W185" s="40" t="s">
        <v>393</v>
      </c>
      <c r="X185" s="40" t="s">
        <v>393</v>
      </c>
      <c r="Y185" s="40" t="s">
        <v>393</v>
      </c>
      <c r="Z185" s="40" t="s">
        <v>393</v>
      </c>
      <c r="AA185" s="40" t="s">
        <v>393</v>
      </c>
      <c r="AB185" s="40" t="s">
        <v>393</v>
      </c>
      <c r="AC185" s="40" t="s">
        <v>393</v>
      </c>
      <c r="AD185" s="40" t="s">
        <v>393</v>
      </c>
      <c r="AE185" s="40" t="s">
        <v>3785</v>
      </c>
      <c r="AF185" s="40" t="s">
        <v>3785</v>
      </c>
      <c r="AG185" s="40" t="s">
        <v>393</v>
      </c>
      <c r="AH185" s="40" t="s">
        <v>354</v>
      </c>
      <c r="AI185" s="40" t="s">
        <v>3786</v>
      </c>
      <c r="AJ185" s="40" t="s">
        <v>3786</v>
      </c>
      <c r="AK185" s="40" t="s">
        <v>360</v>
      </c>
      <c r="AL185" s="40" t="s">
        <v>345</v>
      </c>
      <c r="AM185" s="40" t="s">
        <v>393</v>
      </c>
      <c r="AN185" s="40" t="s">
        <v>393</v>
      </c>
      <c r="AO185" s="36" t="s">
        <v>3790</v>
      </c>
    </row>
    <row r="186" spans="1:41">
      <c r="A186" s="40" t="s">
        <v>2677</v>
      </c>
      <c r="B186" s="40" t="s">
        <v>3677</v>
      </c>
      <c r="C186" s="40" t="s">
        <v>623</v>
      </c>
      <c r="D186" s="40" t="s">
        <v>2866</v>
      </c>
      <c r="E186" s="40" t="s">
        <v>1850</v>
      </c>
      <c r="F186" s="40" t="s">
        <v>2888</v>
      </c>
      <c r="G186" s="40" t="s">
        <v>393</v>
      </c>
      <c r="H186" s="40" t="s">
        <v>3791</v>
      </c>
      <c r="I186" s="40" t="s">
        <v>3792</v>
      </c>
      <c r="J186" s="40" t="s">
        <v>318</v>
      </c>
      <c r="K186" s="40" t="s">
        <v>318</v>
      </c>
      <c r="L186" s="40" t="s">
        <v>879</v>
      </c>
      <c r="M186" s="40" t="s">
        <v>393</v>
      </c>
      <c r="N186" s="40" t="s">
        <v>3681</v>
      </c>
      <c r="O186" s="40" t="s">
        <v>2867</v>
      </c>
      <c r="P186" s="40" t="s">
        <v>2685</v>
      </c>
      <c r="Q186" s="40" t="s">
        <v>2706</v>
      </c>
      <c r="R186" s="40" t="s">
        <v>3120</v>
      </c>
      <c r="S186" s="40" t="s">
        <v>3793</v>
      </c>
      <c r="T186" s="40" t="s">
        <v>393</v>
      </c>
      <c r="U186" s="40" t="s">
        <v>393</v>
      </c>
      <c r="V186" s="40" t="s">
        <v>393</v>
      </c>
      <c r="W186" s="40" t="s">
        <v>393</v>
      </c>
      <c r="X186" s="40" t="s">
        <v>393</v>
      </c>
      <c r="Y186" s="40" t="s">
        <v>393</v>
      </c>
      <c r="Z186" s="40" t="s">
        <v>393</v>
      </c>
      <c r="AA186" s="40" t="s">
        <v>393</v>
      </c>
      <c r="AB186" s="40" t="s">
        <v>393</v>
      </c>
      <c r="AC186" s="40" t="s">
        <v>393</v>
      </c>
      <c r="AD186" s="40" t="s">
        <v>393</v>
      </c>
      <c r="AE186" s="40" t="s">
        <v>3120</v>
      </c>
      <c r="AF186" s="40" t="s">
        <v>3120</v>
      </c>
      <c r="AG186" s="40" t="s">
        <v>393</v>
      </c>
      <c r="AH186" s="40" t="s">
        <v>354</v>
      </c>
      <c r="AI186" s="40" t="s">
        <v>354</v>
      </c>
      <c r="AJ186" s="40" t="s">
        <v>2870</v>
      </c>
      <c r="AK186" s="40" t="s">
        <v>371</v>
      </c>
      <c r="AL186" s="40" t="s">
        <v>371</v>
      </c>
      <c r="AM186" s="40" t="s">
        <v>393</v>
      </c>
      <c r="AN186" s="40" t="s">
        <v>393</v>
      </c>
      <c r="AO186" s="36" t="s">
        <v>3794</v>
      </c>
    </row>
    <row r="187" spans="1:41">
      <c r="A187" s="40" t="s">
        <v>2677</v>
      </c>
      <c r="B187" s="40" t="s">
        <v>3677</v>
      </c>
      <c r="C187" s="40" t="s">
        <v>623</v>
      </c>
      <c r="D187" s="40" t="s">
        <v>2866</v>
      </c>
      <c r="E187" s="40" t="s">
        <v>1850</v>
      </c>
      <c r="F187" s="40" t="s">
        <v>3623</v>
      </c>
      <c r="G187" s="40" t="s">
        <v>393</v>
      </c>
      <c r="H187" s="40" t="s">
        <v>3795</v>
      </c>
      <c r="I187" s="40" t="s">
        <v>3796</v>
      </c>
      <c r="J187" s="40" t="s">
        <v>318</v>
      </c>
      <c r="K187" s="40" t="s">
        <v>318</v>
      </c>
      <c r="L187" s="40" t="s">
        <v>879</v>
      </c>
      <c r="M187" s="40" t="s">
        <v>393</v>
      </c>
      <c r="N187" s="40" t="s">
        <v>3681</v>
      </c>
      <c r="O187" s="40" t="s">
        <v>2867</v>
      </c>
      <c r="P187" s="40" t="s">
        <v>2685</v>
      </c>
      <c r="Q187" s="40" t="s">
        <v>2706</v>
      </c>
      <c r="R187" s="40" t="s">
        <v>3334</v>
      </c>
      <c r="S187" s="40" t="s">
        <v>2790</v>
      </c>
      <c r="T187" s="40" t="s">
        <v>393</v>
      </c>
      <c r="U187" s="40" t="s">
        <v>393</v>
      </c>
      <c r="V187" s="40" t="s">
        <v>393</v>
      </c>
      <c r="W187" s="40" t="s">
        <v>393</v>
      </c>
      <c r="X187" s="40" t="s">
        <v>393</v>
      </c>
      <c r="Y187" s="40" t="s">
        <v>393</v>
      </c>
      <c r="Z187" s="40" t="s">
        <v>393</v>
      </c>
      <c r="AA187" s="40" t="s">
        <v>393</v>
      </c>
      <c r="AB187" s="40" t="s">
        <v>393</v>
      </c>
      <c r="AC187" s="40" t="s">
        <v>393</v>
      </c>
      <c r="AD187" s="40" t="s">
        <v>393</v>
      </c>
      <c r="AE187" s="40" t="s">
        <v>3334</v>
      </c>
      <c r="AF187" s="40" t="s">
        <v>3334</v>
      </c>
      <c r="AG187" s="40" t="s">
        <v>393</v>
      </c>
      <c r="AH187" s="40" t="s">
        <v>354</v>
      </c>
      <c r="AI187" s="40" t="s">
        <v>354</v>
      </c>
      <c r="AJ187" s="40" t="s">
        <v>3786</v>
      </c>
      <c r="AK187" s="40" t="s">
        <v>360</v>
      </c>
      <c r="AL187" s="40" t="s">
        <v>360</v>
      </c>
      <c r="AM187" s="40" t="s">
        <v>393</v>
      </c>
      <c r="AN187" s="40" t="s">
        <v>393</v>
      </c>
      <c r="AO187" s="36" t="s">
        <v>3797</v>
      </c>
    </row>
    <row r="188" spans="1:41">
      <c r="A188" s="40" t="s">
        <v>2677</v>
      </c>
      <c r="B188" s="40" t="s">
        <v>3677</v>
      </c>
      <c r="C188" s="40" t="s">
        <v>623</v>
      </c>
      <c r="D188" s="40" t="s">
        <v>2866</v>
      </c>
      <c r="E188" s="40" t="s">
        <v>1850</v>
      </c>
      <c r="F188" s="40" t="s">
        <v>3625</v>
      </c>
      <c r="G188" s="40" t="s">
        <v>393</v>
      </c>
      <c r="H188" s="40" t="s">
        <v>3798</v>
      </c>
      <c r="I188" s="40" t="s">
        <v>3799</v>
      </c>
      <c r="J188" s="40" t="s">
        <v>318</v>
      </c>
      <c r="K188" s="40" t="s">
        <v>318</v>
      </c>
      <c r="L188" s="40" t="s">
        <v>879</v>
      </c>
      <c r="M188" s="40" t="s">
        <v>393</v>
      </c>
      <c r="N188" s="40" t="s">
        <v>3681</v>
      </c>
      <c r="O188" s="40" t="s">
        <v>2867</v>
      </c>
      <c r="P188" s="40" t="s">
        <v>2685</v>
      </c>
      <c r="Q188" s="40" t="s">
        <v>2706</v>
      </c>
      <c r="R188" s="40" t="s">
        <v>305</v>
      </c>
      <c r="S188" s="40" t="s">
        <v>3800</v>
      </c>
      <c r="T188" s="40" t="s">
        <v>393</v>
      </c>
      <c r="U188" s="40" t="s">
        <v>393</v>
      </c>
      <c r="V188" s="40" t="s">
        <v>393</v>
      </c>
      <c r="W188" s="40" t="s">
        <v>393</v>
      </c>
      <c r="X188" s="40" t="s">
        <v>393</v>
      </c>
      <c r="Y188" s="40" t="s">
        <v>393</v>
      </c>
      <c r="Z188" s="40" t="s">
        <v>393</v>
      </c>
      <c r="AA188" s="40" t="s">
        <v>393</v>
      </c>
      <c r="AB188" s="40" t="s">
        <v>393</v>
      </c>
      <c r="AC188" s="40" t="s">
        <v>393</v>
      </c>
      <c r="AD188" s="40" t="s">
        <v>393</v>
      </c>
      <c r="AE188" s="40" t="s">
        <v>305</v>
      </c>
      <c r="AF188" s="40" t="s">
        <v>305</v>
      </c>
      <c r="AG188" s="40" t="s">
        <v>393</v>
      </c>
      <c r="AH188" s="40" t="s">
        <v>354</v>
      </c>
      <c r="AI188" s="40" t="s">
        <v>354</v>
      </c>
      <c r="AJ188" s="40" t="s">
        <v>3786</v>
      </c>
      <c r="AK188" s="40" t="s">
        <v>360</v>
      </c>
      <c r="AL188" s="40" t="s">
        <v>360</v>
      </c>
      <c r="AM188" s="40" t="s">
        <v>393</v>
      </c>
      <c r="AN188" s="40" t="s">
        <v>393</v>
      </c>
      <c r="AO188" s="36" t="s">
        <v>3801</v>
      </c>
    </row>
    <row r="189" spans="1:41">
      <c r="A189" s="40" t="s">
        <v>2677</v>
      </c>
      <c r="B189" s="40" t="s">
        <v>3802</v>
      </c>
      <c r="C189" s="40" t="s">
        <v>623</v>
      </c>
      <c r="D189" s="40" t="s">
        <v>2866</v>
      </c>
      <c r="E189" s="40" t="s">
        <v>1850</v>
      </c>
      <c r="F189" s="40" t="s">
        <v>3715</v>
      </c>
      <c r="G189" s="40" t="s">
        <v>393</v>
      </c>
      <c r="H189" s="40" t="s">
        <v>3803</v>
      </c>
      <c r="I189" s="40" t="s">
        <v>3804</v>
      </c>
      <c r="J189" s="40" t="s">
        <v>318</v>
      </c>
      <c r="K189" s="40" t="s">
        <v>318</v>
      </c>
      <c r="L189" s="40" t="s">
        <v>879</v>
      </c>
      <c r="M189" s="40" t="s">
        <v>393</v>
      </c>
      <c r="N189" s="40" t="s">
        <v>3681</v>
      </c>
      <c r="O189" s="40" t="s">
        <v>2867</v>
      </c>
      <c r="P189" s="40" t="s">
        <v>2685</v>
      </c>
      <c r="Q189" s="40" t="s">
        <v>2706</v>
      </c>
      <c r="R189" s="40" t="s">
        <v>3805</v>
      </c>
      <c r="S189" s="40" t="s">
        <v>3806</v>
      </c>
      <c r="T189" s="40" t="s">
        <v>393</v>
      </c>
      <c r="U189" s="40" t="s">
        <v>393</v>
      </c>
      <c r="V189" s="40" t="s">
        <v>393</v>
      </c>
      <c r="W189" s="40" t="s">
        <v>393</v>
      </c>
      <c r="X189" s="40" t="s">
        <v>393</v>
      </c>
      <c r="Y189" s="40" t="s">
        <v>393</v>
      </c>
      <c r="Z189" s="40" t="s">
        <v>393</v>
      </c>
      <c r="AA189" s="40" t="s">
        <v>393</v>
      </c>
      <c r="AB189" s="40" t="s">
        <v>393</v>
      </c>
      <c r="AC189" s="40" t="s">
        <v>393</v>
      </c>
      <c r="AD189" s="40" t="s">
        <v>393</v>
      </c>
      <c r="AE189" s="40" t="s">
        <v>3805</v>
      </c>
      <c r="AF189" s="40" t="s">
        <v>3805</v>
      </c>
      <c r="AG189" s="40" t="s">
        <v>393</v>
      </c>
      <c r="AH189" s="40" t="s">
        <v>2925</v>
      </c>
      <c r="AI189" s="40" t="s">
        <v>2805</v>
      </c>
      <c r="AJ189" s="40" t="s">
        <v>354</v>
      </c>
      <c r="AK189" s="40" t="s">
        <v>505</v>
      </c>
      <c r="AL189" s="40" t="s">
        <v>505</v>
      </c>
      <c r="AM189" s="40" t="s">
        <v>393</v>
      </c>
      <c r="AN189" s="40" t="s">
        <v>393</v>
      </c>
      <c r="AO189" s="36" t="s">
        <v>3807</v>
      </c>
    </row>
    <row r="190" spans="1:41">
      <c r="A190" s="40" t="s">
        <v>2677</v>
      </c>
      <c r="B190" s="40" t="s">
        <v>3802</v>
      </c>
      <c r="C190" s="40" t="s">
        <v>623</v>
      </c>
      <c r="D190" s="40" t="s">
        <v>2866</v>
      </c>
      <c r="E190" s="40" t="s">
        <v>1850</v>
      </c>
      <c r="F190" s="40" t="s">
        <v>3717</v>
      </c>
      <c r="G190" s="40" t="s">
        <v>393</v>
      </c>
      <c r="H190" s="40" t="s">
        <v>3808</v>
      </c>
      <c r="I190" s="40" t="s">
        <v>3809</v>
      </c>
      <c r="J190" s="40" t="s">
        <v>318</v>
      </c>
      <c r="K190" s="40" t="s">
        <v>318</v>
      </c>
      <c r="L190" s="40" t="s">
        <v>879</v>
      </c>
      <c r="M190" s="40" t="s">
        <v>393</v>
      </c>
      <c r="N190" s="40" t="s">
        <v>3681</v>
      </c>
      <c r="O190" s="40" t="s">
        <v>2867</v>
      </c>
      <c r="P190" s="40" t="s">
        <v>2685</v>
      </c>
      <c r="Q190" s="40" t="s">
        <v>2706</v>
      </c>
      <c r="R190" s="40" t="s">
        <v>2895</v>
      </c>
      <c r="S190" s="40" t="s">
        <v>2854</v>
      </c>
      <c r="T190" s="40" t="s">
        <v>393</v>
      </c>
      <c r="U190" s="40" t="s">
        <v>393</v>
      </c>
      <c r="V190" s="40" t="s">
        <v>393</v>
      </c>
      <c r="W190" s="40" t="s">
        <v>393</v>
      </c>
      <c r="X190" s="40" t="s">
        <v>393</v>
      </c>
      <c r="Y190" s="40" t="s">
        <v>393</v>
      </c>
      <c r="Z190" s="40" t="s">
        <v>393</v>
      </c>
      <c r="AA190" s="40" t="s">
        <v>393</v>
      </c>
      <c r="AB190" s="40" t="s">
        <v>393</v>
      </c>
      <c r="AC190" s="40" t="s">
        <v>393</v>
      </c>
      <c r="AD190" s="40" t="s">
        <v>393</v>
      </c>
      <c r="AE190" s="40" t="s">
        <v>2895</v>
      </c>
      <c r="AF190" s="40" t="s">
        <v>2895</v>
      </c>
      <c r="AG190" s="40" t="s">
        <v>393</v>
      </c>
      <c r="AH190" s="40" t="s">
        <v>1938</v>
      </c>
      <c r="AI190" s="40" t="s">
        <v>1938</v>
      </c>
      <c r="AJ190" s="40" t="s">
        <v>2870</v>
      </c>
      <c r="AK190" s="40" t="s">
        <v>442</v>
      </c>
      <c r="AL190" s="40" t="s">
        <v>442</v>
      </c>
      <c r="AM190" s="40" t="s">
        <v>393</v>
      </c>
      <c r="AN190" s="40" t="s">
        <v>393</v>
      </c>
      <c r="AO190" s="36" t="s">
        <v>3810</v>
      </c>
    </row>
    <row r="191" spans="1:41">
      <c r="A191" s="40" t="s">
        <v>2677</v>
      </c>
      <c r="B191" s="40" t="s">
        <v>3802</v>
      </c>
      <c r="C191" s="40" t="s">
        <v>623</v>
      </c>
      <c r="D191" s="40" t="s">
        <v>2866</v>
      </c>
      <c r="E191" s="40" t="s">
        <v>1850</v>
      </c>
      <c r="F191" s="40" t="s">
        <v>3720</v>
      </c>
      <c r="G191" s="40" t="s">
        <v>393</v>
      </c>
      <c r="H191" s="40" t="s">
        <v>3811</v>
      </c>
      <c r="I191" s="40" t="s">
        <v>3812</v>
      </c>
      <c r="J191" s="40" t="s">
        <v>318</v>
      </c>
      <c r="K191" s="40" t="s">
        <v>318</v>
      </c>
      <c r="L191" s="40" t="s">
        <v>879</v>
      </c>
      <c r="M191" s="40" t="s">
        <v>393</v>
      </c>
      <c r="N191" s="40" t="s">
        <v>3681</v>
      </c>
      <c r="O191" s="40" t="s">
        <v>2867</v>
      </c>
      <c r="P191" s="40" t="s">
        <v>2685</v>
      </c>
      <c r="Q191" s="40" t="s">
        <v>2706</v>
      </c>
      <c r="R191" s="40" t="s">
        <v>2813</v>
      </c>
      <c r="S191" s="40" t="s">
        <v>3003</v>
      </c>
      <c r="T191" s="40" t="s">
        <v>393</v>
      </c>
      <c r="U191" s="40" t="s">
        <v>393</v>
      </c>
      <c r="V191" s="40" t="s">
        <v>393</v>
      </c>
      <c r="W191" s="40" t="s">
        <v>393</v>
      </c>
      <c r="X191" s="40" t="s">
        <v>393</v>
      </c>
      <c r="Y191" s="40" t="s">
        <v>393</v>
      </c>
      <c r="Z191" s="40" t="s">
        <v>393</v>
      </c>
      <c r="AA191" s="40" t="s">
        <v>393</v>
      </c>
      <c r="AB191" s="40" t="s">
        <v>393</v>
      </c>
      <c r="AC191" s="40" t="s">
        <v>393</v>
      </c>
      <c r="AD191" s="40" t="s">
        <v>393</v>
      </c>
      <c r="AE191" s="40" t="s">
        <v>2813</v>
      </c>
      <c r="AF191" s="40" t="s">
        <v>2813</v>
      </c>
      <c r="AG191" s="40" t="s">
        <v>393</v>
      </c>
      <c r="AH191" s="40" t="s">
        <v>354</v>
      </c>
      <c r="AI191" s="40" t="s">
        <v>3786</v>
      </c>
      <c r="AJ191" s="40" t="s">
        <v>3786</v>
      </c>
      <c r="AK191" s="40" t="s">
        <v>345</v>
      </c>
      <c r="AL191" s="40" t="s">
        <v>345</v>
      </c>
      <c r="AM191" s="40" t="s">
        <v>393</v>
      </c>
      <c r="AN191" s="40" t="s">
        <v>393</v>
      </c>
      <c r="AO191" s="36" t="s">
        <v>3813</v>
      </c>
    </row>
    <row r="192" spans="1:41">
      <c r="A192" s="40" t="s">
        <v>2677</v>
      </c>
      <c r="B192" s="40" t="s">
        <v>3446</v>
      </c>
      <c r="C192" s="40" t="s">
        <v>623</v>
      </c>
      <c r="D192" s="40" t="s">
        <v>2866</v>
      </c>
      <c r="E192" s="40" t="s">
        <v>1850</v>
      </c>
      <c r="F192" s="40" t="s">
        <v>3722</v>
      </c>
      <c r="G192" s="40" t="s">
        <v>393</v>
      </c>
      <c r="H192" s="40" t="s">
        <v>3814</v>
      </c>
      <c r="I192" s="40" t="s">
        <v>3815</v>
      </c>
      <c r="J192" s="40" t="s">
        <v>318</v>
      </c>
      <c r="K192" s="40" t="s">
        <v>318</v>
      </c>
      <c r="L192" s="40" t="s">
        <v>879</v>
      </c>
      <c r="M192" s="40" t="s">
        <v>393</v>
      </c>
      <c r="N192" s="40" t="s">
        <v>3681</v>
      </c>
      <c r="O192" s="40" t="s">
        <v>2867</v>
      </c>
      <c r="P192" s="40" t="s">
        <v>2685</v>
      </c>
      <c r="Q192" s="40" t="s">
        <v>2439</v>
      </c>
      <c r="R192" s="40" t="s">
        <v>3358</v>
      </c>
      <c r="S192" s="40" t="s">
        <v>3816</v>
      </c>
      <c r="T192" s="40" t="s">
        <v>393</v>
      </c>
      <c r="U192" s="40" t="s">
        <v>393</v>
      </c>
      <c r="V192" s="40" t="s">
        <v>393</v>
      </c>
      <c r="W192" s="40" t="s">
        <v>393</v>
      </c>
      <c r="X192" s="40" t="s">
        <v>393</v>
      </c>
      <c r="Y192" s="40" t="s">
        <v>393</v>
      </c>
      <c r="Z192" s="40" t="s">
        <v>393</v>
      </c>
      <c r="AA192" s="40" t="s">
        <v>393</v>
      </c>
      <c r="AB192" s="40" t="s">
        <v>393</v>
      </c>
      <c r="AC192" s="40" t="s">
        <v>393</v>
      </c>
      <c r="AD192" s="40" t="s">
        <v>393</v>
      </c>
      <c r="AE192" s="40" t="s">
        <v>3817</v>
      </c>
      <c r="AF192" s="40" t="s">
        <v>3817</v>
      </c>
      <c r="AG192" s="40" t="s">
        <v>393</v>
      </c>
      <c r="AH192" s="40" t="s">
        <v>305</v>
      </c>
      <c r="AI192" s="40" t="s">
        <v>3085</v>
      </c>
      <c r="AJ192" s="40" t="s">
        <v>2925</v>
      </c>
      <c r="AK192" s="40" t="s">
        <v>598</v>
      </c>
      <c r="AL192" s="40" t="s">
        <v>598</v>
      </c>
      <c r="AM192" s="40" t="s">
        <v>393</v>
      </c>
      <c r="AN192" s="40" t="s">
        <v>393</v>
      </c>
      <c r="AO192" s="36" t="s">
        <v>393</v>
      </c>
    </row>
    <row r="193" spans="1:41">
      <c r="A193" s="40" t="s">
        <v>2677</v>
      </c>
      <c r="B193" s="40" t="s">
        <v>3446</v>
      </c>
      <c r="C193" s="40" t="s">
        <v>623</v>
      </c>
      <c r="D193" s="40" t="s">
        <v>2866</v>
      </c>
      <c r="E193" s="40" t="s">
        <v>1850</v>
      </c>
      <c r="F193" s="40" t="s">
        <v>3725</v>
      </c>
      <c r="G193" s="40" t="s">
        <v>393</v>
      </c>
      <c r="H193" s="40" t="s">
        <v>3818</v>
      </c>
      <c r="I193" s="40" t="s">
        <v>3819</v>
      </c>
      <c r="J193" s="40" t="s">
        <v>318</v>
      </c>
      <c r="K193" s="40" t="s">
        <v>318</v>
      </c>
      <c r="L193" s="40" t="s">
        <v>879</v>
      </c>
      <c r="M193" s="40" t="s">
        <v>393</v>
      </c>
      <c r="N193" s="40" t="s">
        <v>3681</v>
      </c>
      <c r="O193" s="40" t="s">
        <v>2867</v>
      </c>
      <c r="P193" s="40" t="s">
        <v>2685</v>
      </c>
      <c r="Q193" s="40" t="s">
        <v>2439</v>
      </c>
      <c r="R193" s="40" t="s">
        <v>3820</v>
      </c>
      <c r="S193" s="40" t="s">
        <v>3821</v>
      </c>
      <c r="T193" s="40" t="s">
        <v>393</v>
      </c>
      <c r="U193" s="40" t="s">
        <v>393</v>
      </c>
      <c r="V193" s="40" t="s">
        <v>393</v>
      </c>
      <c r="W193" s="40" t="s">
        <v>393</v>
      </c>
      <c r="X193" s="40" t="s">
        <v>393</v>
      </c>
      <c r="Y193" s="40" t="s">
        <v>393</v>
      </c>
      <c r="Z193" s="40" t="s">
        <v>393</v>
      </c>
      <c r="AA193" s="40" t="s">
        <v>393</v>
      </c>
      <c r="AB193" s="40" t="s">
        <v>393</v>
      </c>
      <c r="AC193" s="40" t="s">
        <v>393</v>
      </c>
      <c r="AD193" s="40" t="s">
        <v>393</v>
      </c>
      <c r="AE193" s="40" t="s">
        <v>3822</v>
      </c>
      <c r="AF193" s="40" t="s">
        <v>3822</v>
      </c>
      <c r="AG193" s="40" t="s">
        <v>393</v>
      </c>
      <c r="AH193" s="40" t="s">
        <v>305</v>
      </c>
      <c r="AI193" s="40" t="s">
        <v>305</v>
      </c>
      <c r="AJ193" s="40" t="s">
        <v>2925</v>
      </c>
      <c r="AK193" s="40" t="s">
        <v>527</v>
      </c>
      <c r="AL193" s="40" t="s">
        <v>527</v>
      </c>
      <c r="AM193" s="40" t="s">
        <v>393</v>
      </c>
      <c r="AN193" s="40" t="s">
        <v>393</v>
      </c>
      <c r="AO193" s="36" t="s">
        <v>393</v>
      </c>
    </row>
    <row r="194" spans="1:41">
      <c r="A194" s="40" t="s">
        <v>2677</v>
      </c>
      <c r="B194" s="40" t="s">
        <v>3370</v>
      </c>
      <c r="C194" s="40" t="s">
        <v>623</v>
      </c>
      <c r="D194" s="40" t="s">
        <v>2866</v>
      </c>
      <c r="E194" s="40" t="s">
        <v>1850</v>
      </c>
      <c r="F194" s="40" t="s">
        <v>3728</v>
      </c>
      <c r="G194" s="40" t="s">
        <v>393</v>
      </c>
      <c r="H194" s="40" t="s">
        <v>3823</v>
      </c>
      <c r="I194" s="40" t="s">
        <v>3824</v>
      </c>
      <c r="J194" s="40" t="s">
        <v>318</v>
      </c>
      <c r="K194" s="40" t="s">
        <v>318</v>
      </c>
      <c r="L194" s="40" t="s">
        <v>879</v>
      </c>
      <c r="M194" s="40" t="s">
        <v>393</v>
      </c>
      <c r="N194" s="40" t="s">
        <v>3681</v>
      </c>
      <c r="O194" s="40" t="s">
        <v>2867</v>
      </c>
      <c r="P194" s="40" t="s">
        <v>2685</v>
      </c>
      <c r="Q194" s="40" t="s">
        <v>2439</v>
      </c>
      <c r="R194" s="40" t="s">
        <v>3825</v>
      </c>
      <c r="S194" s="40" t="s">
        <v>3826</v>
      </c>
      <c r="T194" s="40" t="s">
        <v>393</v>
      </c>
      <c r="U194" s="40" t="s">
        <v>393</v>
      </c>
      <c r="V194" s="40" t="s">
        <v>393</v>
      </c>
      <c r="W194" s="40" t="s">
        <v>393</v>
      </c>
      <c r="X194" s="40" t="s">
        <v>393</v>
      </c>
      <c r="Y194" s="40" t="s">
        <v>393</v>
      </c>
      <c r="Z194" s="40" t="s">
        <v>393</v>
      </c>
      <c r="AA194" s="40" t="s">
        <v>393</v>
      </c>
      <c r="AB194" s="40" t="s">
        <v>393</v>
      </c>
      <c r="AC194" s="40" t="s">
        <v>393</v>
      </c>
      <c r="AD194" s="40" t="s">
        <v>393</v>
      </c>
      <c r="AE194" s="40" t="s">
        <v>3817</v>
      </c>
      <c r="AF194" s="40" t="s">
        <v>3817</v>
      </c>
      <c r="AG194" s="40" t="s">
        <v>393</v>
      </c>
      <c r="AH194" s="40" t="s">
        <v>305</v>
      </c>
      <c r="AI194" s="40" t="s">
        <v>3085</v>
      </c>
      <c r="AJ194" s="40" t="s">
        <v>2925</v>
      </c>
      <c r="AK194" s="40" t="s">
        <v>490</v>
      </c>
      <c r="AL194" s="40" t="s">
        <v>490</v>
      </c>
      <c r="AM194" s="40" t="s">
        <v>393</v>
      </c>
      <c r="AN194" s="40" t="s">
        <v>393</v>
      </c>
      <c r="AO194" s="36" t="s">
        <v>393</v>
      </c>
    </row>
    <row r="195" spans="1:41">
      <c r="A195" s="40" t="s">
        <v>2677</v>
      </c>
      <c r="B195" s="40" t="s">
        <v>3370</v>
      </c>
      <c r="C195" s="40" t="s">
        <v>623</v>
      </c>
      <c r="D195" s="40" t="s">
        <v>2866</v>
      </c>
      <c r="E195" s="40" t="s">
        <v>1850</v>
      </c>
      <c r="F195" s="40" t="s">
        <v>3732</v>
      </c>
      <c r="G195" s="40" t="s">
        <v>393</v>
      </c>
      <c r="H195" s="40" t="s">
        <v>3827</v>
      </c>
      <c r="I195" s="40" t="s">
        <v>3828</v>
      </c>
      <c r="J195" s="40" t="s">
        <v>318</v>
      </c>
      <c r="K195" s="40" t="s">
        <v>318</v>
      </c>
      <c r="L195" s="40" t="s">
        <v>879</v>
      </c>
      <c r="M195" s="40" t="s">
        <v>393</v>
      </c>
      <c r="N195" s="40" t="s">
        <v>3681</v>
      </c>
      <c r="O195" s="40" t="s">
        <v>2867</v>
      </c>
      <c r="P195" s="40" t="s">
        <v>2685</v>
      </c>
      <c r="Q195" s="40" t="s">
        <v>2439</v>
      </c>
      <c r="R195" s="40" t="s">
        <v>3820</v>
      </c>
      <c r="S195" s="40" t="s">
        <v>3829</v>
      </c>
      <c r="T195" s="40" t="s">
        <v>393</v>
      </c>
      <c r="U195" s="40" t="s">
        <v>393</v>
      </c>
      <c r="V195" s="40" t="s">
        <v>393</v>
      </c>
      <c r="W195" s="40" t="s">
        <v>393</v>
      </c>
      <c r="X195" s="40" t="s">
        <v>393</v>
      </c>
      <c r="Y195" s="40" t="s">
        <v>393</v>
      </c>
      <c r="Z195" s="40" t="s">
        <v>393</v>
      </c>
      <c r="AA195" s="40" t="s">
        <v>393</v>
      </c>
      <c r="AB195" s="40" t="s">
        <v>393</v>
      </c>
      <c r="AC195" s="40" t="s">
        <v>393</v>
      </c>
      <c r="AD195" s="40" t="s">
        <v>393</v>
      </c>
      <c r="AE195" s="40" t="s">
        <v>3822</v>
      </c>
      <c r="AF195" s="40" t="s">
        <v>3822</v>
      </c>
      <c r="AG195" s="40" t="s">
        <v>393</v>
      </c>
      <c r="AH195" s="40" t="s">
        <v>305</v>
      </c>
      <c r="AI195" s="40" t="s">
        <v>305</v>
      </c>
      <c r="AJ195" s="40" t="s">
        <v>2925</v>
      </c>
      <c r="AK195" s="40" t="s">
        <v>679</v>
      </c>
      <c r="AL195" s="40" t="s">
        <v>679</v>
      </c>
      <c r="AM195" s="40" t="s">
        <v>393</v>
      </c>
      <c r="AN195" s="40" t="s">
        <v>393</v>
      </c>
      <c r="AO195" s="36" t="s">
        <v>393</v>
      </c>
    </row>
    <row r="196" spans="1:41">
      <c r="A196" s="40" t="s">
        <v>2677</v>
      </c>
      <c r="B196" s="40" t="s">
        <v>3433</v>
      </c>
      <c r="C196" s="40" t="s">
        <v>623</v>
      </c>
      <c r="D196" s="40" t="s">
        <v>2866</v>
      </c>
      <c r="E196" s="40" t="s">
        <v>1850</v>
      </c>
      <c r="F196" s="40" t="s">
        <v>3735</v>
      </c>
      <c r="G196" s="40" t="s">
        <v>393</v>
      </c>
      <c r="H196" s="40" t="s">
        <v>3830</v>
      </c>
      <c r="I196" s="40" t="s">
        <v>3831</v>
      </c>
      <c r="J196" s="40" t="s">
        <v>318</v>
      </c>
      <c r="K196" s="40" t="s">
        <v>318</v>
      </c>
      <c r="L196" s="40" t="s">
        <v>879</v>
      </c>
      <c r="M196" s="40" t="s">
        <v>393</v>
      </c>
      <c r="N196" s="40" t="s">
        <v>3681</v>
      </c>
      <c r="O196" s="40" t="s">
        <v>2867</v>
      </c>
      <c r="P196" s="40" t="s">
        <v>2685</v>
      </c>
      <c r="Q196" s="40" t="s">
        <v>2706</v>
      </c>
      <c r="R196" s="40" t="s">
        <v>2758</v>
      </c>
      <c r="S196" s="40" t="s">
        <v>3832</v>
      </c>
      <c r="T196" s="40" t="s">
        <v>393</v>
      </c>
      <c r="U196" s="40" t="s">
        <v>393</v>
      </c>
      <c r="V196" s="40" t="s">
        <v>393</v>
      </c>
      <c r="W196" s="40" t="s">
        <v>393</v>
      </c>
      <c r="X196" s="40" t="s">
        <v>393</v>
      </c>
      <c r="Y196" s="40" t="s">
        <v>393</v>
      </c>
      <c r="Z196" s="40" t="s">
        <v>393</v>
      </c>
      <c r="AA196" s="40" t="s">
        <v>393</v>
      </c>
      <c r="AB196" s="40" t="s">
        <v>393</v>
      </c>
      <c r="AC196" s="40" t="s">
        <v>393</v>
      </c>
      <c r="AD196" s="40" t="s">
        <v>393</v>
      </c>
      <c r="AE196" s="40" t="s">
        <v>675</v>
      </c>
      <c r="AF196" s="40" t="s">
        <v>675</v>
      </c>
      <c r="AG196" s="40" t="s">
        <v>393</v>
      </c>
      <c r="AH196" s="40" t="s">
        <v>2805</v>
      </c>
      <c r="AI196" s="40" t="s">
        <v>2805</v>
      </c>
      <c r="AJ196" s="40" t="s">
        <v>2925</v>
      </c>
      <c r="AK196" s="40" t="s">
        <v>527</v>
      </c>
      <c r="AL196" s="40" t="s">
        <v>527</v>
      </c>
      <c r="AM196" s="40" t="s">
        <v>393</v>
      </c>
      <c r="AN196" s="40" t="s">
        <v>393</v>
      </c>
      <c r="AO196" s="36" t="s">
        <v>393</v>
      </c>
    </row>
    <row r="197" spans="1:41">
      <c r="A197" s="40" t="s">
        <v>2677</v>
      </c>
      <c r="B197" s="40" t="s">
        <v>3433</v>
      </c>
      <c r="C197" s="40" t="s">
        <v>623</v>
      </c>
      <c r="D197" s="40" t="s">
        <v>2866</v>
      </c>
      <c r="E197" s="40" t="s">
        <v>1850</v>
      </c>
      <c r="F197" s="40" t="s">
        <v>3738</v>
      </c>
      <c r="G197" s="40" t="s">
        <v>393</v>
      </c>
      <c r="H197" s="40" t="s">
        <v>3833</v>
      </c>
      <c r="I197" s="40" t="s">
        <v>3834</v>
      </c>
      <c r="J197" s="40" t="s">
        <v>318</v>
      </c>
      <c r="K197" s="40" t="s">
        <v>318</v>
      </c>
      <c r="L197" s="40" t="s">
        <v>879</v>
      </c>
      <c r="M197" s="40" t="s">
        <v>393</v>
      </c>
      <c r="N197" s="40" t="s">
        <v>3681</v>
      </c>
      <c r="O197" s="40" t="s">
        <v>2867</v>
      </c>
      <c r="P197" s="40" t="s">
        <v>2685</v>
      </c>
      <c r="Q197" s="40" t="s">
        <v>2706</v>
      </c>
      <c r="R197" s="40" t="s">
        <v>2925</v>
      </c>
      <c r="S197" s="40" t="s">
        <v>3593</v>
      </c>
      <c r="T197" s="40" t="s">
        <v>393</v>
      </c>
      <c r="U197" s="40" t="s">
        <v>393</v>
      </c>
      <c r="V197" s="40" t="s">
        <v>393</v>
      </c>
      <c r="W197" s="40" t="s">
        <v>393</v>
      </c>
      <c r="X197" s="40" t="s">
        <v>393</v>
      </c>
      <c r="Y197" s="40" t="s">
        <v>393</v>
      </c>
      <c r="Z197" s="40" t="s">
        <v>393</v>
      </c>
      <c r="AA197" s="40" t="s">
        <v>393</v>
      </c>
      <c r="AB197" s="40" t="s">
        <v>393</v>
      </c>
      <c r="AC197" s="40" t="s">
        <v>393</v>
      </c>
      <c r="AD197" s="40" t="s">
        <v>393</v>
      </c>
      <c r="AE197" s="40" t="s">
        <v>3785</v>
      </c>
      <c r="AF197" s="40" t="s">
        <v>3785</v>
      </c>
      <c r="AG197" s="40" t="s">
        <v>393</v>
      </c>
      <c r="AH197" s="40" t="s">
        <v>354</v>
      </c>
      <c r="AI197" s="40" t="s">
        <v>2870</v>
      </c>
      <c r="AJ197" s="40" t="s">
        <v>3786</v>
      </c>
      <c r="AK197" s="40" t="s">
        <v>374</v>
      </c>
      <c r="AL197" s="40" t="s">
        <v>374</v>
      </c>
      <c r="AM197" s="40" t="s">
        <v>393</v>
      </c>
      <c r="AN197" s="40" t="s">
        <v>393</v>
      </c>
      <c r="AO197" s="36" t="s">
        <v>393</v>
      </c>
    </row>
    <row r="198" spans="1:41">
      <c r="A198" s="40" t="s">
        <v>2677</v>
      </c>
      <c r="B198" s="40" t="s">
        <v>3433</v>
      </c>
      <c r="C198" s="40" t="s">
        <v>623</v>
      </c>
      <c r="D198" s="40" t="s">
        <v>2866</v>
      </c>
      <c r="E198" s="40" t="s">
        <v>1850</v>
      </c>
      <c r="F198" s="40" t="s">
        <v>3742</v>
      </c>
      <c r="G198" s="40" t="s">
        <v>393</v>
      </c>
      <c r="H198" s="40" t="s">
        <v>3835</v>
      </c>
      <c r="I198" s="40" t="s">
        <v>3836</v>
      </c>
      <c r="J198" s="40" t="s">
        <v>318</v>
      </c>
      <c r="K198" s="40" t="s">
        <v>318</v>
      </c>
      <c r="L198" s="40" t="s">
        <v>879</v>
      </c>
      <c r="M198" s="40" t="s">
        <v>393</v>
      </c>
      <c r="N198" s="40" t="s">
        <v>3681</v>
      </c>
      <c r="O198" s="40" t="s">
        <v>2867</v>
      </c>
      <c r="P198" s="40" t="s">
        <v>2685</v>
      </c>
      <c r="Q198" s="40" t="s">
        <v>2706</v>
      </c>
      <c r="R198" s="40" t="s">
        <v>334</v>
      </c>
      <c r="S198" s="40" t="s">
        <v>3837</v>
      </c>
      <c r="T198" s="40" t="s">
        <v>393</v>
      </c>
      <c r="U198" s="40" t="s">
        <v>393</v>
      </c>
      <c r="V198" s="40" t="s">
        <v>393</v>
      </c>
      <c r="W198" s="40" t="s">
        <v>393</v>
      </c>
      <c r="X198" s="40" t="s">
        <v>393</v>
      </c>
      <c r="Y198" s="40" t="s">
        <v>393</v>
      </c>
      <c r="Z198" s="40" t="s">
        <v>393</v>
      </c>
      <c r="AA198" s="40" t="s">
        <v>393</v>
      </c>
      <c r="AB198" s="40" t="s">
        <v>393</v>
      </c>
      <c r="AC198" s="40" t="s">
        <v>393</v>
      </c>
      <c r="AD198" s="40" t="s">
        <v>393</v>
      </c>
      <c r="AE198" s="40" t="s">
        <v>3838</v>
      </c>
      <c r="AF198" s="40" t="s">
        <v>3838</v>
      </c>
      <c r="AG198" s="40" t="s">
        <v>393</v>
      </c>
      <c r="AH198" s="40" t="s">
        <v>305</v>
      </c>
      <c r="AI198" s="40" t="s">
        <v>2924</v>
      </c>
      <c r="AJ198" s="40" t="s">
        <v>2925</v>
      </c>
      <c r="AK198" s="40" t="s">
        <v>2131</v>
      </c>
      <c r="AL198" s="40" t="s">
        <v>2131</v>
      </c>
      <c r="AM198" s="40" t="s">
        <v>393</v>
      </c>
      <c r="AN198" s="40" t="s">
        <v>393</v>
      </c>
      <c r="AO198" s="36" t="s">
        <v>393</v>
      </c>
    </row>
    <row r="199" spans="1:41">
      <c r="A199" s="40" t="s">
        <v>2677</v>
      </c>
      <c r="B199" s="40" t="s">
        <v>3433</v>
      </c>
      <c r="C199" s="40" t="s">
        <v>623</v>
      </c>
      <c r="D199" s="40" t="s">
        <v>2866</v>
      </c>
      <c r="E199" s="40" t="s">
        <v>1850</v>
      </c>
      <c r="F199" s="40" t="s">
        <v>3744</v>
      </c>
      <c r="G199" s="40" t="s">
        <v>393</v>
      </c>
      <c r="H199" s="40" t="s">
        <v>3839</v>
      </c>
      <c r="I199" s="40" t="s">
        <v>3840</v>
      </c>
      <c r="J199" s="40" t="s">
        <v>318</v>
      </c>
      <c r="K199" s="40" t="s">
        <v>318</v>
      </c>
      <c r="L199" s="40" t="s">
        <v>879</v>
      </c>
      <c r="M199" s="40" t="s">
        <v>393</v>
      </c>
      <c r="N199" s="40" t="s">
        <v>3681</v>
      </c>
      <c r="O199" s="40" t="s">
        <v>2867</v>
      </c>
      <c r="P199" s="40" t="s">
        <v>2685</v>
      </c>
      <c r="Q199" s="40" t="s">
        <v>2706</v>
      </c>
      <c r="R199" s="40" t="s">
        <v>2925</v>
      </c>
      <c r="S199" s="40" t="s">
        <v>3692</v>
      </c>
      <c r="T199" s="40" t="s">
        <v>393</v>
      </c>
      <c r="U199" s="40" t="s">
        <v>393</v>
      </c>
      <c r="V199" s="40" t="s">
        <v>393</v>
      </c>
      <c r="W199" s="40" t="s">
        <v>393</v>
      </c>
      <c r="X199" s="40" t="s">
        <v>393</v>
      </c>
      <c r="Y199" s="40" t="s">
        <v>393</v>
      </c>
      <c r="Z199" s="40" t="s">
        <v>393</v>
      </c>
      <c r="AA199" s="40" t="s">
        <v>393</v>
      </c>
      <c r="AB199" s="40" t="s">
        <v>393</v>
      </c>
      <c r="AC199" s="40" t="s">
        <v>393</v>
      </c>
      <c r="AD199" s="40" t="s">
        <v>393</v>
      </c>
      <c r="AE199" s="40" t="s">
        <v>3785</v>
      </c>
      <c r="AF199" s="40" t="s">
        <v>3785</v>
      </c>
      <c r="AG199" s="40" t="s">
        <v>393</v>
      </c>
      <c r="AH199" s="40" t="s">
        <v>354</v>
      </c>
      <c r="AI199" s="40" t="s">
        <v>354</v>
      </c>
      <c r="AJ199" s="40" t="s">
        <v>3786</v>
      </c>
      <c r="AK199" s="40" t="s">
        <v>365</v>
      </c>
      <c r="AL199" s="40" t="s">
        <v>365</v>
      </c>
      <c r="AM199" s="40" t="s">
        <v>393</v>
      </c>
      <c r="AN199" s="40" t="s">
        <v>393</v>
      </c>
      <c r="AO199" s="36" t="s">
        <v>393</v>
      </c>
    </row>
    <row r="200" spans="1:41">
      <c r="A200" s="40" t="s">
        <v>2677</v>
      </c>
      <c r="B200" s="40" t="s">
        <v>3433</v>
      </c>
      <c r="C200" s="40" t="s">
        <v>623</v>
      </c>
      <c r="D200" s="40" t="s">
        <v>2866</v>
      </c>
      <c r="E200" s="40" t="s">
        <v>1850</v>
      </c>
      <c r="F200" s="40" t="s">
        <v>3746</v>
      </c>
      <c r="G200" s="40" t="s">
        <v>393</v>
      </c>
      <c r="H200" s="40" t="s">
        <v>3841</v>
      </c>
      <c r="I200" s="40" t="s">
        <v>3842</v>
      </c>
      <c r="J200" s="40" t="s">
        <v>318</v>
      </c>
      <c r="K200" s="40" t="s">
        <v>318</v>
      </c>
      <c r="L200" s="40" t="s">
        <v>879</v>
      </c>
      <c r="M200" s="40" t="s">
        <v>393</v>
      </c>
      <c r="N200" s="40" t="s">
        <v>3681</v>
      </c>
      <c r="O200" s="40" t="s">
        <v>2867</v>
      </c>
      <c r="P200" s="40" t="s">
        <v>2685</v>
      </c>
      <c r="Q200" s="40" t="s">
        <v>2706</v>
      </c>
      <c r="R200" s="40" t="s">
        <v>305</v>
      </c>
      <c r="S200" s="40" t="s">
        <v>3843</v>
      </c>
      <c r="T200" s="40" t="s">
        <v>393</v>
      </c>
      <c r="U200" s="40" t="s">
        <v>393</v>
      </c>
      <c r="V200" s="40" t="s">
        <v>393</v>
      </c>
      <c r="W200" s="40" t="s">
        <v>393</v>
      </c>
      <c r="X200" s="40" t="s">
        <v>393</v>
      </c>
      <c r="Y200" s="40" t="s">
        <v>393</v>
      </c>
      <c r="Z200" s="40" t="s">
        <v>393</v>
      </c>
      <c r="AA200" s="40" t="s">
        <v>393</v>
      </c>
      <c r="AB200" s="40" t="s">
        <v>393</v>
      </c>
      <c r="AC200" s="40" t="s">
        <v>393</v>
      </c>
      <c r="AD200" s="40" t="s">
        <v>393</v>
      </c>
      <c r="AE200" s="40" t="s">
        <v>384</v>
      </c>
      <c r="AF200" s="40" t="s">
        <v>384</v>
      </c>
      <c r="AG200" s="40" t="s">
        <v>393</v>
      </c>
      <c r="AH200" s="40" t="s">
        <v>354</v>
      </c>
      <c r="AI200" s="40" t="s">
        <v>354</v>
      </c>
      <c r="AJ200" s="40" t="s">
        <v>3700</v>
      </c>
      <c r="AK200" s="40" t="s">
        <v>371</v>
      </c>
      <c r="AL200" s="40" t="s">
        <v>371</v>
      </c>
      <c r="AM200" s="40" t="s">
        <v>393</v>
      </c>
      <c r="AN200" s="40" t="s">
        <v>393</v>
      </c>
      <c r="AO200" s="36" t="s">
        <v>393</v>
      </c>
    </row>
    <row r="201" spans="1:41">
      <c r="A201" s="40" t="s">
        <v>2677</v>
      </c>
      <c r="B201" s="40" t="s">
        <v>3433</v>
      </c>
      <c r="C201" s="40" t="s">
        <v>623</v>
      </c>
      <c r="D201" s="40" t="s">
        <v>2866</v>
      </c>
      <c r="E201" s="40" t="s">
        <v>1850</v>
      </c>
      <c r="F201" s="40" t="s">
        <v>3748</v>
      </c>
      <c r="G201" s="40" t="s">
        <v>393</v>
      </c>
      <c r="H201" s="40" t="s">
        <v>3844</v>
      </c>
      <c r="I201" s="40" t="s">
        <v>3845</v>
      </c>
      <c r="J201" s="40" t="s">
        <v>318</v>
      </c>
      <c r="K201" s="40" t="s">
        <v>318</v>
      </c>
      <c r="L201" s="40" t="s">
        <v>879</v>
      </c>
      <c r="M201" s="40" t="s">
        <v>393</v>
      </c>
      <c r="N201" s="40" t="s">
        <v>3681</v>
      </c>
      <c r="O201" s="40" t="s">
        <v>2867</v>
      </c>
      <c r="P201" s="40" t="s">
        <v>2685</v>
      </c>
      <c r="Q201" s="40" t="s">
        <v>2706</v>
      </c>
      <c r="R201" s="40" t="s">
        <v>2925</v>
      </c>
      <c r="S201" s="40" t="s">
        <v>3089</v>
      </c>
      <c r="T201" s="40" t="s">
        <v>393</v>
      </c>
      <c r="U201" s="40" t="s">
        <v>393</v>
      </c>
      <c r="V201" s="40" t="s">
        <v>393</v>
      </c>
      <c r="W201" s="40" t="s">
        <v>393</v>
      </c>
      <c r="X201" s="40" t="s">
        <v>393</v>
      </c>
      <c r="Y201" s="40" t="s">
        <v>393</v>
      </c>
      <c r="Z201" s="40" t="s">
        <v>393</v>
      </c>
      <c r="AA201" s="40" t="s">
        <v>393</v>
      </c>
      <c r="AB201" s="40" t="s">
        <v>393</v>
      </c>
      <c r="AC201" s="40" t="s">
        <v>393</v>
      </c>
      <c r="AD201" s="40" t="s">
        <v>393</v>
      </c>
      <c r="AE201" s="40" t="s">
        <v>3785</v>
      </c>
      <c r="AF201" s="40" t="s">
        <v>3785</v>
      </c>
      <c r="AG201" s="40" t="s">
        <v>393</v>
      </c>
      <c r="AH201" s="40" t="s">
        <v>354</v>
      </c>
      <c r="AI201" s="40" t="s">
        <v>354</v>
      </c>
      <c r="AJ201" s="40" t="s">
        <v>3786</v>
      </c>
      <c r="AK201" s="40" t="s">
        <v>365</v>
      </c>
      <c r="AL201" s="40" t="s">
        <v>365</v>
      </c>
      <c r="AM201" s="40" t="s">
        <v>393</v>
      </c>
      <c r="AN201" s="40" t="s">
        <v>393</v>
      </c>
      <c r="AO201" s="36" t="s">
        <v>393</v>
      </c>
    </row>
    <row r="202" spans="1:41">
      <c r="A202" s="40" t="s">
        <v>2677</v>
      </c>
      <c r="B202" s="40" t="s">
        <v>3433</v>
      </c>
      <c r="C202" s="40" t="s">
        <v>623</v>
      </c>
      <c r="D202" s="40" t="s">
        <v>2866</v>
      </c>
      <c r="E202" s="40" t="s">
        <v>1850</v>
      </c>
      <c r="F202" s="40" t="s">
        <v>3750</v>
      </c>
      <c r="G202" s="40" t="s">
        <v>393</v>
      </c>
      <c r="H202" s="40" t="s">
        <v>3846</v>
      </c>
      <c r="I202" s="40" t="s">
        <v>3847</v>
      </c>
      <c r="J202" s="40" t="s">
        <v>318</v>
      </c>
      <c r="K202" s="40" t="s">
        <v>318</v>
      </c>
      <c r="L202" s="40" t="s">
        <v>879</v>
      </c>
      <c r="M202" s="40" t="s">
        <v>393</v>
      </c>
      <c r="N202" s="40" t="s">
        <v>3681</v>
      </c>
      <c r="O202" s="40" t="s">
        <v>2867</v>
      </c>
      <c r="P202" s="40" t="s">
        <v>2685</v>
      </c>
      <c r="Q202" s="40" t="s">
        <v>2706</v>
      </c>
      <c r="R202" s="40" t="s">
        <v>2925</v>
      </c>
      <c r="S202" s="40" t="s">
        <v>3593</v>
      </c>
      <c r="T202" s="40" t="s">
        <v>393</v>
      </c>
      <c r="U202" s="40" t="s">
        <v>393</v>
      </c>
      <c r="V202" s="40" t="s">
        <v>393</v>
      </c>
      <c r="W202" s="40" t="s">
        <v>393</v>
      </c>
      <c r="X202" s="40" t="s">
        <v>393</v>
      </c>
      <c r="Y202" s="40" t="s">
        <v>393</v>
      </c>
      <c r="Z202" s="40" t="s">
        <v>393</v>
      </c>
      <c r="AA202" s="40" t="s">
        <v>393</v>
      </c>
      <c r="AB202" s="40" t="s">
        <v>393</v>
      </c>
      <c r="AC202" s="40" t="s">
        <v>393</v>
      </c>
      <c r="AD202" s="40" t="s">
        <v>393</v>
      </c>
      <c r="AE202" s="40" t="s">
        <v>3785</v>
      </c>
      <c r="AF202" s="40" t="s">
        <v>3785</v>
      </c>
      <c r="AG202" s="40" t="s">
        <v>393</v>
      </c>
      <c r="AH202" s="40" t="s">
        <v>354</v>
      </c>
      <c r="AI202" s="40" t="s">
        <v>354</v>
      </c>
      <c r="AJ202" s="40" t="s">
        <v>3786</v>
      </c>
      <c r="AK202" s="40" t="s">
        <v>365</v>
      </c>
      <c r="AL202" s="40" t="s">
        <v>365</v>
      </c>
      <c r="AM202" s="40" t="s">
        <v>393</v>
      </c>
      <c r="AN202" s="40" t="s">
        <v>393</v>
      </c>
      <c r="AO202" s="36" t="s">
        <v>393</v>
      </c>
    </row>
    <row r="203" spans="1:41">
      <c r="A203" s="40" t="s">
        <v>2677</v>
      </c>
      <c r="B203" s="40" t="s">
        <v>3433</v>
      </c>
      <c r="C203" s="40" t="s">
        <v>623</v>
      </c>
      <c r="D203" s="40" t="s">
        <v>2866</v>
      </c>
      <c r="E203" s="40" t="s">
        <v>1850</v>
      </c>
      <c r="F203" s="40" t="s">
        <v>3752</v>
      </c>
      <c r="G203" s="40" t="s">
        <v>393</v>
      </c>
      <c r="H203" s="40" t="s">
        <v>3848</v>
      </c>
      <c r="I203" s="40" t="s">
        <v>3849</v>
      </c>
      <c r="J203" s="40" t="s">
        <v>318</v>
      </c>
      <c r="K203" s="40" t="s">
        <v>318</v>
      </c>
      <c r="L203" s="40" t="s">
        <v>879</v>
      </c>
      <c r="M203" s="40" t="s">
        <v>393</v>
      </c>
      <c r="N203" s="40" t="s">
        <v>3681</v>
      </c>
      <c r="O203" s="40" t="s">
        <v>2867</v>
      </c>
      <c r="P203" s="40" t="s">
        <v>2685</v>
      </c>
      <c r="Q203" s="40" t="s">
        <v>2706</v>
      </c>
      <c r="R203" s="40" t="s">
        <v>305</v>
      </c>
      <c r="S203" s="40" t="s">
        <v>3850</v>
      </c>
      <c r="T203" s="40" t="s">
        <v>393</v>
      </c>
      <c r="U203" s="40" t="s">
        <v>393</v>
      </c>
      <c r="V203" s="40" t="s">
        <v>393</v>
      </c>
      <c r="W203" s="40" t="s">
        <v>393</v>
      </c>
      <c r="X203" s="40" t="s">
        <v>393</v>
      </c>
      <c r="Y203" s="40" t="s">
        <v>393</v>
      </c>
      <c r="Z203" s="40" t="s">
        <v>393</v>
      </c>
      <c r="AA203" s="40" t="s">
        <v>393</v>
      </c>
      <c r="AB203" s="40" t="s">
        <v>393</v>
      </c>
      <c r="AC203" s="40" t="s">
        <v>393</v>
      </c>
      <c r="AD203" s="40" t="s">
        <v>393</v>
      </c>
      <c r="AE203" s="40" t="s">
        <v>384</v>
      </c>
      <c r="AF203" s="40" t="s">
        <v>384</v>
      </c>
      <c r="AG203" s="40" t="s">
        <v>393</v>
      </c>
      <c r="AH203" s="40" t="s">
        <v>2805</v>
      </c>
      <c r="AI203" s="40" t="s">
        <v>354</v>
      </c>
      <c r="AJ203" s="40" t="s">
        <v>354</v>
      </c>
      <c r="AK203" s="40" t="s">
        <v>374</v>
      </c>
      <c r="AL203" s="40" t="s">
        <v>374</v>
      </c>
      <c r="AM203" s="40" t="s">
        <v>393</v>
      </c>
      <c r="AN203" s="40" t="s">
        <v>393</v>
      </c>
      <c r="AO203" s="36" t="s">
        <v>393</v>
      </c>
    </row>
    <row r="204" spans="1:41">
      <c r="A204" s="40" t="s">
        <v>2677</v>
      </c>
      <c r="B204" s="40" t="s">
        <v>3433</v>
      </c>
      <c r="C204" s="40" t="s">
        <v>623</v>
      </c>
      <c r="D204" s="40" t="s">
        <v>2866</v>
      </c>
      <c r="E204" s="40" t="s">
        <v>1850</v>
      </c>
      <c r="F204" s="40" t="s">
        <v>3754</v>
      </c>
      <c r="G204" s="40" t="s">
        <v>393</v>
      </c>
      <c r="H204" s="40" t="s">
        <v>3851</v>
      </c>
      <c r="I204" s="40" t="s">
        <v>3852</v>
      </c>
      <c r="J204" s="40" t="s">
        <v>318</v>
      </c>
      <c r="K204" s="40" t="s">
        <v>318</v>
      </c>
      <c r="L204" s="40" t="s">
        <v>879</v>
      </c>
      <c r="M204" s="40" t="s">
        <v>393</v>
      </c>
      <c r="N204" s="40" t="s">
        <v>3681</v>
      </c>
      <c r="O204" s="40" t="s">
        <v>2867</v>
      </c>
      <c r="P204" s="40" t="s">
        <v>2685</v>
      </c>
      <c r="Q204" s="40" t="s">
        <v>2706</v>
      </c>
      <c r="R204" s="40" t="s">
        <v>305</v>
      </c>
      <c r="S204" s="40" t="s">
        <v>2806</v>
      </c>
      <c r="T204" s="40" t="s">
        <v>393</v>
      </c>
      <c r="U204" s="40" t="s">
        <v>393</v>
      </c>
      <c r="V204" s="40" t="s">
        <v>393</v>
      </c>
      <c r="W204" s="40" t="s">
        <v>393</v>
      </c>
      <c r="X204" s="40" t="s">
        <v>393</v>
      </c>
      <c r="Y204" s="40" t="s">
        <v>393</v>
      </c>
      <c r="Z204" s="40" t="s">
        <v>393</v>
      </c>
      <c r="AA204" s="40" t="s">
        <v>393</v>
      </c>
      <c r="AB204" s="40" t="s">
        <v>393</v>
      </c>
      <c r="AC204" s="40" t="s">
        <v>393</v>
      </c>
      <c r="AD204" s="40" t="s">
        <v>393</v>
      </c>
      <c r="AE204" s="40" t="s">
        <v>384</v>
      </c>
      <c r="AF204" s="40" t="s">
        <v>384</v>
      </c>
      <c r="AG204" s="40" t="s">
        <v>393</v>
      </c>
      <c r="AH204" s="40" t="s">
        <v>354</v>
      </c>
      <c r="AI204" s="40" t="s">
        <v>354</v>
      </c>
      <c r="AJ204" s="40" t="s">
        <v>354</v>
      </c>
      <c r="AK204" s="40" t="s">
        <v>374</v>
      </c>
      <c r="AL204" s="40" t="s">
        <v>374</v>
      </c>
      <c r="AM204" s="40" t="s">
        <v>393</v>
      </c>
      <c r="AN204" s="40" t="s">
        <v>393</v>
      </c>
      <c r="AO204" s="36" t="s">
        <v>393</v>
      </c>
    </row>
    <row r="205" spans="1:41">
      <c r="A205" s="40" t="s">
        <v>2677</v>
      </c>
      <c r="B205" s="40" t="s">
        <v>3433</v>
      </c>
      <c r="C205" s="40" t="s">
        <v>623</v>
      </c>
      <c r="D205" s="40" t="s">
        <v>2866</v>
      </c>
      <c r="E205" s="40" t="s">
        <v>1850</v>
      </c>
      <c r="F205" s="40" t="s">
        <v>3756</v>
      </c>
      <c r="G205" s="40" t="s">
        <v>393</v>
      </c>
      <c r="H205" s="40" t="s">
        <v>3853</v>
      </c>
      <c r="I205" s="40" t="s">
        <v>3854</v>
      </c>
      <c r="J205" s="40" t="s">
        <v>318</v>
      </c>
      <c r="K205" s="40" t="s">
        <v>318</v>
      </c>
      <c r="L205" s="40" t="s">
        <v>879</v>
      </c>
      <c r="M205" s="40" t="s">
        <v>393</v>
      </c>
      <c r="N205" s="40" t="s">
        <v>3681</v>
      </c>
      <c r="O205" s="40" t="s">
        <v>2867</v>
      </c>
      <c r="P205" s="40" t="s">
        <v>2685</v>
      </c>
      <c r="Q205" s="40" t="s">
        <v>2706</v>
      </c>
      <c r="R205" s="40" t="s">
        <v>305</v>
      </c>
      <c r="S205" s="40" t="s">
        <v>3793</v>
      </c>
      <c r="T205" s="40" t="s">
        <v>393</v>
      </c>
      <c r="U205" s="40" t="s">
        <v>393</v>
      </c>
      <c r="V205" s="40" t="s">
        <v>393</v>
      </c>
      <c r="W205" s="40" t="s">
        <v>393</v>
      </c>
      <c r="X205" s="40" t="s">
        <v>393</v>
      </c>
      <c r="Y205" s="40" t="s">
        <v>393</v>
      </c>
      <c r="Z205" s="40" t="s">
        <v>393</v>
      </c>
      <c r="AA205" s="40" t="s">
        <v>393</v>
      </c>
      <c r="AB205" s="40" t="s">
        <v>393</v>
      </c>
      <c r="AC205" s="40" t="s">
        <v>393</v>
      </c>
      <c r="AD205" s="40" t="s">
        <v>393</v>
      </c>
      <c r="AE205" s="40" t="s">
        <v>384</v>
      </c>
      <c r="AF205" s="40" t="s">
        <v>753</v>
      </c>
      <c r="AG205" s="40" t="s">
        <v>393</v>
      </c>
      <c r="AH205" s="40" t="s">
        <v>354</v>
      </c>
      <c r="AI205" s="40" t="s">
        <v>354</v>
      </c>
      <c r="AJ205" s="40" t="s">
        <v>354</v>
      </c>
      <c r="AK205" s="40" t="s">
        <v>374</v>
      </c>
      <c r="AL205" s="40" t="s">
        <v>374</v>
      </c>
      <c r="AM205" s="40" t="s">
        <v>393</v>
      </c>
      <c r="AN205" s="40" t="s">
        <v>393</v>
      </c>
      <c r="AO205" s="36" t="s">
        <v>393</v>
      </c>
    </row>
    <row r="206" spans="1:41">
      <c r="A206" s="40" t="s">
        <v>2677</v>
      </c>
      <c r="B206" s="40" t="s">
        <v>3433</v>
      </c>
      <c r="C206" s="40" t="s">
        <v>623</v>
      </c>
      <c r="D206" s="40" t="s">
        <v>2866</v>
      </c>
      <c r="E206" s="40" t="s">
        <v>1850</v>
      </c>
      <c r="F206" s="40" t="s">
        <v>3758</v>
      </c>
      <c r="G206" s="40" t="s">
        <v>393</v>
      </c>
      <c r="H206" s="40" t="s">
        <v>3855</v>
      </c>
      <c r="I206" s="40" t="s">
        <v>3856</v>
      </c>
      <c r="J206" s="40" t="s">
        <v>318</v>
      </c>
      <c r="K206" s="40" t="s">
        <v>318</v>
      </c>
      <c r="L206" s="40" t="s">
        <v>879</v>
      </c>
      <c r="M206" s="40" t="s">
        <v>393</v>
      </c>
      <c r="N206" s="40" t="s">
        <v>3681</v>
      </c>
      <c r="O206" s="40" t="s">
        <v>2867</v>
      </c>
      <c r="P206" s="40" t="s">
        <v>2685</v>
      </c>
      <c r="Q206" s="40" t="s">
        <v>2706</v>
      </c>
      <c r="R206" s="40" t="s">
        <v>2925</v>
      </c>
      <c r="S206" s="40" t="s">
        <v>1918</v>
      </c>
      <c r="T206" s="40" t="s">
        <v>393</v>
      </c>
      <c r="U206" s="40" t="s">
        <v>393</v>
      </c>
      <c r="V206" s="40" t="s">
        <v>393</v>
      </c>
      <c r="W206" s="40" t="s">
        <v>393</v>
      </c>
      <c r="X206" s="40" t="s">
        <v>393</v>
      </c>
      <c r="Y206" s="40" t="s">
        <v>393</v>
      </c>
      <c r="Z206" s="40" t="s">
        <v>393</v>
      </c>
      <c r="AA206" s="40" t="s">
        <v>393</v>
      </c>
      <c r="AB206" s="40" t="s">
        <v>393</v>
      </c>
      <c r="AC206" s="40" t="s">
        <v>393</v>
      </c>
      <c r="AD206" s="40" t="s">
        <v>393</v>
      </c>
      <c r="AE206" s="40" t="s">
        <v>3785</v>
      </c>
      <c r="AF206" s="40" t="s">
        <v>3785</v>
      </c>
      <c r="AG206" s="40" t="s">
        <v>393</v>
      </c>
      <c r="AH206" s="40" t="s">
        <v>2870</v>
      </c>
      <c r="AI206" s="40" t="s">
        <v>3786</v>
      </c>
      <c r="AJ206" s="40" t="s">
        <v>3786</v>
      </c>
      <c r="AK206" s="40" t="s">
        <v>345</v>
      </c>
      <c r="AL206" s="40" t="s">
        <v>345</v>
      </c>
      <c r="AM206" s="40" t="s">
        <v>393</v>
      </c>
      <c r="AN206" s="40" t="s">
        <v>393</v>
      </c>
      <c r="AO206" s="36" t="s">
        <v>393</v>
      </c>
    </row>
    <row r="207" spans="1:41">
      <c r="A207" s="40" t="s">
        <v>2677</v>
      </c>
      <c r="B207" s="40" t="s">
        <v>3433</v>
      </c>
      <c r="C207" s="40" t="s">
        <v>623</v>
      </c>
      <c r="D207" s="40" t="s">
        <v>2866</v>
      </c>
      <c r="E207" s="40" t="s">
        <v>1850</v>
      </c>
      <c r="F207" s="40" t="s">
        <v>3760</v>
      </c>
      <c r="G207" s="40" t="s">
        <v>393</v>
      </c>
      <c r="H207" s="40" t="s">
        <v>3857</v>
      </c>
      <c r="I207" s="40" t="s">
        <v>3858</v>
      </c>
      <c r="J207" s="40" t="s">
        <v>318</v>
      </c>
      <c r="K207" s="40" t="s">
        <v>318</v>
      </c>
      <c r="L207" s="40" t="s">
        <v>879</v>
      </c>
      <c r="M207" s="40" t="s">
        <v>393</v>
      </c>
      <c r="N207" s="40" t="s">
        <v>3681</v>
      </c>
      <c r="O207" s="40" t="s">
        <v>2867</v>
      </c>
      <c r="P207" s="40" t="s">
        <v>2685</v>
      </c>
      <c r="Q207" s="40" t="s">
        <v>2706</v>
      </c>
      <c r="R207" s="40" t="s">
        <v>2925</v>
      </c>
      <c r="S207" s="40" t="s">
        <v>1918</v>
      </c>
      <c r="T207" s="40" t="s">
        <v>393</v>
      </c>
      <c r="U207" s="40" t="s">
        <v>393</v>
      </c>
      <c r="V207" s="40" t="s">
        <v>393</v>
      </c>
      <c r="W207" s="40" t="s">
        <v>393</v>
      </c>
      <c r="X207" s="40" t="s">
        <v>393</v>
      </c>
      <c r="Y207" s="40" t="s">
        <v>393</v>
      </c>
      <c r="Z207" s="40" t="s">
        <v>393</v>
      </c>
      <c r="AA207" s="40" t="s">
        <v>393</v>
      </c>
      <c r="AB207" s="40" t="s">
        <v>393</v>
      </c>
      <c r="AC207" s="40" t="s">
        <v>393</v>
      </c>
      <c r="AD207" s="40" t="s">
        <v>393</v>
      </c>
      <c r="AE207" s="40" t="s">
        <v>3785</v>
      </c>
      <c r="AF207" s="40" t="s">
        <v>3785</v>
      </c>
      <c r="AG207" s="40" t="s">
        <v>393</v>
      </c>
      <c r="AH207" s="40" t="s">
        <v>2870</v>
      </c>
      <c r="AI207" s="40" t="s">
        <v>3786</v>
      </c>
      <c r="AJ207" s="40" t="s">
        <v>3786</v>
      </c>
      <c r="AK207" s="40" t="s">
        <v>345</v>
      </c>
      <c r="AL207" s="40" t="s">
        <v>345</v>
      </c>
      <c r="AM207" s="40" t="s">
        <v>393</v>
      </c>
      <c r="AN207" s="40" t="s">
        <v>393</v>
      </c>
      <c r="AO207" s="36" t="s">
        <v>393</v>
      </c>
    </row>
    <row r="208" spans="1:41">
      <c r="A208" s="40" t="s">
        <v>2677</v>
      </c>
      <c r="B208" s="40" t="s">
        <v>3677</v>
      </c>
      <c r="C208" s="40" t="s">
        <v>623</v>
      </c>
      <c r="D208" s="40" t="s">
        <v>2866</v>
      </c>
      <c r="E208" s="40" t="s">
        <v>1850</v>
      </c>
      <c r="F208" s="40" t="s">
        <v>3762</v>
      </c>
      <c r="G208" s="40" t="s">
        <v>393</v>
      </c>
      <c r="H208" s="40" t="s">
        <v>3859</v>
      </c>
      <c r="I208" s="40" t="s">
        <v>3860</v>
      </c>
      <c r="J208" s="40" t="s">
        <v>318</v>
      </c>
      <c r="K208" s="40" t="s">
        <v>318</v>
      </c>
      <c r="L208" s="40" t="s">
        <v>879</v>
      </c>
      <c r="M208" s="40" t="s">
        <v>393</v>
      </c>
      <c r="N208" s="40" t="s">
        <v>3681</v>
      </c>
      <c r="O208" s="40" t="s">
        <v>2867</v>
      </c>
      <c r="P208" s="40" t="s">
        <v>2685</v>
      </c>
      <c r="Q208" s="40" t="s">
        <v>2706</v>
      </c>
      <c r="R208" s="40" t="s">
        <v>3861</v>
      </c>
      <c r="S208" s="40" t="s">
        <v>3806</v>
      </c>
      <c r="T208" s="40" t="s">
        <v>393</v>
      </c>
      <c r="U208" s="40" t="s">
        <v>393</v>
      </c>
      <c r="V208" s="40" t="s">
        <v>393</v>
      </c>
      <c r="W208" s="40" t="s">
        <v>393</v>
      </c>
      <c r="X208" s="40" t="s">
        <v>393</v>
      </c>
      <c r="Y208" s="40" t="s">
        <v>393</v>
      </c>
      <c r="Z208" s="40" t="s">
        <v>393</v>
      </c>
      <c r="AA208" s="40" t="s">
        <v>393</v>
      </c>
      <c r="AB208" s="40" t="s">
        <v>393</v>
      </c>
      <c r="AC208" s="40" t="s">
        <v>393</v>
      </c>
      <c r="AD208" s="40" t="s">
        <v>393</v>
      </c>
      <c r="AE208" s="40" t="s">
        <v>3861</v>
      </c>
      <c r="AF208" s="40" t="s">
        <v>3861</v>
      </c>
      <c r="AG208" s="40" t="s">
        <v>393</v>
      </c>
      <c r="AH208" s="40" t="s">
        <v>305</v>
      </c>
      <c r="AI208" s="40" t="s">
        <v>3085</v>
      </c>
      <c r="AJ208" s="40" t="s">
        <v>1938</v>
      </c>
      <c r="AK208" s="40" t="s">
        <v>580</v>
      </c>
      <c r="AL208" s="40" t="s">
        <v>580</v>
      </c>
      <c r="AM208" s="40" t="s">
        <v>393</v>
      </c>
      <c r="AN208" s="40" t="s">
        <v>393</v>
      </c>
      <c r="AO208" s="36" t="s">
        <v>393</v>
      </c>
    </row>
    <row r="209" spans="1:41">
      <c r="A209" s="40" t="s">
        <v>2677</v>
      </c>
      <c r="B209" s="40" t="s">
        <v>3677</v>
      </c>
      <c r="C209" s="40" t="s">
        <v>623</v>
      </c>
      <c r="D209" s="40" t="s">
        <v>2866</v>
      </c>
      <c r="E209" s="40" t="s">
        <v>1850</v>
      </c>
      <c r="F209" s="40" t="s">
        <v>3764</v>
      </c>
      <c r="G209" s="40" t="s">
        <v>393</v>
      </c>
      <c r="H209" s="40" t="s">
        <v>3862</v>
      </c>
      <c r="I209" s="40" t="s">
        <v>3863</v>
      </c>
      <c r="J209" s="40" t="s">
        <v>318</v>
      </c>
      <c r="K209" s="40" t="s">
        <v>318</v>
      </c>
      <c r="L209" s="40" t="s">
        <v>879</v>
      </c>
      <c r="M209" s="40" t="s">
        <v>393</v>
      </c>
      <c r="N209" s="40" t="s">
        <v>3681</v>
      </c>
      <c r="O209" s="40" t="s">
        <v>2867</v>
      </c>
      <c r="P209" s="40" t="s">
        <v>2685</v>
      </c>
      <c r="Q209" s="40" t="s">
        <v>2706</v>
      </c>
      <c r="R209" s="40" t="s">
        <v>2758</v>
      </c>
      <c r="S209" s="40" t="s">
        <v>3864</v>
      </c>
      <c r="T209" s="40" t="s">
        <v>393</v>
      </c>
      <c r="U209" s="40" t="s">
        <v>393</v>
      </c>
      <c r="V209" s="40" t="s">
        <v>393</v>
      </c>
      <c r="W209" s="40" t="s">
        <v>393</v>
      </c>
      <c r="X209" s="40" t="s">
        <v>393</v>
      </c>
      <c r="Y209" s="40" t="s">
        <v>393</v>
      </c>
      <c r="Z209" s="40" t="s">
        <v>393</v>
      </c>
      <c r="AA209" s="40" t="s">
        <v>393</v>
      </c>
      <c r="AB209" s="40" t="s">
        <v>393</v>
      </c>
      <c r="AC209" s="40" t="s">
        <v>393</v>
      </c>
      <c r="AD209" s="40" t="s">
        <v>393</v>
      </c>
      <c r="AE209" s="40" t="s">
        <v>2758</v>
      </c>
      <c r="AF209" s="40" t="s">
        <v>2758</v>
      </c>
      <c r="AG209" s="40" t="s">
        <v>393</v>
      </c>
      <c r="AH209" s="40" t="s">
        <v>2805</v>
      </c>
      <c r="AI209" s="40" t="s">
        <v>1938</v>
      </c>
      <c r="AJ209" s="40" t="s">
        <v>354</v>
      </c>
      <c r="AK209" s="40" t="s">
        <v>442</v>
      </c>
      <c r="AL209" s="40" t="s">
        <v>442</v>
      </c>
      <c r="AM209" s="40" t="s">
        <v>393</v>
      </c>
      <c r="AN209" s="40" t="s">
        <v>393</v>
      </c>
      <c r="AO209" s="36" t="s">
        <v>393</v>
      </c>
    </row>
    <row r="210" spans="1:41">
      <c r="A210" s="40" t="s">
        <v>2677</v>
      </c>
      <c r="B210" s="40" t="s">
        <v>3677</v>
      </c>
      <c r="C210" s="40" t="s">
        <v>623</v>
      </c>
      <c r="D210" s="40" t="s">
        <v>2866</v>
      </c>
      <c r="E210" s="40" t="s">
        <v>1850</v>
      </c>
      <c r="F210" s="40" t="s">
        <v>3766</v>
      </c>
      <c r="G210" s="40" t="s">
        <v>393</v>
      </c>
      <c r="H210" s="40" t="s">
        <v>3865</v>
      </c>
      <c r="I210" s="40" t="s">
        <v>3866</v>
      </c>
      <c r="J210" s="40" t="s">
        <v>318</v>
      </c>
      <c r="K210" s="40" t="s">
        <v>318</v>
      </c>
      <c r="L210" s="40" t="s">
        <v>879</v>
      </c>
      <c r="M210" s="40" t="s">
        <v>393</v>
      </c>
      <c r="N210" s="40" t="s">
        <v>3681</v>
      </c>
      <c r="O210" s="40" t="s">
        <v>2867</v>
      </c>
      <c r="P210" s="40" t="s">
        <v>2685</v>
      </c>
      <c r="Q210" s="40" t="s">
        <v>2706</v>
      </c>
      <c r="R210" s="40" t="s">
        <v>2893</v>
      </c>
      <c r="S210" s="40" t="s">
        <v>3867</v>
      </c>
      <c r="T210" s="40" t="s">
        <v>393</v>
      </c>
      <c r="U210" s="40" t="s">
        <v>393</v>
      </c>
      <c r="V210" s="40" t="s">
        <v>393</v>
      </c>
      <c r="W210" s="40" t="s">
        <v>393</v>
      </c>
      <c r="X210" s="40" t="s">
        <v>393</v>
      </c>
      <c r="Y210" s="40" t="s">
        <v>393</v>
      </c>
      <c r="Z210" s="40" t="s">
        <v>393</v>
      </c>
      <c r="AA210" s="40" t="s">
        <v>393</v>
      </c>
      <c r="AB210" s="40" t="s">
        <v>393</v>
      </c>
      <c r="AC210" s="40" t="s">
        <v>393</v>
      </c>
      <c r="AD210" s="40" t="s">
        <v>393</v>
      </c>
      <c r="AE210" s="40" t="s">
        <v>2893</v>
      </c>
      <c r="AF210" s="40" t="s">
        <v>2893</v>
      </c>
      <c r="AG210" s="40" t="s">
        <v>393</v>
      </c>
      <c r="AH210" s="40" t="s">
        <v>2805</v>
      </c>
      <c r="AI210" s="40" t="s">
        <v>2925</v>
      </c>
      <c r="AJ210" s="40" t="s">
        <v>1938</v>
      </c>
      <c r="AK210" s="40" t="s">
        <v>490</v>
      </c>
      <c r="AL210" s="40" t="s">
        <v>490</v>
      </c>
      <c r="AM210" s="40" t="s">
        <v>393</v>
      </c>
      <c r="AN210" s="40" t="s">
        <v>393</v>
      </c>
      <c r="AO210" s="36" t="s">
        <v>393</v>
      </c>
    </row>
    <row r="211" spans="1:41">
      <c r="A211" s="40" t="s">
        <v>2677</v>
      </c>
      <c r="B211" s="40" t="s">
        <v>3677</v>
      </c>
      <c r="C211" s="40" t="s">
        <v>623</v>
      </c>
      <c r="D211" s="40" t="s">
        <v>2866</v>
      </c>
      <c r="E211" s="40" t="s">
        <v>1850</v>
      </c>
      <c r="F211" s="40" t="s">
        <v>3768</v>
      </c>
      <c r="G211" s="40" t="s">
        <v>393</v>
      </c>
      <c r="H211" s="40" t="s">
        <v>3868</v>
      </c>
      <c r="I211" s="40" t="s">
        <v>3869</v>
      </c>
      <c r="J211" s="40" t="s">
        <v>318</v>
      </c>
      <c r="K211" s="40" t="s">
        <v>318</v>
      </c>
      <c r="L211" s="40" t="s">
        <v>879</v>
      </c>
      <c r="M211" s="40" t="s">
        <v>393</v>
      </c>
      <c r="N211" s="40" t="s">
        <v>3681</v>
      </c>
      <c r="O211" s="40" t="s">
        <v>2867</v>
      </c>
      <c r="P211" s="40" t="s">
        <v>2685</v>
      </c>
      <c r="Q211" s="40" t="s">
        <v>2706</v>
      </c>
      <c r="R211" s="40" t="s">
        <v>3870</v>
      </c>
      <c r="S211" s="40" t="s">
        <v>3871</v>
      </c>
      <c r="T211" s="40" t="s">
        <v>393</v>
      </c>
      <c r="U211" s="40" t="s">
        <v>393</v>
      </c>
      <c r="V211" s="40" t="s">
        <v>393</v>
      </c>
      <c r="W211" s="40" t="s">
        <v>393</v>
      </c>
      <c r="X211" s="40" t="s">
        <v>393</v>
      </c>
      <c r="Y211" s="40" t="s">
        <v>393</v>
      </c>
      <c r="Z211" s="40" t="s">
        <v>393</v>
      </c>
      <c r="AA211" s="40" t="s">
        <v>393</v>
      </c>
      <c r="AB211" s="40" t="s">
        <v>393</v>
      </c>
      <c r="AC211" s="40" t="s">
        <v>393</v>
      </c>
      <c r="AD211" s="40" t="s">
        <v>393</v>
      </c>
      <c r="AE211" s="40" t="s">
        <v>3870</v>
      </c>
      <c r="AF211" s="40" t="s">
        <v>3870</v>
      </c>
      <c r="AG211" s="40" t="s">
        <v>393</v>
      </c>
      <c r="AH211" s="40" t="s">
        <v>2925</v>
      </c>
      <c r="AI211" s="40" t="s">
        <v>2925</v>
      </c>
      <c r="AJ211" s="40" t="s">
        <v>354</v>
      </c>
      <c r="AK211" s="40" t="s">
        <v>345</v>
      </c>
      <c r="AL211" s="40" t="s">
        <v>345</v>
      </c>
      <c r="AM211" s="40" t="s">
        <v>393</v>
      </c>
      <c r="AN211" s="40" t="s">
        <v>393</v>
      </c>
      <c r="AO211" s="36" t="s">
        <v>393</v>
      </c>
    </row>
    <row r="212" spans="1:41">
      <c r="A212" s="40" t="s">
        <v>2677</v>
      </c>
      <c r="B212" s="40" t="s">
        <v>3677</v>
      </c>
      <c r="C212" s="40" t="s">
        <v>623</v>
      </c>
      <c r="D212" s="40" t="s">
        <v>3872</v>
      </c>
      <c r="E212" s="40" t="s">
        <v>1850</v>
      </c>
      <c r="F212" s="40" t="s">
        <v>2680</v>
      </c>
      <c r="G212" s="40" t="s">
        <v>393</v>
      </c>
      <c r="H212" s="40" t="s">
        <v>3873</v>
      </c>
      <c r="I212" s="40" t="s">
        <v>3874</v>
      </c>
      <c r="J212" s="40" t="s">
        <v>318</v>
      </c>
      <c r="K212" s="40" t="s">
        <v>318</v>
      </c>
      <c r="L212" s="40" t="s">
        <v>879</v>
      </c>
      <c r="M212" s="40" t="s">
        <v>393</v>
      </c>
      <c r="N212" s="40" t="s">
        <v>3681</v>
      </c>
      <c r="O212" s="40" t="s">
        <v>3875</v>
      </c>
      <c r="P212" s="40" t="s">
        <v>3683</v>
      </c>
      <c r="Q212" s="40" t="s">
        <v>2439</v>
      </c>
      <c r="R212" s="40" t="s">
        <v>393</v>
      </c>
      <c r="S212" s="40" t="s">
        <v>3684</v>
      </c>
      <c r="T212" s="40" t="s">
        <v>393</v>
      </c>
      <c r="U212" s="40" t="s">
        <v>393</v>
      </c>
      <c r="V212" s="40" t="s">
        <v>393</v>
      </c>
      <c r="W212" s="40" t="s">
        <v>393</v>
      </c>
      <c r="X212" s="40" t="s">
        <v>393</v>
      </c>
      <c r="Y212" s="40" t="s">
        <v>393</v>
      </c>
      <c r="Z212" s="40" t="s">
        <v>393</v>
      </c>
      <c r="AA212" s="40" t="s">
        <v>393</v>
      </c>
      <c r="AB212" s="40" t="s">
        <v>393</v>
      </c>
      <c r="AC212" s="40" t="s">
        <v>393</v>
      </c>
      <c r="AD212" s="40" t="s">
        <v>393</v>
      </c>
      <c r="AE212" s="40" t="s">
        <v>3876</v>
      </c>
      <c r="AF212" s="40" t="s">
        <v>3687</v>
      </c>
      <c r="AG212" s="40" t="s">
        <v>393</v>
      </c>
      <c r="AH212" s="40" t="s">
        <v>2870</v>
      </c>
      <c r="AI212" s="40" t="s">
        <v>3786</v>
      </c>
      <c r="AJ212" s="40" t="s">
        <v>3786</v>
      </c>
      <c r="AK212" s="40" t="s">
        <v>360</v>
      </c>
      <c r="AL212" s="40" t="s">
        <v>360</v>
      </c>
      <c r="AM212" s="40" t="s">
        <v>393</v>
      </c>
      <c r="AN212" s="40" t="s">
        <v>393</v>
      </c>
      <c r="AO212" s="36" t="s">
        <v>3877</v>
      </c>
    </row>
    <row r="213" spans="1:41">
      <c r="A213" s="40" t="s">
        <v>2677</v>
      </c>
      <c r="B213" s="40" t="s">
        <v>3677</v>
      </c>
      <c r="C213" s="40" t="s">
        <v>623</v>
      </c>
      <c r="D213" s="40" t="s">
        <v>3872</v>
      </c>
      <c r="E213" s="40" t="s">
        <v>1850</v>
      </c>
      <c r="F213" s="40" t="s">
        <v>2782</v>
      </c>
      <c r="G213" s="40" t="s">
        <v>393</v>
      </c>
      <c r="H213" s="40" t="s">
        <v>3878</v>
      </c>
      <c r="I213" s="40" t="s">
        <v>3874</v>
      </c>
      <c r="J213" s="40" t="s">
        <v>318</v>
      </c>
      <c r="K213" s="40" t="s">
        <v>318</v>
      </c>
      <c r="L213" s="40" t="s">
        <v>879</v>
      </c>
      <c r="M213" s="40" t="s">
        <v>393</v>
      </c>
      <c r="N213" s="40" t="s">
        <v>3681</v>
      </c>
      <c r="O213" s="40" t="s">
        <v>3875</v>
      </c>
      <c r="P213" s="40" t="s">
        <v>3683</v>
      </c>
      <c r="Q213" s="40" t="s">
        <v>2439</v>
      </c>
      <c r="R213" s="40" t="s">
        <v>393</v>
      </c>
      <c r="S213" s="40" t="s">
        <v>3684</v>
      </c>
      <c r="T213" s="40" t="s">
        <v>393</v>
      </c>
      <c r="U213" s="40" t="s">
        <v>393</v>
      </c>
      <c r="V213" s="40" t="s">
        <v>393</v>
      </c>
      <c r="W213" s="40" t="s">
        <v>393</v>
      </c>
      <c r="X213" s="40" t="s">
        <v>393</v>
      </c>
      <c r="Y213" s="40" t="s">
        <v>393</v>
      </c>
      <c r="Z213" s="40" t="s">
        <v>393</v>
      </c>
      <c r="AA213" s="40" t="s">
        <v>393</v>
      </c>
      <c r="AB213" s="40" t="s">
        <v>393</v>
      </c>
      <c r="AC213" s="40" t="s">
        <v>393</v>
      </c>
      <c r="AD213" s="40" t="s">
        <v>393</v>
      </c>
      <c r="AE213" s="40" t="s">
        <v>3876</v>
      </c>
      <c r="AF213" s="40" t="s">
        <v>3687</v>
      </c>
      <c r="AG213" s="40" t="s">
        <v>393</v>
      </c>
      <c r="AH213" s="40" t="s">
        <v>2870</v>
      </c>
      <c r="AI213" s="40" t="s">
        <v>3786</v>
      </c>
      <c r="AJ213" s="40" t="s">
        <v>3786</v>
      </c>
      <c r="AK213" s="40" t="s">
        <v>360</v>
      </c>
      <c r="AL213" s="40" t="s">
        <v>360</v>
      </c>
      <c r="AM213" s="40" t="s">
        <v>393</v>
      </c>
      <c r="AN213" s="40" t="s">
        <v>393</v>
      </c>
      <c r="AO213" s="36" t="s">
        <v>3877</v>
      </c>
    </row>
    <row r="214" spans="1:41">
      <c r="A214" s="40" t="s">
        <v>2677</v>
      </c>
      <c r="B214" s="40" t="s">
        <v>3677</v>
      </c>
      <c r="C214" s="40" t="s">
        <v>623</v>
      </c>
      <c r="D214" s="40" t="s">
        <v>3872</v>
      </c>
      <c r="E214" s="40" t="s">
        <v>1850</v>
      </c>
      <c r="F214" s="40" t="s">
        <v>2740</v>
      </c>
      <c r="G214" s="40" t="s">
        <v>393</v>
      </c>
      <c r="H214" s="40" t="s">
        <v>3879</v>
      </c>
      <c r="I214" s="40" t="s">
        <v>3880</v>
      </c>
      <c r="J214" s="40" t="s">
        <v>318</v>
      </c>
      <c r="K214" s="40" t="s">
        <v>318</v>
      </c>
      <c r="L214" s="40" t="s">
        <v>879</v>
      </c>
      <c r="M214" s="40" t="s">
        <v>393</v>
      </c>
      <c r="N214" s="40" t="s">
        <v>3681</v>
      </c>
      <c r="O214" s="40" t="s">
        <v>3875</v>
      </c>
      <c r="P214" s="40" t="s">
        <v>2685</v>
      </c>
      <c r="Q214" s="40" t="s">
        <v>2706</v>
      </c>
      <c r="R214" s="40" t="s">
        <v>393</v>
      </c>
      <c r="S214" s="40" t="s">
        <v>583</v>
      </c>
      <c r="T214" s="40" t="s">
        <v>393</v>
      </c>
      <c r="U214" s="40" t="s">
        <v>393</v>
      </c>
      <c r="V214" s="40" t="s">
        <v>393</v>
      </c>
      <c r="W214" s="40" t="s">
        <v>393</v>
      </c>
      <c r="X214" s="40" t="s">
        <v>393</v>
      </c>
      <c r="Y214" s="40" t="s">
        <v>393</v>
      </c>
      <c r="Z214" s="40" t="s">
        <v>393</v>
      </c>
      <c r="AA214" s="40" t="s">
        <v>393</v>
      </c>
      <c r="AB214" s="40" t="s">
        <v>393</v>
      </c>
      <c r="AC214" s="40" t="s">
        <v>393</v>
      </c>
      <c r="AD214" s="40" t="s">
        <v>393</v>
      </c>
      <c r="AE214" s="40" t="s">
        <v>3876</v>
      </c>
      <c r="AF214" s="40" t="s">
        <v>3687</v>
      </c>
      <c r="AG214" s="40" t="s">
        <v>393</v>
      </c>
      <c r="AH214" s="40" t="s">
        <v>364</v>
      </c>
      <c r="AI214" s="40" t="s">
        <v>364</v>
      </c>
      <c r="AJ214" s="40" t="s">
        <v>364</v>
      </c>
      <c r="AK214" s="40" t="s">
        <v>330</v>
      </c>
      <c r="AL214" s="40" t="s">
        <v>330</v>
      </c>
      <c r="AM214" s="40" t="s">
        <v>393</v>
      </c>
      <c r="AN214" s="40" t="s">
        <v>393</v>
      </c>
      <c r="AO214" s="36" t="s">
        <v>3881</v>
      </c>
    </row>
    <row r="215" spans="1:41">
      <c r="A215" s="40" t="s">
        <v>2677</v>
      </c>
      <c r="B215" s="40" t="s">
        <v>3677</v>
      </c>
      <c r="C215" s="40" t="s">
        <v>623</v>
      </c>
      <c r="D215" s="40" t="s">
        <v>3872</v>
      </c>
      <c r="E215" s="40" t="s">
        <v>1850</v>
      </c>
      <c r="F215" s="40" t="s">
        <v>2920</v>
      </c>
      <c r="G215" s="40" t="s">
        <v>393</v>
      </c>
      <c r="H215" s="40" t="s">
        <v>3882</v>
      </c>
      <c r="I215" s="40" t="s">
        <v>3883</v>
      </c>
      <c r="J215" s="40" t="s">
        <v>318</v>
      </c>
      <c r="K215" s="40" t="s">
        <v>318</v>
      </c>
      <c r="L215" s="40" t="s">
        <v>879</v>
      </c>
      <c r="M215" s="40" t="s">
        <v>393</v>
      </c>
      <c r="N215" s="40" t="s">
        <v>3681</v>
      </c>
      <c r="O215" s="40" t="s">
        <v>3875</v>
      </c>
      <c r="P215" s="40" t="s">
        <v>2685</v>
      </c>
      <c r="Q215" s="40" t="s">
        <v>2706</v>
      </c>
      <c r="R215" s="40" t="s">
        <v>393</v>
      </c>
      <c r="S215" s="40" t="s">
        <v>3381</v>
      </c>
      <c r="T215" s="40" t="s">
        <v>393</v>
      </c>
      <c r="U215" s="40" t="s">
        <v>393</v>
      </c>
      <c r="V215" s="40" t="s">
        <v>393</v>
      </c>
      <c r="W215" s="40" t="s">
        <v>393</v>
      </c>
      <c r="X215" s="40" t="s">
        <v>393</v>
      </c>
      <c r="Y215" s="40" t="s">
        <v>393</v>
      </c>
      <c r="Z215" s="40" t="s">
        <v>393</v>
      </c>
      <c r="AA215" s="40" t="s">
        <v>393</v>
      </c>
      <c r="AB215" s="40" t="s">
        <v>393</v>
      </c>
      <c r="AC215" s="40" t="s">
        <v>393</v>
      </c>
      <c r="AD215" s="40" t="s">
        <v>393</v>
      </c>
      <c r="AE215" s="40" t="s">
        <v>2904</v>
      </c>
      <c r="AF215" s="40" t="s">
        <v>3687</v>
      </c>
      <c r="AG215" s="40" t="s">
        <v>393</v>
      </c>
      <c r="AH215" s="40" t="s">
        <v>354</v>
      </c>
      <c r="AI215" s="40" t="s">
        <v>354</v>
      </c>
      <c r="AJ215" s="40" t="s">
        <v>3700</v>
      </c>
      <c r="AK215" s="40" t="s">
        <v>345</v>
      </c>
      <c r="AL215" s="40" t="s">
        <v>345</v>
      </c>
      <c r="AM215" s="40" t="s">
        <v>393</v>
      </c>
      <c r="AN215" s="40" t="s">
        <v>393</v>
      </c>
      <c r="AO215" s="36" t="s">
        <v>393</v>
      </c>
    </row>
    <row r="216" spans="1:41">
      <c r="A216" s="40" t="s">
        <v>2677</v>
      </c>
      <c r="B216" s="40" t="s">
        <v>3677</v>
      </c>
      <c r="C216" s="40" t="s">
        <v>623</v>
      </c>
      <c r="D216" s="40" t="s">
        <v>3872</v>
      </c>
      <c r="E216" s="40" t="s">
        <v>1850</v>
      </c>
      <c r="F216" s="40" t="s">
        <v>3293</v>
      </c>
      <c r="G216" s="40" t="s">
        <v>393</v>
      </c>
      <c r="H216" s="40" t="s">
        <v>3884</v>
      </c>
      <c r="I216" s="40" t="s">
        <v>3885</v>
      </c>
      <c r="J216" s="40" t="s">
        <v>318</v>
      </c>
      <c r="K216" s="40" t="s">
        <v>318</v>
      </c>
      <c r="L216" s="40" t="s">
        <v>879</v>
      </c>
      <c r="M216" s="40" t="s">
        <v>393</v>
      </c>
      <c r="N216" s="40" t="s">
        <v>3681</v>
      </c>
      <c r="O216" s="40" t="s">
        <v>3875</v>
      </c>
      <c r="P216" s="40" t="s">
        <v>2685</v>
      </c>
      <c r="Q216" s="40" t="s">
        <v>2706</v>
      </c>
      <c r="R216" s="40" t="s">
        <v>393</v>
      </c>
      <c r="S216" s="40" t="s">
        <v>3886</v>
      </c>
      <c r="T216" s="40" t="s">
        <v>393</v>
      </c>
      <c r="U216" s="40" t="s">
        <v>393</v>
      </c>
      <c r="V216" s="40" t="s">
        <v>393</v>
      </c>
      <c r="W216" s="40" t="s">
        <v>393</v>
      </c>
      <c r="X216" s="40" t="s">
        <v>393</v>
      </c>
      <c r="Y216" s="40" t="s">
        <v>393</v>
      </c>
      <c r="Z216" s="40" t="s">
        <v>393</v>
      </c>
      <c r="AA216" s="40" t="s">
        <v>393</v>
      </c>
      <c r="AB216" s="40" t="s">
        <v>393</v>
      </c>
      <c r="AC216" s="40" t="s">
        <v>393</v>
      </c>
      <c r="AD216" s="40" t="s">
        <v>393</v>
      </c>
      <c r="AE216" s="40" t="s">
        <v>804</v>
      </c>
      <c r="AF216" s="40" t="s">
        <v>754</v>
      </c>
      <c r="AG216" s="40" t="s">
        <v>393</v>
      </c>
      <c r="AH216" s="40" t="s">
        <v>393</v>
      </c>
      <c r="AI216" s="40" t="s">
        <v>393</v>
      </c>
      <c r="AJ216" s="40" t="s">
        <v>393</v>
      </c>
      <c r="AK216" s="40" t="s">
        <v>393</v>
      </c>
      <c r="AL216" s="40" t="s">
        <v>393</v>
      </c>
      <c r="AM216" s="40" t="s">
        <v>393</v>
      </c>
      <c r="AN216" s="40" t="s">
        <v>393</v>
      </c>
      <c r="AO216" s="36" t="s">
        <v>393</v>
      </c>
    </row>
    <row r="217" spans="1:41">
      <c r="A217" s="40" t="s">
        <v>2677</v>
      </c>
      <c r="B217" s="40" t="s">
        <v>3677</v>
      </c>
      <c r="C217" s="40" t="s">
        <v>623</v>
      </c>
      <c r="D217" s="40" t="s">
        <v>3872</v>
      </c>
      <c r="E217" s="40" t="s">
        <v>1850</v>
      </c>
      <c r="F217" s="40" t="s">
        <v>3349</v>
      </c>
      <c r="G217" s="40" t="s">
        <v>393</v>
      </c>
      <c r="H217" s="40" t="s">
        <v>3887</v>
      </c>
      <c r="I217" s="40" t="s">
        <v>3888</v>
      </c>
      <c r="J217" s="40" t="s">
        <v>318</v>
      </c>
      <c r="K217" s="40" t="s">
        <v>318</v>
      </c>
      <c r="L217" s="40" t="s">
        <v>879</v>
      </c>
      <c r="M217" s="40" t="s">
        <v>393</v>
      </c>
      <c r="N217" s="40" t="s">
        <v>3681</v>
      </c>
      <c r="O217" s="40" t="s">
        <v>3875</v>
      </c>
      <c r="P217" s="40" t="s">
        <v>2685</v>
      </c>
      <c r="Q217" s="40" t="s">
        <v>2706</v>
      </c>
      <c r="R217" s="40" t="s">
        <v>393</v>
      </c>
      <c r="S217" s="40" t="s">
        <v>2807</v>
      </c>
      <c r="T217" s="40" t="s">
        <v>393</v>
      </c>
      <c r="U217" s="40" t="s">
        <v>393</v>
      </c>
      <c r="V217" s="40" t="s">
        <v>393</v>
      </c>
      <c r="W217" s="40" t="s">
        <v>393</v>
      </c>
      <c r="X217" s="40" t="s">
        <v>393</v>
      </c>
      <c r="Y217" s="40" t="s">
        <v>393</v>
      </c>
      <c r="Z217" s="40" t="s">
        <v>393</v>
      </c>
      <c r="AA217" s="40" t="s">
        <v>393</v>
      </c>
      <c r="AB217" s="40" t="s">
        <v>393</v>
      </c>
      <c r="AC217" s="40" t="s">
        <v>393</v>
      </c>
      <c r="AD217" s="40" t="s">
        <v>393</v>
      </c>
      <c r="AE217" s="40" t="s">
        <v>3889</v>
      </c>
      <c r="AF217" s="40" t="s">
        <v>3890</v>
      </c>
      <c r="AG217" s="40" t="s">
        <v>393</v>
      </c>
      <c r="AH217" s="40" t="s">
        <v>393</v>
      </c>
      <c r="AI217" s="40" t="s">
        <v>393</v>
      </c>
      <c r="AJ217" s="40" t="s">
        <v>393</v>
      </c>
      <c r="AK217" s="40" t="s">
        <v>393</v>
      </c>
      <c r="AL217" s="40" t="s">
        <v>393</v>
      </c>
      <c r="AM217" s="40" t="s">
        <v>393</v>
      </c>
      <c r="AN217" s="40" t="s">
        <v>393</v>
      </c>
      <c r="AO217" s="36" t="s">
        <v>393</v>
      </c>
    </row>
    <row r="218" spans="1:41">
      <c r="A218" s="40" t="s">
        <v>2677</v>
      </c>
      <c r="B218" s="40" t="s">
        <v>3677</v>
      </c>
      <c r="C218" s="40" t="s">
        <v>623</v>
      </c>
      <c r="D218" s="40" t="s">
        <v>3872</v>
      </c>
      <c r="E218" s="40" t="s">
        <v>1850</v>
      </c>
      <c r="F218" s="40" t="s">
        <v>2888</v>
      </c>
      <c r="G218" s="40" t="s">
        <v>393</v>
      </c>
      <c r="H218" s="40" t="s">
        <v>3891</v>
      </c>
      <c r="I218" s="40" t="s">
        <v>3892</v>
      </c>
      <c r="J218" s="40" t="s">
        <v>318</v>
      </c>
      <c r="K218" s="40" t="s">
        <v>318</v>
      </c>
      <c r="L218" s="40" t="s">
        <v>879</v>
      </c>
      <c r="M218" s="40" t="s">
        <v>393</v>
      </c>
      <c r="N218" s="40" t="s">
        <v>3681</v>
      </c>
      <c r="O218" s="40" t="s">
        <v>3875</v>
      </c>
      <c r="P218" s="40" t="s">
        <v>2685</v>
      </c>
      <c r="Q218" s="40" t="s">
        <v>2706</v>
      </c>
      <c r="R218" s="40" t="s">
        <v>393</v>
      </c>
      <c r="S218" s="40" t="s">
        <v>2807</v>
      </c>
      <c r="T218" s="40" t="s">
        <v>393</v>
      </c>
      <c r="U218" s="40" t="s">
        <v>393</v>
      </c>
      <c r="V218" s="40" t="s">
        <v>393</v>
      </c>
      <c r="W218" s="40" t="s">
        <v>393</v>
      </c>
      <c r="X218" s="40" t="s">
        <v>393</v>
      </c>
      <c r="Y218" s="40" t="s">
        <v>393</v>
      </c>
      <c r="Z218" s="40" t="s">
        <v>393</v>
      </c>
      <c r="AA218" s="40" t="s">
        <v>393</v>
      </c>
      <c r="AB218" s="40" t="s">
        <v>393</v>
      </c>
      <c r="AC218" s="40" t="s">
        <v>393</v>
      </c>
      <c r="AD218" s="40" t="s">
        <v>393</v>
      </c>
      <c r="AE218" s="40" t="s">
        <v>3889</v>
      </c>
      <c r="AF218" s="40" t="s">
        <v>3890</v>
      </c>
      <c r="AG218" s="40" t="s">
        <v>393</v>
      </c>
      <c r="AH218" s="40" t="s">
        <v>393</v>
      </c>
      <c r="AI218" s="40" t="s">
        <v>393</v>
      </c>
      <c r="AJ218" s="40" t="s">
        <v>393</v>
      </c>
      <c r="AK218" s="40" t="s">
        <v>393</v>
      </c>
      <c r="AL218" s="40" t="s">
        <v>393</v>
      </c>
      <c r="AM218" s="40" t="s">
        <v>393</v>
      </c>
      <c r="AN218" s="40" t="s">
        <v>393</v>
      </c>
      <c r="AO218" s="36" t="s">
        <v>393</v>
      </c>
    </row>
    <row r="219" spans="1:41">
      <c r="A219" s="40" t="s">
        <v>2677</v>
      </c>
      <c r="B219" s="40" t="s">
        <v>3677</v>
      </c>
      <c r="C219" s="40" t="s">
        <v>623</v>
      </c>
      <c r="D219" s="40" t="s">
        <v>3872</v>
      </c>
      <c r="E219" s="40" t="s">
        <v>1850</v>
      </c>
      <c r="F219" s="40" t="s">
        <v>3623</v>
      </c>
      <c r="G219" s="40" t="s">
        <v>393</v>
      </c>
      <c r="H219" s="40" t="s">
        <v>3893</v>
      </c>
      <c r="I219" s="40" t="s">
        <v>3894</v>
      </c>
      <c r="J219" s="40" t="s">
        <v>318</v>
      </c>
      <c r="K219" s="40" t="s">
        <v>318</v>
      </c>
      <c r="L219" s="40" t="s">
        <v>879</v>
      </c>
      <c r="M219" s="40" t="s">
        <v>393</v>
      </c>
      <c r="N219" s="40" t="s">
        <v>3681</v>
      </c>
      <c r="O219" s="40" t="s">
        <v>3875</v>
      </c>
      <c r="P219" s="40" t="s">
        <v>2685</v>
      </c>
      <c r="Q219" s="40" t="s">
        <v>2706</v>
      </c>
      <c r="R219" s="40" t="s">
        <v>3700</v>
      </c>
      <c r="S219" s="40" t="s">
        <v>3692</v>
      </c>
      <c r="T219" s="40" t="s">
        <v>393</v>
      </c>
      <c r="U219" s="40" t="s">
        <v>393</v>
      </c>
      <c r="V219" s="40" t="s">
        <v>393</v>
      </c>
      <c r="W219" s="40" t="s">
        <v>393</v>
      </c>
      <c r="X219" s="40" t="s">
        <v>393</v>
      </c>
      <c r="Y219" s="40" t="s">
        <v>393</v>
      </c>
      <c r="Z219" s="40" t="s">
        <v>393</v>
      </c>
      <c r="AA219" s="40" t="s">
        <v>393</v>
      </c>
      <c r="AB219" s="40" t="s">
        <v>393</v>
      </c>
      <c r="AC219" s="40" t="s">
        <v>393</v>
      </c>
      <c r="AD219" s="40" t="s">
        <v>393</v>
      </c>
      <c r="AE219" s="40" t="s">
        <v>3895</v>
      </c>
      <c r="AF219" s="40" t="s">
        <v>3687</v>
      </c>
      <c r="AG219" s="40" t="s">
        <v>393</v>
      </c>
      <c r="AH219" s="40" t="s">
        <v>3699</v>
      </c>
      <c r="AI219" s="40" t="s">
        <v>3699</v>
      </c>
      <c r="AJ219" s="40" t="s">
        <v>354</v>
      </c>
      <c r="AK219" s="40" t="s">
        <v>371</v>
      </c>
      <c r="AL219" s="40" t="s">
        <v>371</v>
      </c>
      <c r="AM219" s="40" t="s">
        <v>393</v>
      </c>
      <c r="AN219" s="40" t="s">
        <v>393</v>
      </c>
      <c r="AO219" s="36" t="s">
        <v>393</v>
      </c>
    </row>
    <row r="220" spans="1:41">
      <c r="A220" s="40" t="s">
        <v>2677</v>
      </c>
      <c r="B220" s="40" t="s">
        <v>3677</v>
      </c>
      <c r="C220" s="40" t="s">
        <v>623</v>
      </c>
      <c r="D220" s="40" t="s">
        <v>3872</v>
      </c>
      <c r="E220" s="40" t="s">
        <v>1850</v>
      </c>
      <c r="F220" s="40" t="s">
        <v>3625</v>
      </c>
      <c r="G220" s="40" t="s">
        <v>393</v>
      </c>
      <c r="H220" s="40" t="s">
        <v>3896</v>
      </c>
      <c r="I220" s="40" t="s">
        <v>3897</v>
      </c>
      <c r="J220" s="40" t="s">
        <v>318</v>
      </c>
      <c r="K220" s="40" t="s">
        <v>318</v>
      </c>
      <c r="L220" s="40" t="s">
        <v>879</v>
      </c>
      <c r="M220" s="40" t="s">
        <v>393</v>
      </c>
      <c r="N220" s="40" t="s">
        <v>3681</v>
      </c>
      <c r="O220" s="40" t="s">
        <v>3875</v>
      </c>
      <c r="P220" s="40" t="s">
        <v>2685</v>
      </c>
      <c r="Q220" s="40" t="s">
        <v>2706</v>
      </c>
      <c r="R220" s="40" t="s">
        <v>3698</v>
      </c>
      <c r="S220" s="40" t="s">
        <v>3088</v>
      </c>
      <c r="T220" s="40" t="s">
        <v>393</v>
      </c>
      <c r="U220" s="40" t="s">
        <v>393</v>
      </c>
      <c r="V220" s="40" t="s">
        <v>393</v>
      </c>
      <c r="W220" s="40" t="s">
        <v>393</v>
      </c>
      <c r="X220" s="40" t="s">
        <v>393</v>
      </c>
      <c r="Y220" s="40" t="s">
        <v>393</v>
      </c>
      <c r="Z220" s="40" t="s">
        <v>393</v>
      </c>
      <c r="AA220" s="40" t="s">
        <v>393</v>
      </c>
      <c r="AB220" s="40" t="s">
        <v>393</v>
      </c>
      <c r="AC220" s="40" t="s">
        <v>393</v>
      </c>
      <c r="AD220" s="40" t="s">
        <v>393</v>
      </c>
      <c r="AE220" s="40" t="s">
        <v>3898</v>
      </c>
      <c r="AF220" s="40" t="s">
        <v>3687</v>
      </c>
      <c r="AG220" s="40" t="s">
        <v>393</v>
      </c>
      <c r="AH220" s="40" t="s">
        <v>354</v>
      </c>
      <c r="AI220" s="40" t="s">
        <v>354</v>
      </c>
      <c r="AJ220" s="40" t="s">
        <v>3700</v>
      </c>
      <c r="AK220" s="40" t="s">
        <v>345</v>
      </c>
      <c r="AL220" s="40" t="s">
        <v>345</v>
      </c>
      <c r="AM220" s="40" t="s">
        <v>393</v>
      </c>
      <c r="AN220" s="40" t="s">
        <v>393</v>
      </c>
      <c r="AO220" s="36" t="s">
        <v>393</v>
      </c>
    </row>
    <row r="221" spans="1:41">
      <c r="A221" s="40" t="s">
        <v>2677</v>
      </c>
      <c r="B221" s="40" t="s">
        <v>3802</v>
      </c>
      <c r="C221" s="40" t="s">
        <v>623</v>
      </c>
      <c r="D221" s="40" t="s">
        <v>3872</v>
      </c>
      <c r="E221" s="40" t="s">
        <v>1850</v>
      </c>
      <c r="F221" s="40" t="s">
        <v>3715</v>
      </c>
      <c r="G221" s="40" t="s">
        <v>393</v>
      </c>
      <c r="H221" s="40" t="s">
        <v>3899</v>
      </c>
      <c r="I221" s="40" t="s">
        <v>3900</v>
      </c>
      <c r="J221" s="40" t="s">
        <v>318</v>
      </c>
      <c r="K221" s="40" t="s">
        <v>318</v>
      </c>
      <c r="L221" s="40" t="s">
        <v>879</v>
      </c>
      <c r="M221" s="40" t="s">
        <v>393</v>
      </c>
      <c r="N221" s="40" t="s">
        <v>3681</v>
      </c>
      <c r="O221" s="40" t="s">
        <v>3875</v>
      </c>
      <c r="P221" s="40" t="s">
        <v>2685</v>
      </c>
      <c r="Q221" s="40" t="s">
        <v>2706</v>
      </c>
      <c r="R221" s="40" t="s">
        <v>2870</v>
      </c>
      <c r="S221" s="40" t="s">
        <v>2020</v>
      </c>
      <c r="T221" s="40" t="s">
        <v>393</v>
      </c>
      <c r="U221" s="40" t="s">
        <v>393</v>
      </c>
      <c r="V221" s="40" t="s">
        <v>393</v>
      </c>
      <c r="W221" s="40" t="s">
        <v>393</v>
      </c>
      <c r="X221" s="40" t="s">
        <v>393</v>
      </c>
      <c r="Y221" s="40" t="s">
        <v>393</v>
      </c>
      <c r="Z221" s="40" t="s">
        <v>393</v>
      </c>
      <c r="AA221" s="40" t="s">
        <v>393</v>
      </c>
      <c r="AB221" s="40" t="s">
        <v>393</v>
      </c>
      <c r="AC221" s="40" t="s">
        <v>393</v>
      </c>
      <c r="AD221" s="40" t="s">
        <v>393</v>
      </c>
      <c r="AE221" s="40" t="s">
        <v>3686</v>
      </c>
      <c r="AF221" s="40" t="s">
        <v>3687</v>
      </c>
      <c r="AG221" s="40" t="s">
        <v>393</v>
      </c>
      <c r="AH221" s="40" t="s">
        <v>2870</v>
      </c>
      <c r="AI221" s="40" t="s">
        <v>3786</v>
      </c>
      <c r="AJ221" s="40" t="s">
        <v>3786</v>
      </c>
      <c r="AK221" s="40" t="s">
        <v>330</v>
      </c>
      <c r="AL221" s="40" t="s">
        <v>330</v>
      </c>
      <c r="AM221" s="40" t="s">
        <v>393</v>
      </c>
      <c r="AN221" s="40" t="s">
        <v>393</v>
      </c>
      <c r="AO221" s="36" t="s">
        <v>393</v>
      </c>
    </row>
    <row r="222" spans="1:41">
      <c r="A222" s="40" t="s">
        <v>2677</v>
      </c>
      <c r="B222" s="40" t="s">
        <v>3446</v>
      </c>
      <c r="C222" s="40" t="s">
        <v>623</v>
      </c>
      <c r="D222" s="40" t="s">
        <v>3872</v>
      </c>
      <c r="E222" s="40" t="s">
        <v>1850</v>
      </c>
      <c r="F222" s="40" t="s">
        <v>3717</v>
      </c>
      <c r="G222" s="40" t="s">
        <v>15</v>
      </c>
      <c r="H222" s="40" t="s">
        <v>3901</v>
      </c>
      <c r="I222" s="40" t="s">
        <v>3902</v>
      </c>
      <c r="J222" s="40" t="s">
        <v>318</v>
      </c>
      <c r="K222" s="40" t="s">
        <v>318</v>
      </c>
      <c r="L222" s="40" t="s">
        <v>879</v>
      </c>
      <c r="M222" s="40" t="s">
        <v>393</v>
      </c>
      <c r="N222" s="40" t="s">
        <v>3681</v>
      </c>
      <c r="O222" s="40" t="s">
        <v>3875</v>
      </c>
      <c r="P222" s="40" t="s">
        <v>2785</v>
      </c>
      <c r="Q222" s="40" t="s">
        <v>2439</v>
      </c>
      <c r="R222" s="40" t="s">
        <v>2842</v>
      </c>
      <c r="S222" s="40" t="s">
        <v>3806</v>
      </c>
      <c r="T222" s="40" t="s">
        <v>393</v>
      </c>
      <c r="U222" s="40" t="s">
        <v>393</v>
      </c>
      <c r="V222" s="40" t="s">
        <v>393</v>
      </c>
      <c r="W222" s="40" t="s">
        <v>393</v>
      </c>
      <c r="X222" s="40" t="s">
        <v>393</v>
      </c>
      <c r="Y222" s="40" t="s">
        <v>393</v>
      </c>
      <c r="Z222" s="40" t="s">
        <v>393</v>
      </c>
      <c r="AA222" s="40" t="s">
        <v>393</v>
      </c>
      <c r="AB222" s="40" t="s">
        <v>393</v>
      </c>
      <c r="AC222" s="40" t="s">
        <v>393</v>
      </c>
      <c r="AD222" s="40" t="s">
        <v>393</v>
      </c>
      <c r="AE222" s="40" t="s">
        <v>766</v>
      </c>
      <c r="AF222" s="40" t="s">
        <v>3903</v>
      </c>
      <c r="AG222" s="40" t="s">
        <v>393</v>
      </c>
      <c r="AH222" s="40" t="s">
        <v>2815</v>
      </c>
      <c r="AI222" s="40" t="s">
        <v>2790</v>
      </c>
      <c r="AJ222" s="40" t="s">
        <v>2790</v>
      </c>
      <c r="AK222" s="40" t="s">
        <v>412</v>
      </c>
      <c r="AL222" s="40" t="s">
        <v>505</v>
      </c>
      <c r="AM222" s="40" t="s">
        <v>393</v>
      </c>
      <c r="AN222" s="40" t="s">
        <v>393</v>
      </c>
      <c r="AO222" s="36" t="s">
        <v>393</v>
      </c>
    </row>
    <row r="223" spans="1:41">
      <c r="A223" s="40" t="s">
        <v>2677</v>
      </c>
      <c r="B223" s="40" t="s">
        <v>3446</v>
      </c>
      <c r="C223" s="40" t="s">
        <v>623</v>
      </c>
      <c r="D223" s="40" t="s">
        <v>3872</v>
      </c>
      <c r="E223" s="40" t="s">
        <v>1850</v>
      </c>
      <c r="F223" s="40" t="s">
        <v>3717</v>
      </c>
      <c r="G223" s="40" t="s">
        <v>321</v>
      </c>
      <c r="H223" s="40" t="s">
        <v>3904</v>
      </c>
      <c r="I223" s="40" t="s">
        <v>3902</v>
      </c>
      <c r="J223" s="40" t="s">
        <v>318</v>
      </c>
      <c r="K223" s="40" t="s">
        <v>318</v>
      </c>
      <c r="L223" s="40" t="s">
        <v>879</v>
      </c>
      <c r="M223" s="40" t="s">
        <v>393</v>
      </c>
      <c r="N223" s="40" t="s">
        <v>3681</v>
      </c>
      <c r="O223" s="40" t="s">
        <v>3875</v>
      </c>
      <c r="P223" s="40" t="s">
        <v>2785</v>
      </c>
      <c r="Q223" s="40" t="s">
        <v>3905</v>
      </c>
      <c r="R223" s="40" t="s">
        <v>2842</v>
      </c>
      <c r="S223" s="40" t="s">
        <v>3806</v>
      </c>
      <c r="T223" s="40" t="s">
        <v>393</v>
      </c>
      <c r="U223" s="40" t="s">
        <v>393</v>
      </c>
      <c r="V223" s="40" t="s">
        <v>393</v>
      </c>
      <c r="W223" s="40" t="s">
        <v>393</v>
      </c>
      <c r="X223" s="40" t="s">
        <v>393</v>
      </c>
      <c r="Y223" s="40" t="s">
        <v>393</v>
      </c>
      <c r="Z223" s="40" t="s">
        <v>393</v>
      </c>
      <c r="AA223" s="40" t="s">
        <v>393</v>
      </c>
      <c r="AB223" s="40" t="s">
        <v>393</v>
      </c>
      <c r="AC223" s="40" t="s">
        <v>393</v>
      </c>
      <c r="AD223" s="40" t="s">
        <v>393</v>
      </c>
      <c r="AE223" s="40" t="s">
        <v>766</v>
      </c>
      <c r="AF223" s="40" t="s">
        <v>3903</v>
      </c>
      <c r="AG223" s="40" t="s">
        <v>393</v>
      </c>
      <c r="AH223" s="40" t="s">
        <v>2815</v>
      </c>
      <c r="AI223" s="40" t="s">
        <v>2790</v>
      </c>
      <c r="AJ223" s="40" t="s">
        <v>2790</v>
      </c>
      <c r="AK223" s="40" t="s">
        <v>412</v>
      </c>
      <c r="AL223" s="40" t="s">
        <v>505</v>
      </c>
      <c r="AM223" s="40" t="s">
        <v>393</v>
      </c>
      <c r="AN223" s="40" t="s">
        <v>393</v>
      </c>
      <c r="AO223" s="36" t="s">
        <v>393</v>
      </c>
    </row>
    <row r="224" spans="1:41">
      <c r="A224" s="40" t="s">
        <v>2677</v>
      </c>
      <c r="B224" s="40" t="s">
        <v>3446</v>
      </c>
      <c r="C224" s="40" t="s">
        <v>623</v>
      </c>
      <c r="D224" s="40" t="s">
        <v>3872</v>
      </c>
      <c r="E224" s="40" t="s">
        <v>1850</v>
      </c>
      <c r="F224" s="40" t="s">
        <v>3720</v>
      </c>
      <c r="G224" s="40" t="s">
        <v>15</v>
      </c>
      <c r="H224" s="40" t="s">
        <v>3906</v>
      </c>
      <c r="I224" s="40" t="s">
        <v>3907</v>
      </c>
      <c r="J224" s="40" t="s">
        <v>318</v>
      </c>
      <c r="K224" s="40" t="s">
        <v>318</v>
      </c>
      <c r="L224" s="40" t="s">
        <v>879</v>
      </c>
      <c r="M224" s="40" t="s">
        <v>393</v>
      </c>
      <c r="N224" s="40" t="s">
        <v>3681</v>
      </c>
      <c r="O224" s="40" t="s">
        <v>3875</v>
      </c>
      <c r="P224" s="40" t="s">
        <v>2785</v>
      </c>
      <c r="Q224" s="40" t="s">
        <v>2439</v>
      </c>
      <c r="R224" s="40" t="s">
        <v>2842</v>
      </c>
      <c r="S224" s="40" t="s">
        <v>3806</v>
      </c>
      <c r="T224" s="40" t="s">
        <v>393</v>
      </c>
      <c r="U224" s="40" t="s">
        <v>393</v>
      </c>
      <c r="V224" s="40" t="s">
        <v>393</v>
      </c>
      <c r="W224" s="40" t="s">
        <v>393</v>
      </c>
      <c r="X224" s="40" t="s">
        <v>393</v>
      </c>
      <c r="Y224" s="40" t="s">
        <v>393</v>
      </c>
      <c r="Z224" s="40" t="s">
        <v>393</v>
      </c>
      <c r="AA224" s="40" t="s">
        <v>393</v>
      </c>
      <c r="AB224" s="40" t="s">
        <v>393</v>
      </c>
      <c r="AC224" s="40" t="s">
        <v>393</v>
      </c>
      <c r="AD224" s="40" t="s">
        <v>393</v>
      </c>
      <c r="AE224" s="40" t="s">
        <v>766</v>
      </c>
      <c r="AF224" s="40" t="s">
        <v>3903</v>
      </c>
      <c r="AG224" s="40" t="s">
        <v>393</v>
      </c>
      <c r="AH224" s="40" t="s">
        <v>2815</v>
      </c>
      <c r="AI224" s="40" t="s">
        <v>2790</v>
      </c>
      <c r="AJ224" s="40" t="s">
        <v>2790</v>
      </c>
      <c r="AK224" s="40" t="s">
        <v>412</v>
      </c>
      <c r="AL224" s="40" t="s">
        <v>505</v>
      </c>
      <c r="AM224" s="40" t="s">
        <v>393</v>
      </c>
      <c r="AN224" s="40" t="s">
        <v>393</v>
      </c>
      <c r="AO224" s="36" t="s">
        <v>393</v>
      </c>
    </row>
    <row r="225" spans="1:41">
      <c r="A225" s="40" t="s">
        <v>2677</v>
      </c>
      <c r="B225" s="40" t="s">
        <v>3446</v>
      </c>
      <c r="C225" s="40" t="s">
        <v>623</v>
      </c>
      <c r="D225" s="40" t="s">
        <v>3872</v>
      </c>
      <c r="E225" s="40" t="s">
        <v>1850</v>
      </c>
      <c r="F225" s="40" t="s">
        <v>3720</v>
      </c>
      <c r="G225" s="40" t="s">
        <v>321</v>
      </c>
      <c r="H225" s="40" t="s">
        <v>3908</v>
      </c>
      <c r="I225" s="40" t="s">
        <v>3907</v>
      </c>
      <c r="J225" s="40" t="s">
        <v>318</v>
      </c>
      <c r="K225" s="40" t="s">
        <v>318</v>
      </c>
      <c r="L225" s="40" t="s">
        <v>879</v>
      </c>
      <c r="M225" s="40" t="s">
        <v>393</v>
      </c>
      <c r="N225" s="40" t="s">
        <v>3681</v>
      </c>
      <c r="O225" s="40" t="s">
        <v>3875</v>
      </c>
      <c r="P225" s="40" t="s">
        <v>2785</v>
      </c>
      <c r="Q225" s="40" t="s">
        <v>3905</v>
      </c>
      <c r="R225" s="40" t="s">
        <v>2842</v>
      </c>
      <c r="S225" s="40" t="s">
        <v>3806</v>
      </c>
      <c r="T225" s="40" t="s">
        <v>393</v>
      </c>
      <c r="U225" s="40" t="s">
        <v>393</v>
      </c>
      <c r="V225" s="40" t="s">
        <v>393</v>
      </c>
      <c r="W225" s="40" t="s">
        <v>393</v>
      </c>
      <c r="X225" s="40" t="s">
        <v>393</v>
      </c>
      <c r="Y225" s="40" t="s">
        <v>393</v>
      </c>
      <c r="Z225" s="40" t="s">
        <v>393</v>
      </c>
      <c r="AA225" s="40" t="s">
        <v>393</v>
      </c>
      <c r="AB225" s="40" t="s">
        <v>393</v>
      </c>
      <c r="AC225" s="40" t="s">
        <v>393</v>
      </c>
      <c r="AD225" s="40" t="s">
        <v>393</v>
      </c>
      <c r="AE225" s="40" t="s">
        <v>766</v>
      </c>
      <c r="AF225" s="40" t="s">
        <v>3903</v>
      </c>
      <c r="AG225" s="40" t="s">
        <v>393</v>
      </c>
      <c r="AH225" s="40" t="s">
        <v>2815</v>
      </c>
      <c r="AI225" s="40" t="s">
        <v>2790</v>
      </c>
      <c r="AJ225" s="40" t="s">
        <v>2790</v>
      </c>
      <c r="AK225" s="40" t="s">
        <v>412</v>
      </c>
      <c r="AL225" s="40" t="s">
        <v>505</v>
      </c>
      <c r="AM225" s="40" t="s">
        <v>393</v>
      </c>
      <c r="AN225" s="40" t="s">
        <v>393</v>
      </c>
      <c r="AO225" s="36" t="s">
        <v>393</v>
      </c>
    </row>
    <row r="226" spans="1:41">
      <c r="A226" s="40" t="s">
        <v>2677</v>
      </c>
      <c r="B226" s="40" t="s">
        <v>3370</v>
      </c>
      <c r="C226" s="40" t="s">
        <v>623</v>
      </c>
      <c r="D226" s="40" t="s">
        <v>3872</v>
      </c>
      <c r="E226" s="40" t="s">
        <v>1850</v>
      </c>
      <c r="F226" s="40" t="s">
        <v>3722</v>
      </c>
      <c r="G226" s="40" t="s">
        <v>15</v>
      </c>
      <c r="H226" s="40" t="s">
        <v>3909</v>
      </c>
      <c r="I226" s="40" t="s">
        <v>3910</v>
      </c>
      <c r="J226" s="40" t="s">
        <v>318</v>
      </c>
      <c r="K226" s="40" t="s">
        <v>318</v>
      </c>
      <c r="L226" s="40" t="s">
        <v>879</v>
      </c>
      <c r="M226" s="40" t="s">
        <v>393</v>
      </c>
      <c r="N226" s="40" t="s">
        <v>3681</v>
      </c>
      <c r="O226" s="40" t="s">
        <v>3875</v>
      </c>
      <c r="P226" s="40" t="s">
        <v>2785</v>
      </c>
      <c r="Q226" s="40" t="s">
        <v>2439</v>
      </c>
      <c r="R226" s="40" t="s">
        <v>2842</v>
      </c>
      <c r="S226" s="40" t="s">
        <v>3266</v>
      </c>
      <c r="T226" s="40" t="s">
        <v>393</v>
      </c>
      <c r="U226" s="40" t="s">
        <v>393</v>
      </c>
      <c r="V226" s="40" t="s">
        <v>393</v>
      </c>
      <c r="W226" s="40" t="s">
        <v>393</v>
      </c>
      <c r="X226" s="40" t="s">
        <v>393</v>
      </c>
      <c r="Y226" s="40" t="s">
        <v>393</v>
      </c>
      <c r="Z226" s="40" t="s">
        <v>393</v>
      </c>
      <c r="AA226" s="40" t="s">
        <v>393</v>
      </c>
      <c r="AB226" s="40" t="s">
        <v>393</v>
      </c>
      <c r="AC226" s="40" t="s">
        <v>393</v>
      </c>
      <c r="AD226" s="40" t="s">
        <v>393</v>
      </c>
      <c r="AE226" s="40" t="s">
        <v>766</v>
      </c>
      <c r="AF226" s="40" t="s">
        <v>3903</v>
      </c>
      <c r="AG226" s="40" t="s">
        <v>393</v>
      </c>
      <c r="AH226" s="40" t="s">
        <v>2815</v>
      </c>
      <c r="AI226" s="40" t="s">
        <v>2790</v>
      </c>
      <c r="AJ226" s="40" t="s">
        <v>2790</v>
      </c>
      <c r="AK226" s="40" t="s">
        <v>412</v>
      </c>
      <c r="AL226" s="40" t="s">
        <v>527</v>
      </c>
      <c r="AM226" s="40" t="s">
        <v>393</v>
      </c>
      <c r="AN226" s="40" t="s">
        <v>393</v>
      </c>
      <c r="AO226" s="36" t="s">
        <v>393</v>
      </c>
    </row>
    <row r="227" spans="1:41">
      <c r="A227" s="40" t="s">
        <v>2677</v>
      </c>
      <c r="B227" s="40" t="s">
        <v>3370</v>
      </c>
      <c r="C227" s="40" t="s">
        <v>623</v>
      </c>
      <c r="D227" s="40" t="s">
        <v>3872</v>
      </c>
      <c r="E227" s="40" t="s">
        <v>1850</v>
      </c>
      <c r="F227" s="40" t="s">
        <v>3722</v>
      </c>
      <c r="G227" s="40" t="s">
        <v>321</v>
      </c>
      <c r="H227" s="40" t="s">
        <v>3911</v>
      </c>
      <c r="I227" s="40" t="s">
        <v>3910</v>
      </c>
      <c r="J227" s="40" t="s">
        <v>318</v>
      </c>
      <c r="K227" s="40" t="s">
        <v>318</v>
      </c>
      <c r="L227" s="40" t="s">
        <v>879</v>
      </c>
      <c r="M227" s="40" t="s">
        <v>393</v>
      </c>
      <c r="N227" s="40" t="s">
        <v>3681</v>
      </c>
      <c r="O227" s="40" t="s">
        <v>3875</v>
      </c>
      <c r="P227" s="40" t="s">
        <v>2785</v>
      </c>
      <c r="Q227" s="40" t="s">
        <v>3905</v>
      </c>
      <c r="R227" s="40" t="s">
        <v>2842</v>
      </c>
      <c r="S227" s="40" t="s">
        <v>3266</v>
      </c>
      <c r="T227" s="40" t="s">
        <v>393</v>
      </c>
      <c r="U227" s="40" t="s">
        <v>393</v>
      </c>
      <c r="V227" s="40" t="s">
        <v>393</v>
      </c>
      <c r="W227" s="40" t="s">
        <v>393</v>
      </c>
      <c r="X227" s="40" t="s">
        <v>393</v>
      </c>
      <c r="Y227" s="40" t="s">
        <v>393</v>
      </c>
      <c r="Z227" s="40" t="s">
        <v>393</v>
      </c>
      <c r="AA227" s="40" t="s">
        <v>393</v>
      </c>
      <c r="AB227" s="40" t="s">
        <v>393</v>
      </c>
      <c r="AC227" s="40" t="s">
        <v>393</v>
      </c>
      <c r="AD227" s="40" t="s">
        <v>393</v>
      </c>
      <c r="AE227" s="40" t="s">
        <v>766</v>
      </c>
      <c r="AF227" s="40" t="s">
        <v>3903</v>
      </c>
      <c r="AG227" s="40" t="s">
        <v>393</v>
      </c>
      <c r="AH227" s="40" t="s">
        <v>2815</v>
      </c>
      <c r="AI227" s="40" t="s">
        <v>2790</v>
      </c>
      <c r="AJ227" s="40" t="s">
        <v>2790</v>
      </c>
      <c r="AK227" s="40" t="s">
        <v>412</v>
      </c>
      <c r="AL227" s="40" t="s">
        <v>527</v>
      </c>
      <c r="AM227" s="40" t="s">
        <v>393</v>
      </c>
      <c r="AN227" s="40" t="s">
        <v>393</v>
      </c>
      <c r="AO227" s="36" t="s">
        <v>393</v>
      </c>
    </row>
    <row r="228" spans="1:41">
      <c r="A228" s="40" t="s">
        <v>2677</v>
      </c>
      <c r="B228" s="40" t="s">
        <v>3370</v>
      </c>
      <c r="C228" s="40" t="s">
        <v>623</v>
      </c>
      <c r="D228" s="40" t="s">
        <v>3872</v>
      </c>
      <c r="E228" s="40" t="s">
        <v>1850</v>
      </c>
      <c r="F228" s="40" t="s">
        <v>3725</v>
      </c>
      <c r="G228" s="40" t="s">
        <v>15</v>
      </c>
      <c r="H228" s="40" t="s">
        <v>3912</v>
      </c>
      <c r="I228" s="40" t="s">
        <v>3913</v>
      </c>
      <c r="J228" s="40" t="s">
        <v>318</v>
      </c>
      <c r="K228" s="40" t="s">
        <v>318</v>
      </c>
      <c r="L228" s="40" t="s">
        <v>879</v>
      </c>
      <c r="M228" s="40" t="s">
        <v>393</v>
      </c>
      <c r="N228" s="40" t="s">
        <v>3681</v>
      </c>
      <c r="O228" s="40" t="s">
        <v>3875</v>
      </c>
      <c r="P228" s="40" t="s">
        <v>2785</v>
      </c>
      <c r="Q228" s="40" t="s">
        <v>2439</v>
      </c>
      <c r="R228" s="40" t="s">
        <v>2842</v>
      </c>
      <c r="S228" s="40" t="s">
        <v>3266</v>
      </c>
      <c r="T228" s="40" t="s">
        <v>393</v>
      </c>
      <c r="U228" s="40" t="s">
        <v>393</v>
      </c>
      <c r="V228" s="40" t="s">
        <v>393</v>
      </c>
      <c r="W228" s="40" t="s">
        <v>393</v>
      </c>
      <c r="X228" s="40" t="s">
        <v>393</v>
      </c>
      <c r="Y228" s="40" t="s">
        <v>393</v>
      </c>
      <c r="Z228" s="40" t="s">
        <v>393</v>
      </c>
      <c r="AA228" s="40" t="s">
        <v>393</v>
      </c>
      <c r="AB228" s="40" t="s">
        <v>393</v>
      </c>
      <c r="AC228" s="40" t="s">
        <v>393</v>
      </c>
      <c r="AD228" s="40" t="s">
        <v>393</v>
      </c>
      <c r="AE228" s="40" t="s">
        <v>766</v>
      </c>
      <c r="AF228" s="40" t="s">
        <v>3903</v>
      </c>
      <c r="AG228" s="40" t="s">
        <v>393</v>
      </c>
      <c r="AH228" s="40" t="s">
        <v>2815</v>
      </c>
      <c r="AI228" s="40" t="s">
        <v>2790</v>
      </c>
      <c r="AJ228" s="40" t="s">
        <v>2790</v>
      </c>
      <c r="AK228" s="40" t="s">
        <v>412</v>
      </c>
      <c r="AL228" s="40" t="s">
        <v>527</v>
      </c>
      <c r="AM228" s="40" t="s">
        <v>393</v>
      </c>
      <c r="AN228" s="40" t="s">
        <v>393</v>
      </c>
      <c r="AO228" s="36" t="s">
        <v>393</v>
      </c>
    </row>
    <row r="229" spans="1:41">
      <c r="A229" s="40" t="s">
        <v>2677</v>
      </c>
      <c r="B229" s="40" t="s">
        <v>3370</v>
      </c>
      <c r="C229" s="40" t="s">
        <v>623</v>
      </c>
      <c r="D229" s="40" t="s">
        <v>3872</v>
      </c>
      <c r="E229" s="40" t="s">
        <v>1850</v>
      </c>
      <c r="F229" s="40" t="s">
        <v>3725</v>
      </c>
      <c r="G229" s="40" t="s">
        <v>321</v>
      </c>
      <c r="H229" s="40" t="s">
        <v>3914</v>
      </c>
      <c r="I229" s="40" t="s">
        <v>3913</v>
      </c>
      <c r="J229" s="40" t="s">
        <v>318</v>
      </c>
      <c r="K229" s="40" t="s">
        <v>318</v>
      </c>
      <c r="L229" s="40" t="s">
        <v>879</v>
      </c>
      <c r="M229" s="40" t="s">
        <v>393</v>
      </c>
      <c r="N229" s="40" t="s">
        <v>3681</v>
      </c>
      <c r="O229" s="40" t="s">
        <v>3875</v>
      </c>
      <c r="P229" s="40" t="s">
        <v>2785</v>
      </c>
      <c r="Q229" s="40" t="s">
        <v>3905</v>
      </c>
      <c r="R229" s="40" t="s">
        <v>2842</v>
      </c>
      <c r="S229" s="40" t="s">
        <v>3266</v>
      </c>
      <c r="T229" s="40" t="s">
        <v>393</v>
      </c>
      <c r="U229" s="40" t="s">
        <v>393</v>
      </c>
      <c r="V229" s="40" t="s">
        <v>393</v>
      </c>
      <c r="W229" s="40" t="s">
        <v>393</v>
      </c>
      <c r="X229" s="40" t="s">
        <v>393</v>
      </c>
      <c r="Y229" s="40" t="s">
        <v>393</v>
      </c>
      <c r="Z229" s="40" t="s">
        <v>393</v>
      </c>
      <c r="AA229" s="40" t="s">
        <v>393</v>
      </c>
      <c r="AB229" s="40" t="s">
        <v>393</v>
      </c>
      <c r="AC229" s="40" t="s">
        <v>393</v>
      </c>
      <c r="AD229" s="40" t="s">
        <v>393</v>
      </c>
      <c r="AE229" s="40" t="s">
        <v>766</v>
      </c>
      <c r="AF229" s="40" t="s">
        <v>3903</v>
      </c>
      <c r="AG229" s="40" t="s">
        <v>393</v>
      </c>
      <c r="AH229" s="40" t="s">
        <v>2815</v>
      </c>
      <c r="AI229" s="40" t="s">
        <v>2790</v>
      </c>
      <c r="AJ229" s="40" t="s">
        <v>2790</v>
      </c>
      <c r="AK229" s="40" t="s">
        <v>412</v>
      </c>
      <c r="AL229" s="40" t="s">
        <v>527</v>
      </c>
      <c r="AM229" s="40" t="s">
        <v>393</v>
      </c>
      <c r="AN229" s="40" t="s">
        <v>393</v>
      </c>
      <c r="AO229" s="36" t="s">
        <v>393</v>
      </c>
    </row>
    <row r="230" spans="1:41">
      <c r="A230" s="40" t="s">
        <v>2677</v>
      </c>
      <c r="B230" s="40" t="s">
        <v>3433</v>
      </c>
      <c r="C230" s="40" t="s">
        <v>623</v>
      </c>
      <c r="D230" s="40" t="s">
        <v>3872</v>
      </c>
      <c r="E230" s="40" t="s">
        <v>1850</v>
      </c>
      <c r="F230" s="40" t="s">
        <v>3728</v>
      </c>
      <c r="G230" s="40" t="s">
        <v>15</v>
      </c>
      <c r="H230" s="40" t="s">
        <v>3915</v>
      </c>
      <c r="I230" s="40" t="s">
        <v>3916</v>
      </c>
      <c r="J230" s="40" t="s">
        <v>318</v>
      </c>
      <c r="K230" s="40" t="s">
        <v>318</v>
      </c>
      <c r="L230" s="40" t="s">
        <v>879</v>
      </c>
      <c r="M230" s="40" t="s">
        <v>393</v>
      </c>
      <c r="N230" s="40" t="s">
        <v>3681</v>
      </c>
      <c r="O230" s="40" t="s">
        <v>3875</v>
      </c>
      <c r="P230" s="40" t="s">
        <v>2785</v>
      </c>
      <c r="Q230" s="40" t="s">
        <v>2439</v>
      </c>
      <c r="R230" s="40" t="s">
        <v>3698</v>
      </c>
      <c r="S230" s="40" t="s">
        <v>3088</v>
      </c>
      <c r="T230" s="40" t="s">
        <v>393</v>
      </c>
      <c r="U230" s="40" t="s">
        <v>393</v>
      </c>
      <c r="V230" s="40" t="s">
        <v>393</v>
      </c>
      <c r="W230" s="40" t="s">
        <v>393</v>
      </c>
      <c r="X230" s="40" t="s">
        <v>393</v>
      </c>
      <c r="Y230" s="40" t="s">
        <v>393</v>
      </c>
      <c r="Z230" s="40" t="s">
        <v>393</v>
      </c>
      <c r="AA230" s="40" t="s">
        <v>393</v>
      </c>
      <c r="AB230" s="40" t="s">
        <v>393</v>
      </c>
      <c r="AC230" s="40" t="s">
        <v>393</v>
      </c>
      <c r="AD230" s="40" t="s">
        <v>393</v>
      </c>
      <c r="AE230" s="40" t="s">
        <v>3898</v>
      </c>
      <c r="AF230" s="40" t="s">
        <v>3687</v>
      </c>
      <c r="AG230" s="40" t="s">
        <v>393</v>
      </c>
      <c r="AH230" s="40" t="s">
        <v>354</v>
      </c>
      <c r="AI230" s="40" t="s">
        <v>354</v>
      </c>
      <c r="AJ230" s="40" t="s">
        <v>3700</v>
      </c>
      <c r="AK230" s="40" t="s">
        <v>345</v>
      </c>
      <c r="AL230" s="40" t="s">
        <v>345</v>
      </c>
      <c r="AM230" s="40" t="s">
        <v>393</v>
      </c>
      <c r="AN230" s="40" t="s">
        <v>393</v>
      </c>
      <c r="AO230" s="36" t="s">
        <v>393</v>
      </c>
    </row>
    <row r="231" spans="1:41">
      <c r="A231" s="40" t="s">
        <v>2677</v>
      </c>
      <c r="B231" s="40" t="s">
        <v>3433</v>
      </c>
      <c r="C231" s="40" t="s">
        <v>623</v>
      </c>
      <c r="D231" s="40" t="s">
        <v>3872</v>
      </c>
      <c r="E231" s="40" t="s">
        <v>1850</v>
      </c>
      <c r="F231" s="40" t="s">
        <v>3728</v>
      </c>
      <c r="G231" s="40" t="s">
        <v>321</v>
      </c>
      <c r="H231" s="40" t="s">
        <v>3917</v>
      </c>
      <c r="I231" s="40" t="s">
        <v>3916</v>
      </c>
      <c r="J231" s="40" t="s">
        <v>318</v>
      </c>
      <c r="K231" s="40" t="s">
        <v>318</v>
      </c>
      <c r="L231" s="40" t="s">
        <v>879</v>
      </c>
      <c r="M231" s="40" t="s">
        <v>393</v>
      </c>
      <c r="N231" s="40" t="s">
        <v>3681</v>
      </c>
      <c r="O231" s="40" t="s">
        <v>3875</v>
      </c>
      <c r="P231" s="40" t="s">
        <v>2785</v>
      </c>
      <c r="Q231" s="40" t="s">
        <v>3905</v>
      </c>
      <c r="R231" s="40" t="s">
        <v>3698</v>
      </c>
      <c r="S231" s="40" t="s">
        <v>3088</v>
      </c>
      <c r="T231" s="40" t="s">
        <v>393</v>
      </c>
      <c r="U231" s="40" t="s">
        <v>393</v>
      </c>
      <c r="V231" s="40" t="s">
        <v>393</v>
      </c>
      <c r="W231" s="40" t="s">
        <v>393</v>
      </c>
      <c r="X231" s="40" t="s">
        <v>393</v>
      </c>
      <c r="Y231" s="40" t="s">
        <v>393</v>
      </c>
      <c r="Z231" s="40" t="s">
        <v>393</v>
      </c>
      <c r="AA231" s="40" t="s">
        <v>393</v>
      </c>
      <c r="AB231" s="40" t="s">
        <v>393</v>
      </c>
      <c r="AC231" s="40" t="s">
        <v>393</v>
      </c>
      <c r="AD231" s="40" t="s">
        <v>393</v>
      </c>
      <c r="AE231" s="40" t="s">
        <v>3898</v>
      </c>
      <c r="AF231" s="40" t="s">
        <v>3687</v>
      </c>
      <c r="AG231" s="40" t="s">
        <v>393</v>
      </c>
      <c r="AH231" s="40" t="s">
        <v>354</v>
      </c>
      <c r="AI231" s="40" t="s">
        <v>354</v>
      </c>
      <c r="AJ231" s="40" t="s">
        <v>3700</v>
      </c>
      <c r="AK231" s="40" t="s">
        <v>345</v>
      </c>
      <c r="AL231" s="40" t="s">
        <v>345</v>
      </c>
      <c r="AM231" s="40" t="s">
        <v>393</v>
      </c>
      <c r="AN231" s="40" t="s">
        <v>393</v>
      </c>
      <c r="AO231" s="36" t="s">
        <v>393</v>
      </c>
    </row>
    <row r="232" spans="1:41">
      <c r="A232" s="40" t="s">
        <v>2677</v>
      </c>
      <c r="B232" s="40" t="s">
        <v>3433</v>
      </c>
      <c r="C232" s="40" t="s">
        <v>623</v>
      </c>
      <c r="D232" s="40" t="s">
        <v>3872</v>
      </c>
      <c r="E232" s="40" t="s">
        <v>1850</v>
      </c>
      <c r="F232" s="40" t="s">
        <v>3732</v>
      </c>
      <c r="G232" s="40" t="s">
        <v>15</v>
      </c>
      <c r="H232" s="40" t="s">
        <v>3918</v>
      </c>
      <c r="I232" s="40" t="s">
        <v>3919</v>
      </c>
      <c r="J232" s="40" t="s">
        <v>318</v>
      </c>
      <c r="K232" s="40" t="s">
        <v>318</v>
      </c>
      <c r="L232" s="40" t="s">
        <v>879</v>
      </c>
      <c r="M232" s="40" t="s">
        <v>393</v>
      </c>
      <c r="N232" s="40" t="s">
        <v>3681</v>
      </c>
      <c r="O232" s="40" t="s">
        <v>3875</v>
      </c>
      <c r="P232" s="40" t="s">
        <v>2785</v>
      </c>
      <c r="Q232" s="40" t="s">
        <v>2439</v>
      </c>
      <c r="R232" s="40" t="s">
        <v>2842</v>
      </c>
      <c r="S232" s="40" t="s">
        <v>3806</v>
      </c>
      <c r="T232" s="40" t="s">
        <v>393</v>
      </c>
      <c r="U232" s="40" t="s">
        <v>393</v>
      </c>
      <c r="V232" s="40" t="s">
        <v>393</v>
      </c>
      <c r="W232" s="40" t="s">
        <v>393</v>
      </c>
      <c r="X232" s="40" t="s">
        <v>393</v>
      </c>
      <c r="Y232" s="40" t="s">
        <v>393</v>
      </c>
      <c r="Z232" s="40" t="s">
        <v>393</v>
      </c>
      <c r="AA232" s="40" t="s">
        <v>393</v>
      </c>
      <c r="AB232" s="40" t="s">
        <v>393</v>
      </c>
      <c r="AC232" s="40" t="s">
        <v>393</v>
      </c>
      <c r="AD232" s="40" t="s">
        <v>393</v>
      </c>
      <c r="AE232" s="40" t="s">
        <v>766</v>
      </c>
      <c r="AF232" s="40" t="s">
        <v>3903</v>
      </c>
      <c r="AG232" s="40" t="s">
        <v>393</v>
      </c>
      <c r="AH232" s="40" t="s">
        <v>2815</v>
      </c>
      <c r="AI232" s="40" t="s">
        <v>2790</v>
      </c>
      <c r="AJ232" s="40" t="s">
        <v>2790</v>
      </c>
      <c r="AK232" s="40" t="s">
        <v>412</v>
      </c>
      <c r="AL232" s="40" t="s">
        <v>505</v>
      </c>
      <c r="AM232" s="40" t="s">
        <v>393</v>
      </c>
      <c r="AN232" s="40" t="s">
        <v>393</v>
      </c>
      <c r="AO232" s="36" t="s">
        <v>393</v>
      </c>
    </row>
    <row r="233" spans="1:41">
      <c r="A233" s="40" t="s">
        <v>2677</v>
      </c>
      <c r="B233" s="40" t="s">
        <v>3433</v>
      </c>
      <c r="C233" s="40" t="s">
        <v>623</v>
      </c>
      <c r="D233" s="40" t="s">
        <v>3872</v>
      </c>
      <c r="E233" s="40" t="s">
        <v>1850</v>
      </c>
      <c r="F233" s="40" t="s">
        <v>3732</v>
      </c>
      <c r="G233" s="40" t="s">
        <v>321</v>
      </c>
      <c r="H233" s="40" t="s">
        <v>3920</v>
      </c>
      <c r="I233" s="40" t="s">
        <v>3919</v>
      </c>
      <c r="J233" s="40" t="s">
        <v>318</v>
      </c>
      <c r="K233" s="40" t="s">
        <v>318</v>
      </c>
      <c r="L233" s="40" t="s">
        <v>879</v>
      </c>
      <c r="M233" s="40" t="s">
        <v>393</v>
      </c>
      <c r="N233" s="40" t="s">
        <v>3681</v>
      </c>
      <c r="O233" s="40" t="s">
        <v>3875</v>
      </c>
      <c r="P233" s="40" t="s">
        <v>2785</v>
      </c>
      <c r="Q233" s="40" t="s">
        <v>3905</v>
      </c>
      <c r="R233" s="40" t="s">
        <v>2842</v>
      </c>
      <c r="S233" s="40" t="s">
        <v>3806</v>
      </c>
      <c r="T233" s="40" t="s">
        <v>393</v>
      </c>
      <c r="U233" s="40" t="s">
        <v>393</v>
      </c>
      <c r="V233" s="40" t="s">
        <v>393</v>
      </c>
      <c r="W233" s="40" t="s">
        <v>393</v>
      </c>
      <c r="X233" s="40" t="s">
        <v>393</v>
      </c>
      <c r="Y233" s="40" t="s">
        <v>393</v>
      </c>
      <c r="Z233" s="40" t="s">
        <v>393</v>
      </c>
      <c r="AA233" s="40" t="s">
        <v>393</v>
      </c>
      <c r="AB233" s="40" t="s">
        <v>393</v>
      </c>
      <c r="AC233" s="40" t="s">
        <v>393</v>
      </c>
      <c r="AD233" s="40" t="s">
        <v>393</v>
      </c>
      <c r="AE233" s="40" t="s">
        <v>766</v>
      </c>
      <c r="AF233" s="40" t="s">
        <v>3903</v>
      </c>
      <c r="AG233" s="40" t="s">
        <v>393</v>
      </c>
      <c r="AH233" s="40" t="s">
        <v>2815</v>
      </c>
      <c r="AI233" s="40" t="s">
        <v>2790</v>
      </c>
      <c r="AJ233" s="40" t="s">
        <v>2790</v>
      </c>
      <c r="AK233" s="40" t="s">
        <v>412</v>
      </c>
      <c r="AL233" s="40" t="s">
        <v>505</v>
      </c>
      <c r="AM233" s="40" t="s">
        <v>393</v>
      </c>
      <c r="AN233" s="40" t="s">
        <v>393</v>
      </c>
      <c r="AO233" s="36" t="s">
        <v>393</v>
      </c>
    </row>
    <row r="234" spans="1:41">
      <c r="A234" s="40" t="s">
        <v>2677</v>
      </c>
      <c r="B234" s="40" t="s">
        <v>3677</v>
      </c>
      <c r="C234" s="40" t="s">
        <v>623</v>
      </c>
      <c r="D234" s="40" t="s">
        <v>3872</v>
      </c>
      <c r="E234" s="40" t="s">
        <v>1850</v>
      </c>
      <c r="F234" s="40" t="s">
        <v>3735</v>
      </c>
      <c r="G234" s="40" t="s">
        <v>393</v>
      </c>
      <c r="H234" s="40" t="s">
        <v>3921</v>
      </c>
      <c r="I234" s="40" t="s">
        <v>3922</v>
      </c>
      <c r="J234" s="40" t="s">
        <v>318</v>
      </c>
      <c r="K234" s="40" t="s">
        <v>318</v>
      </c>
      <c r="L234" s="40" t="s">
        <v>879</v>
      </c>
      <c r="M234" s="40" t="s">
        <v>393</v>
      </c>
      <c r="N234" s="40" t="s">
        <v>3681</v>
      </c>
      <c r="O234" s="40" t="s">
        <v>3875</v>
      </c>
      <c r="P234" s="40" t="s">
        <v>2685</v>
      </c>
      <c r="Q234" s="40" t="s">
        <v>2706</v>
      </c>
      <c r="R234" s="40" t="s">
        <v>3786</v>
      </c>
      <c r="S234" s="40" t="s">
        <v>3341</v>
      </c>
      <c r="T234" s="40" t="s">
        <v>393</v>
      </c>
      <c r="U234" s="40" t="s">
        <v>393</v>
      </c>
      <c r="V234" s="40" t="s">
        <v>393</v>
      </c>
      <c r="W234" s="40" t="s">
        <v>393</v>
      </c>
      <c r="X234" s="40" t="s">
        <v>393</v>
      </c>
      <c r="Y234" s="40" t="s">
        <v>393</v>
      </c>
      <c r="Z234" s="40" t="s">
        <v>393</v>
      </c>
      <c r="AA234" s="40" t="s">
        <v>393</v>
      </c>
      <c r="AB234" s="40" t="s">
        <v>393</v>
      </c>
      <c r="AC234" s="40" t="s">
        <v>393</v>
      </c>
      <c r="AD234" s="40" t="s">
        <v>393</v>
      </c>
      <c r="AE234" s="40" t="s">
        <v>3686</v>
      </c>
      <c r="AF234" s="40" t="s">
        <v>3687</v>
      </c>
      <c r="AG234" s="40" t="s">
        <v>393</v>
      </c>
      <c r="AH234" s="40" t="s">
        <v>2870</v>
      </c>
      <c r="AI234" s="40" t="s">
        <v>3786</v>
      </c>
      <c r="AJ234" s="40" t="s">
        <v>3786</v>
      </c>
      <c r="AK234" s="40" t="s">
        <v>330</v>
      </c>
      <c r="AL234" s="40" t="s">
        <v>330</v>
      </c>
      <c r="AM234" s="40" t="s">
        <v>393</v>
      </c>
      <c r="AN234" s="40" t="s">
        <v>393</v>
      </c>
      <c r="AO234" s="36" t="s">
        <v>393</v>
      </c>
    </row>
    <row r="235" spans="1:41">
      <c r="A235" s="40" t="s">
        <v>2677</v>
      </c>
      <c r="B235" s="40" t="s">
        <v>3677</v>
      </c>
      <c r="C235" s="40" t="s">
        <v>623</v>
      </c>
      <c r="D235" s="40" t="s">
        <v>3872</v>
      </c>
      <c r="E235" s="40" t="s">
        <v>1850</v>
      </c>
      <c r="F235" s="40" t="s">
        <v>3738</v>
      </c>
      <c r="G235" s="40" t="s">
        <v>15</v>
      </c>
      <c r="H235" s="40" t="s">
        <v>3923</v>
      </c>
      <c r="I235" s="40" t="s">
        <v>3924</v>
      </c>
      <c r="J235" s="40" t="s">
        <v>318</v>
      </c>
      <c r="K235" s="40" t="s">
        <v>318</v>
      </c>
      <c r="L235" s="40" t="s">
        <v>879</v>
      </c>
      <c r="M235" s="40" t="s">
        <v>393</v>
      </c>
      <c r="N235" s="40" t="s">
        <v>3681</v>
      </c>
      <c r="O235" s="40" t="s">
        <v>3875</v>
      </c>
      <c r="P235" s="40" t="s">
        <v>2785</v>
      </c>
      <c r="Q235" s="40" t="s">
        <v>2439</v>
      </c>
      <c r="R235" s="40" t="s">
        <v>3700</v>
      </c>
      <c r="S235" s="40" t="s">
        <v>3088</v>
      </c>
      <c r="T235" s="40" t="s">
        <v>393</v>
      </c>
      <c r="U235" s="40" t="s">
        <v>393</v>
      </c>
      <c r="V235" s="40" t="s">
        <v>393</v>
      </c>
      <c r="W235" s="40" t="s">
        <v>393</v>
      </c>
      <c r="X235" s="40" t="s">
        <v>393</v>
      </c>
      <c r="Y235" s="40" t="s">
        <v>393</v>
      </c>
      <c r="Z235" s="40" t="s">
        <v>393</v>
      </c>
      <c r="AA235" s="40" t="s">
        <v>393</v>
      </c>
      <c r="AB235" s="40" t="s">
        <v>393</v>
      </c>
      <c r="AC235" s="40" t="s">
        <v>393</v>
      </c>
      <c r="AD235" s="40" t="s">
        <v>393</v>
      </c>
      <c r="AE235" s="40" t="s">
        <v>3698</v>
      </c>
      <c r="AF235" s="40" t="s">
        <v>3687</v>
      </c>
      <c r="AG235" s="40" t="s">
        <v>393</v>
      </c>
      <c r="AH235" s="40" t="s">
        <v>2813</v>
      </c>
      <c r="AI235" s="40" t="s">
        <v>354</v>
      </c>
      <c r="AJ235" s="40" t="s">
        <v>2870</v>
      </c>
      <c r="AK235" s="40" t="s">
        <v>458</v>
      </c>
      <c r="AL235" s="40" t="s">
        <v>458</v>
      </c>
      <c r="AM235" s="40" t="s">
        <v>393</v>
      </c>
      <c r="AN235" s="40" t="s">
        <v>393</v>
      </c>
      <c r="AO235" s="36" t="s">
        <v>393</v>
      </c>
    </row>
    <row r="236" spans="1:41">
      <c r="A236" s="40" t="s">
        <v>2677</v>
      </c>
      <c r="B236" s="40" t="s">
        <v>3677</v>
      </c>
      <c r="C236" s="40" t="s">
        <v>623</v>
      </c>
      <c r="D236" s="40" t="s">
        <v>3872</v>
      </c>
      <c r="E236" s="40" t="s">
        <v>1850</v>
      </c>
      <c r="F236" s="40" t="s">
        <v>3738</v>
      </c>
      <c r="G236" s="40" t="s">
        <v>321</v>
      </c>
      <c r="H236" s="40" t="s">
        <v>3925</v>
      </c>
      <c r="I236" s="40" t="s">
        <v>3924</v>
      </c>
      <c r="J236" s="40" t="s">
        <v>318</v>
      </c>
      <c r="K236" s="40" t="s">
        <v>318</v>
      </c>
      <c r="L236" s="40" t="s">
        <v>879</v>
      </c>
      <c r="M236" s="40" t="s">
        <v>393</v>
      </c>
      <c r="N236" s="40" t="s">
        <v>3681</v>
      </c>
      <c r="O236" s="40" t="s">
        <v>3875</v>
      </c>
      <c r="P236" s="40" t="s">
        <v>2785</v>
      </c>
      <c r="Q236" s="40" t="s">
        <v>3905</v>
      </c>
      <c r="R236" s="40" t="s">
        <v>3700</v>
      </c>
      <c r="S236" s="40" t="s">
        <v>3088</v>
      </c>
      <c r="T236" s="40" t="s">
        <v>393</v>
      </c>
      <c r="U236" s="40" t="s">
        <v>393</v>
      </c>
      <c r="V236" s="40" t="s">
        <v>393</v>
      </c>
      <c r="W236" s="40" t="s">
        <v>393</v>
      </c>
      <c r="X236" s="40" t="s">
        <v>393</v>
      </c>
      <c r="Y236" s="40" t="s">
        <v>393</v>
      </c>
      <c r="Z236" s="40" t="s">
        <v>393</v>
      </c>
      <c r="AA236" s="40" t="s">
        <v>393</v>
      </c>
      <c r="AB236" s="40" t="s">
        <v>393</v>
      </c>
      <c r="AC236" s="40" t="s">
        <v>393</v>
      </c>
      <c r="AD236" s="40" t="s">
        <v>393</v>
      </c>
      <c r="AE236" s="40" t="s">
        <v>3698</v>
      </c>
      <c r="AF236" s="40" t="s">
        <v>3687</v>
      </c>
      <c r="AG236" s="40" t="s">
        <v>393</v>
      </c>
      <c r="AH236" s="40" t="s">
        <v>2813</v>
      </c>
      <c r="AI236" s="40" t="s">
        <v>354</v>
      </c>
      <c r="AJ236" s="40" t="s">
        <v>2870</v>
      </c>
      <c r="AK236" s="40" t="s">
        <v>458</v>
      </c>
      <c r="AL236" s="40" t="s">
        <v>458</v>
      </c>
      <c r="AM236" s="40" t="s">
        <v>393</v>
      </c>
      <c r="AN236" s="40" t="s">
        <v>393</v>
      </c>
      <c r="AO236" s="36" t="s">
        <v>393</v>
      </c>
    </row>
    <row r="237" spans="1:41">
      <c r="A237" s="40" t="s">
        <v>2677</v>
      </c>
      <c r="B237" s="40" t="s">
        <v>3677</v>
      </c>
      <c r="C237" s="40" t="s">
        <v>623</v>
      </c>
      <c r="D237" s="40" t="s">
        <v>3872</v>
      </c>
      <c r="E237" s="40" t="s">
        <v>1850</v>
      </c>
      <c r="F237" s="40" t="s">
        <v>3742</v>
      </c>
      <c r="G237" s="40" t="s">
        <v>15</v>
      </c>
      <c r="H237" s="40" t="s">
        <v>3926</v>
      </c>
      <c r="I237" s="40" t="s">
        <v>3927</v>
      </c>
      <c r="J237" s="40" t="s">
        <v>318</v>
      </c>
      <c r="K237" s="40" t="s">
        <v>318</v>
      </c>
      <c r="L237" s="40" t="s">
        <v>879</v>
      </c>
      <c r="M237" s="40" t="s">
        <v>393</v>
      </c>
      <c r="N237" s="40" t="s">
        <v>3681</v>
      </c>
      <c r="O237" s="40" t="s">
        <v>3875</v>
      </c>
      <c r="P237" s="40" t="s">
        <v>2785</v>
      </c>
      <c r="Q237" s="40" t="s">
        <v>2439</v>
      </c>
      <c r="R237" s="40" t="s">
        <v>766</v>
      </c>
      <c r="S237" s="40" t="s">
        <v>3867</v>
      </c>
      <c r="T237" s="40" t="s">
        <v>393</v>
      </c>
      <c r="U237" s="40" t="s">
        <v>393</v>
      </c>
      <c r="V237" s="40" t="s">
        <v>393</v>
      </c>
      <c r="W237" s="40" t="s">
        <v>393</v>
      </c>
      <c r="X237" s="40" t="s">
        <v>393</v>
      </c>
      <c r="Y237" s="40" t="s">
        <v>393</v>
      </c>
      <c r="Z237" s="40" t="s">
        <v>393</v>
      </c>
      <c r="AA237" s="40" t="s">
        <v>393</v>
      </c>
      <c r="AB237" s="40" t="s">
        <v>393</v>
      </c>
      <c r="AC237" s="40" t="s">
        <v>393</v>
      </c>
      <c r="AD237" s="40" t="s">
        <v>393</v>
      </c>
      <c r="AE237" s="40" t="s">
        <v>3890</v>
      </c>
      <c r="AF237" s="40" t="s">
        <v>766</v>
      </c>
      <c r="AG237" s="40" t="s">
        <v>393</v>
      </c>
      <c r="AH237" s="40" t="s">
        <v>3085</v>
      </c>
      <c r="AI237" s="40" t="s">
        <v>1938</v>
      </c>
      <c r="AJ237" s="40" t="s">
        <v>354</v>
      </c>
      <c r="AK237" s="40" t="s">
        <v>527</v>
      </c>
      <c r="AL237" s="40" t="s">
        <v>527</v>
      </c>
      <c r="AM237" s="40" t="s">
        <v>393</v>
      </c>
      <c r="AN237" s="40" t="s">
        <v>393</v>
      </c>
      <c r="AO237" s="36" t="s">
        <v>393</v>
      </c>
    </row>
    <row r="238" spans="1:41">
      <c r="A238" s="40" t="s">
        <v>2677</v>
      </c>
      <c r="B238" s="40" t="s">
        <v>3677</v>
      </c>
      <c r="C238" s="40" t="s">
        <v>623</v>
      </c>
      <c r="D238" s="40" t="s">
        <v>3872</v>
      </c>
      <c r="E238" s="40" t="s">
        <v>1850</v>
      </c>
      <c r="F238" s="40" t="s">
        <v>3742</v>
      </c>
      <c r="G238" s="40" t="s">
        <v>321</v>
      </c>
      <c r="H238" s="40" t="s">
        <v>3928</v>
      </c>
      <c r="I238" s="40" t="s">
        <v>3927</v>
      </c>
      <c r="J238" s="40" t="s">
        <v>318</v>
      </c>
      <c r="K238" s="40" t="s">
        <v>318</v>
      </c>
      <c r="L238" s="40" t="s">
        <v>879</v>
      </c>
      <c r="M238" s="40" t="s">
        <v>393</v>
      </c>
      <c r="N238" s="40" t="s">
        <v>3681</v>
      </c>
      <c r="O238" s="40" t="s">
        <v>3875</v>
      </c>
      <c r="P238" s="40" t="s">
        <v>2785</v>
      </c>
      <c r="Q238" s="40" t="s">
        <v>3905</v>
      </c>
      <c r="R238" s="40" t="s">
        <v>766</v>
      </c>
      <c r="S238" s="40" t="s">
        <v>3867</v>
      </c>
      <c r="T238" s="40" t="s">
        <v>393</v>
      </c>
      <c r="U238" s="40" t="s">
        <v>393</v>
      </c>
      <c r="V238" s="40" t="s">
        <v>393</v>
      </c>
      <c r="W238" s="40" t="s">
        <v>393</v>
      </c>
      <c r="X238" s="40" t="s">
        <v>393</v>
      </c>
      <c r="Y238" s="40" t="s">
        <v>393</v>
      </c>
      <c r="Z238" s="40" t="s">
        <v>393</v>
      </c>
      <c r="AA238" s="40" t="s">
        <v>393</v>
      </c>
      <c r="AB238" s="40" t="s">
        <v>393</v>
      </c>
      <c r="AC238" s="40" t="s">
        <v>393</v>
      </c>
      <c r="AD238" s="40" t="s">
        <v>393</v>
      </c>
      <c r="AE238" s="40" t="s">
        <v>3890</v>
      </c>
      <c r="AF238" s="40" t="s">
        <v>766</v>
      </c>
      <c r="AG238" s="40" t="s">
        <v>393</v>
      </c>
      <c r="AH238" s="40" t="s">
        <v>3085</v>
      </c>
      <c r="AI238" s="40" t="s">
        <v>1938</v>
      </c>
      <c r="AJ238" s="40" t="s">
        <v>354</v>
      </c>
      <c r="AK238" s="40" t="s">
        <v>527</v>
      </c>
      <c r="AL238" s="40" t="s">
        <v>527</v>
      </c>
      <c r="AM238" s="40" t="s">
        <v>393</v>
      </c>
      <c r="AN238" s="40" t="s">
        <v>393</v>
      </c>
      <c r="AO238" s="36" t="s">
        <v>393</v>
      </c>
    </row>
    <row r="239" spans="1:41">
      <c r="A239" s="40" t="s">
        <v>2677</v>
      </c>
      <c r="B239" s="40" t="s">
        <v>3677</v>
      </c>
      <c r="C239" s="40" t="s">
        <v>623</v>
      </c>
      <c r="D239" s="40" t="s">
        <v>3872</v>
      </c>
      <c r="E239" s="40" t="s">
        <v>1850</v>
      </c>
      <c r="F239" s="40" t="s">
        <v>3744</v>
      </c>
      <c r="G239" s="40" t="s">
        <v>393</v>
      </c>
      <c r="H239" s="40" t="s">
        <v>3929</v>
      </c>
      <c r="I239" s="40" t="s">
        <v>3930</v>
      </c>
      <c r="J239" s="40" t="s">
        <v>318</v>
      </c>
      <c r="K239" s="40" t="s">
        <v>318</v>
      </c>
      <c r="L239" s="40" t="s">
        <v>879</v>
      </c>
      <c r="M239" s="40" t="s">
        <v>393</v>
      </c>
      <c r="N239" s="40" t="s">
        <v>3681</v>
      </c>
      <c r="O239" s="40" t="s">
        <v>3875</v>
      </c>
      <c r="P239" s="40" t="s">
        <v>2685</v>
      </c>
      <c r="Q239" s="40" t="s">
        <v>2706</v>
      </c>
      <c r="R239" s="40" t="s">
        <v>3687</v>
      </c>
      <c r="S239" s="40" t="s">
        <v>3931</v>
      </c>
      <c r="T239" s="40" t="s">
        <v>393</v>
      </c>
      <c r="U239" s="40" t="s">
        <v>393</v>
      </c>
      <c r="V239" s="40" t="s">
        <v>393</v>
      </c>
      <c r="W239" s="40" t="s">
        <v>393</v>
      </c>
      <c r="X239" s="40" t="s">
        <v>393</v>
      </c>
      <c r="Y239" s="40" t="s">
        <v>393</v>
      </c>
      <c r="Z239" s="40" t="s">
        <v>393</v>
      </c>
      <c r="AA239" s="40" t="s">
        <v>393</v>
      </c>
      <c r="AB239" s="40" t="s">
        <v>393</v>
      </c>
      <c r="AC239" s="40" t="s">
        <v>393</v>
      </c>
      <c r="AD239" s="40" t="s">
        <v>393</v>
      </c>
      <c r="AE239" s="40" t="s">
        <v>3700</v>
      </c>
      <c r="AF239" s="40" t="s">
        <v>3687</v>
      </c>
      <c r="AG239" s="40" t="s">
        <v>393</v>
      </c>
      <c r="AH239" s="40" t="s">
        <v>2925</v>
      </c>
      <c r="AI239" s="40" t="s">
        <v>354</v>
      </c>
      <c r="AJ239" s="40" t="s">
        <v>2870</v>
      </c>
      <c r="AK239" s="40" t="s">
        <v>468</v>
      </c>
      <c r="AL239" s="40" t="s">
        <v>468</v>
      </c>
      <c r="AM239" s="40" t="s">
        <v>393</v>
      </c>
      <c r="AN239" s="40" t="s">
        <v>393</v>
      </c>
      <c r="AO239" s="36" t="s">
        <v>393</v>
      </c>
    </row>
    <row r="240" spans="1:41">
      <c r="A240" s="40" t="s">
        <v>2677</v>
      </c>
      <c r="B240" s="40" t="s">
        <v>3677</v>
      </c>
      <c r="C240" s="40" t="s">
        <v>623</v>
      </c>
      <c r="D240" s="40" t="s">
        <v>3872</v>
      </c>
      <c r="E240" s="40" t="s">
        <v>1850</v>
      </c>
      <c r="F240" s="40" t="s">
        <v>3746</v>
      </c>
      <c r="G240" s="40" t="s">
        <v>393</v>
      </c>
      <c r="H240" s="40" t="s">
        <v>3932</v>
      </c>
      <c r="I240" s="40" t="s">
        <v>3933</v>
      </c>
      <c r="J240" s="40" t="s">
        <v>318</v>
      </c>
      <c r="K240" s="40" t="s">
        <v>318</v>
      </c>
      <c r="L240" s="40" t="s">
        <v>879</v>
      </c>
      <c r="M240" s="40" t="s">
        <v>393</v>
      </c>
      <c r="N240" s="40" t="s">
        <v>3681</v>
      </c>
      <c r="O240" s="40" t="s">
        <v>3875</v>
      </c>
      <c r="P240" s="40" t="s">
        <v>2685</v>
      </c>
      <c r="Q240" s="40" t="s">
        <v>2706</v>
      </c>
      <c r="R240" s="40" t="s">
        <v>3698</v>
      </c>
      <c r="S240" s="40" t="s">
        <v>3707</v>
      </c>
      <c r="T240" s="40" t="s">
        <v>393</v>
      </c>
      <c r="U240" s="40" t="s">
        <v>393</v>
      </c>
      <c r="V240" s="40" t="s">
        <v>393</v>
      </c>
      <c r="W240" s="40" t="s">
        <v>393</v>
      </c>
      <c r="X240" s="40" t="s">
        <v>393</v>
      </c>
      <c r="Y240" s="40" t="s">
        <v>393</v>
      </c>
      <c r="Z240" s="40" t="s">
        <v>393</v>
      </c>
      <c r="AA240" s="40" t="s">
        <v>393</v>
      </c>
      <c r="AB240" s="40" t="s">
        <v>393</v>
      </c>
      <c r="AC240" s="40" t="s">
        <v>393</v>
      </c>
      <c r="AD240" s="40" t="s">
        <v>393</v>
      </c>
      <c r="AE240" s="40" t="s">
        <v>3686</v>
      </c>
      <c r="AF240" s="40" t="s">
        <v>3687</v>
      </c>
      <c r="AG240" s="40" t="s">
        <v>393</v>
      </c>
      <c r="AH240" s="40" t="s">
        <v>1938</v>
      </c>
      <c r="AI240" s="40" t="s">
        <v>2870</v>
      </c>
      <c r="AJ240" s="40" t="s">
        <v>3786</v>
      </c>
      <c r="AK240" s="40" t="s">
        <v>435</v>
      </c>
      <c r="AL240" s="40" t="s">
        <v>435</v>
      </c>
      <c r="AM240" s="40" t="s">
        <v>393</v>
      </c>
      <c r="AN240" s="40" t="s">
        <v>393</v>
      </c>
      <c r="AO240" s="36" t="s">
        <v>393</v>
      </c>
    </row>
    <row r="241" spans="1:41">
      <c r="A241" s="40" t="s">
        <v>2677</v>
      </c>
      <c r="B241" s="40" t="s">
        <v>3677</v>
      </c>
      <c r="C241" s="40" t="s">
        <v>623</v>
      </c>
      <c r="D241" s="40" t="s">
        <v>3872</v>
      </c>
      <c r="E241" s="40" t="s">
        <v>1850</v>
      </c>
      <c r="F241" s="40" t="s">
        <v>3748</v>
      </c>
      <c r="G241" s="40" t="s">
        <v>393</v>
      </c>
      <c r="H241" s="40" t="s">
        <v>3934</v>
      </c>
      <c r="I241" s="40" t="s">
        <v>3935</v>
      </c>
      <c r="J241" s="40" t="s">
        <v>318</v>
      </c>
      <c r="K241" s="40" t="s">
        <v>318</v>
      </c>
      <c r="L241" s="40" t="s">
        <v>879</v>
      </c>
      <c r="M241" s="40" t="s">
        <v>393</v>
      </c>
      <c r="N241" s="40" t="s">
        <v>3681</v>
      </c>
      <c r="O241" s="40" t="s">
        <v>3875</v>
      </c>
      <c r="P241" s="40" t="s">
        <v>2685</v>
      </c>
      <c r="Q241" s="40" t="s">
        <v>2706</v>
      </c>
      <c r="R241" s="40" t="s">
        <v>3698</v>
      </c>
      <c r="S241" s="40" t="s">
        <v>3707</v>
      </c>
      <c r="T241" s="40" t="s">
        <v>393</v>
      </c>
      <c r="U241" s="40" t="s">
        <v>393</v>
      </c>
      <c r="V241" s="40" t="s">
        <v>393</v>
      </c>
      <c r="W241" s="40" t="s">
        <v>393</v>
      </c>
      <c r="X241" s="40" t="s">
        <v>393</v>
      </c>
      <c r="Y241" s="40" t="s">
        <v>393</v>
      </c>
      <c r="Z241" s="40" t="s">
        <v>393</v>
      </c>
      <c r="AA241" s="40" t="s">
        <v>393</v>
      </c>
      <c r="AB241" s="40" t="s">
        <v>393</v>
      </c>
      <c r="AC241" s="40" t="s">
        <v>393</v>
      </c>
      <c r="AD241" s="40" t="s">
        <v>393</v>
      </c>
      <c r="AE241" s="40" t="s">
        <v>3686</v>
      </c>
      <c r="AF241" s="40" t="s">
        <v>3687</v>
      </c>
      <c r="AG241" s="40" t="s">
        <v>393</v>
      </c>
      <c r="AH241" s="40" t="s">
        <v>1938</v>
      </c>
      <c r="AI241" s="40" t="s">
        <v>2870</v>
      </c>
      <c r="AJ241" s="40" t="s">
        <v>3786</v>
      </c>
      <c r="AK241" s="40" t="s">
        <v>435</v>
      </c>
      <c r="AL241" s="40" t="s">
        <v>435</v>
      </c>
      <c r="AM241" s="40" t="s">
        <v>393</v>
      </c>
      <c r="AN241" s="40" t="s">
        <v>393</v>
      </c>
      <c r="AO241" s="36" t="s">
        <v>393</v>
      </c>
    </row>
    <row r="242" spans="1:41">
      <c r="A242" s="40" t="s">
        <v>2677</v>
      </c>
      <c r="B242" s="40" t="s">
        <v>3802</v>
      </c>
      <c r="C242" s="40" t="s">
        <v>623</v>
      </c>
      <c r="D242" s="40" t="s">
        <v>3872</v>
      </c>
      <c r="E242" s="40" t="s">
        <v>1850</v>
      </c>
      <c r="F242" s="40" t="s">
        <v>3754</v>
      </c>
      <c r="G242" s="40" t="s">
        <v>15</v>
      </c>
      <c r="H242" s="40" t="s">
        <v>3936</v>
      </c>
      <c r="I242" s="40" t="s">
        <v>3937</v>
      </c>
      <c r="J242" s="40" t="s">
        <v>318</v>
      </c>
      <c r="K242" s="40" t="s">
        <v>318</v>
      </c>
      <c r="L242" s="40" t="s">
        <v>879</v>
      </c>
      <c r="M242" s="40" t="s">
        <v>393</v>
      </c>
      <c r="N242" s="40" t="s">
        <v>3681</v>
      </c>
      <c r="O242" s="40" t="s">
        <v>3875</v>
      </c>
      <c r="P242" s="40" t="s">
        <v>2785</v>
      </c>
      <c r="Q242" s="40" t="s">
        <v>2706</v>
      </c>
      <c r="R242" s="40" t="s">
        <v>3786</v>
      </c>
      <c r="S242" s="40" t="s">
        <v>3341</v>
      </c>
      <c r="T242" s="40" t="s">
        <v>393</v>
      </c>
      <c r="U242" s="40" t="s">
        <v>393</v>
      </c>
      <c r="V242" s="40" t="s">
        <v>393</v>
      </c>
      <c r="W242" s="40" t="s">
        <v>393</v>
      </c>
      <c r="X242" s="40" t="s">
        <v>393</v>
      </c>
      <c r="Y242" s="40" t="s">
        <v>393</v>
      </c>
      <c r="Z242" s="40" t="s">
        <v>393</v>
      </c>
      <c r="AA242" s="40" t="s">
        <v>393</v>
      </c>
      <c r="AB242" s="40" t="s">
        <v>393</v>
      </c>
      <c r="AC242" s="40" t="s">
        <v>393</v>
      </c>
      <c r="AD242" s="40" t="s">
        <v>393</v>
      </c>
      <c r="AE242" s="40" t="s">
        <v>3938</v>
      </c>
      <c r="AF242" s="40" t="s">
        <v>3687</v>
      </c>
      <c r="AG242" s="40" t="s">
        <v>393</v>
      </c>
      <c r="AH242" s="40" t="s">
        <v>1938</v>
      </c>
      <c r="AI242" s="40" t="s">
        <v>2870</v>
      </c>
      <c r="AJ242" s="40" t="s">
        <v>3786</v>
      </c>
      <c r="AK242" s="40" t="s">
        <v>435</v>
      </c>
      <c r="AL242" s="40" t="s">
        <v>435</v>
      </c>
      <c r="AM242" s="40" t="s">
        <v>393</v>
      </c>
      <c r="AN242" s="40" t="s">
        <v>393</v>
      </c>
      <c r="AO242" s="36" t="s">
        <v>393</v>
      </c>
    </row>
    <row r="243" spans="1:41">
      <c r="A243" s="40" t="s">
        <v>2677</v>
      </c>
      <c r="B243" s="40" t="s">
        <v>3802</v>
      </c>
      <c r="C243" s="40" t="s">
        <v>623</v>
      </c>
      <c r="D243" s="40" t="s">
        <v>3872</v>
      </c>
      <c r="E243" s="40" t="s">
        <v>1850</v>
      </c>
      <c r="F243" s="40" t="s">
        <v>3754</v>
      </c>
      <c r="G243" s="40" t="s">
        <v>321</v>
      </c>
      <c r="H243" s="40" t="s">
        <v>3939</v>
      </c>
      <c r="I243" s="40" t="s">
        <v>3937</v>
      </c>
      <c r="J243" s="40" t="s">
        <v>318</v>
      </c>
      <c r="K243" s="40" t="s">
        <v>318</v>
      </c>
      <c r="L243" s="40" t="s">
        <v>879</v>
      </c>
      <c r="M243" s="40" t="s">
        <v>393</v>
      </c>
      <c r="N243" s="40" t="s">
        <v>3681</v>
      </c>
      <c r="O243" s="40" t="s">
        <v>3875</v>
      </c>
      <c r="P243" s="40" t="s">
        <v>2785</v>
      </c>
      <c r="Q243" s="40" t="s">
        <v>2706</v>
      </c>
      <c r="R243" s="40" t="s">
        <v>3786</v>
      </c>
      <c r="S243" s="40" t="s">
        <v>3341</v>
      </c>
      <c r="T243" s="40" t="s">
        <v>393</v>
      </c>
      <c r="U243" s="40" t="s">
        <v>393</v>
      </c>
      <c r="V243" s="40" t="s">
        <v>393</v>
      </c>
      <c r="W243" s="40" t="s">
        <v>393</v>
      </c>
      <c r="X243" s="40" t="s">
        <v>393</v>
      </c>
      <c r="Y243" s="40" t="s">
        <v>393</v>
      </c>
      <c r="Z243" s="40" t="s">
        <v>393</v>
      </c>
      <c r="AA243" s="40" t="s">
        <v>393</v>
      </c>
      <c r="AB243" s="40" t="s">
        <v>393</v>
      </c>
      <c r="AC243" s="40" t="s">
        <v>393</v>
      </c>
      <c r="AD243" s="40" t="s">
        <v>393</v>
      </c>
      <c r="AE243" s="40" t="s">
        <v>3938</v>
      </c>
      <c r="AF243" s="40" t="s">
        <v>3687</v>
      </c>
      <c r="AG243" s="40" t="s">
        <v>393</v>
      </c>
      <c r="AH243" s="40" t="s">
        <v>1938</v>
      </c>
      <c r="AI243" s="40" t="s">
        <v>2870</v>
      </c>
      <c r="AJ243" s="40" t="s">
        <v>3786</v>
      </c>
      <c r="AK243" s="40" t="s">
        <v>435</v>
      </c>
      <c r="AL243" s="40" t="s">
        <v>435</v>
      </c>
      <c r="AM243" s="40" t="s">
        <v>393</v>
      </c>
      <c r="AN243" s="40" t="s">
        <v>393</v>
      </c>
      <c r="AO243" s="36" t="s">
        <v>393</v>
      </c>
    </row>
    <row r="244" spans="1:41">
      <c r="A244" s="40" t="s">
        <v>2677</v>
      </c>
      <c r="B244" s="40" t="s">
        <v>3802</v>
      </c>
      <c r="C244" s="40" t="s">
        <v>623</v>
      </c>
      <c r="D244" s="40" t="s">
        <v>3872</v>
      </c>
      <c r="E244" s="40" t="s">
        <v>1850</v>
      </c>
      <c r="F244" s="40" t="s">
        <v>3756</v>
      </c>
      <c r="G244" s="40" t="s">
        <v>393</v>
      </c>
      <c r="H244" s="40" t="s">
        <v>3940</v>
      </c>
      <c r="I244" s="40" t="s">
        <v>3941</v>
      </c>
      <c r="J244" s="40" t="s">
        <v>318</v>
      </c>
      <c r="K244" s="40" t="s">
        <v>318</v>
      </c>
      <c r="L244" s="40" t="s">
        <v>879</v>
      </c>
      <c r="M244" s="40" t="s">
        <v>393</v>
      </c>
      <c r="N244" s="40" t="s">
        <v>3681</v>
      </c>
      <c r="O244" s="40" t="s">
        <v>3875</v>
      </c>
      <c r="P244" s="40" t="s">
        <v>2785</v>
      </c>
      <c r="Q244" s="40" t="s">
        <v>2706</v>
      </c>
      <c r="R244" s="40" t="s">
        <v>2870</v>
      </c>
      <c r="S244" s="40" t="s">
        <v>3942</v>
      </c>
      <c r="T244" s="40" t="s">
        <v>393</v>
      </c>
      <c r="U244" s="40" t="s">
        <v>393</v>
      </c>
      <c r="V244" s="40" t="s">
        <v>393</v>
      </c>
      <c r="W244" s="40" t="s">
        <v>393</v>
      </c>
      <c r="X244" s="40" t="s">
        <v>393</v>
      </c>
      <c r="Y244" s="40" t="s">
        <v>393</v>
      </c>
      <c r="Z244" s="40" t="s">
        <v>393</v>
      </c>
      <c r="AA244" s="40" t="s">
        <v>393</v>
      </c>
      <c r="AB244" s="40" t="s">
        <v>393</v>
      </c>
      <c r="AC244" s="40" t="s">
        <v>393</v>
      </c>
      <c r="AD244" s="40" t="s">
        <v>393</v>
      </c>
      <c r="AE244" s="40" t="s">
        <v>3938</v>
      </c>
      <c r="AF244" s="40" t="s">
        <v>3687</v>
      </c>
      <c r="AG244" s="40" t="s">
        <v>393</v>
      </c>
      <c r="AH244" s="40" t="s">
        <v>1938</v>
      </c>
      <c r="AI244" s="40" t="s">
        <v>2870</v>
      </c>
      <c r="AJ244" s="40" t="s">
        <v>3786</v>
      </c>
      <c r="AK244" s="40" t="s">
        <v>435</v>
      </c>
      <c r="AL244" s="40" t="s">
        <v>435</v>
      </c>
      <c r="AM244" s="40" t="s">
        <v>393</v>
      </c>
      <c r="AN244" s="40" t="s">
        <v>393</v>
      </c>
      <c r="AO244" s="36" t="s">
        <v>393</v>
      </c>
    </row>
    <row r="245" spans="1:41">
      <c r="A245" s="40" t="s">
        <v>2677</v>
      </c>
      <c r="B245" s="40" t="s">
        <v>3802</v>
      </c>
      <c r="C245" s="40" t="s">
        <v>623</v>
      </c>
      <c r="D245" s="40" t="s">
        <v>3872</v>
      </c>
      <c r="E245" s="40" t="s">
        <v>1850</v>
      </c>
      <c r="F245" s="40" t="s">
        <v>3758</v>
      </c>
      <c r="G245" s="40" t="s">
        <v>393</v>
      </c>
      <c r="H245" s="40" t="s">
        <v>3943</v>
      </c>
      <c r="I245" s="40" t="s">
        <v>3944</v>
      </c>
      <c r="J245" s="40" t="s">
        <v>318</v>
      </c>
      <c r="K245" s="40" t="s">
        <v>318</v>
      </c>
      <c r="L245" s="40" t="s">
        <v>879</v>
      </c>
      <c r="M245" s="40" t="s">
        <v>393</v>
      </c>
      <c r="N245" s="40" t="s">
        <v>3681</v>
      </c>
      <c r="O245" s="40" t="s">
        <v>3875</v>
      </c>
      <c r="P245" s="40" t="s">
        <v>2785</v>
      </c>
      <c r="Q245" s="40" t="s">
        <v>2706</v>
      </c>
      <c r="R245" s="40" t="s">
        <v>3786</v>
      </c>
      <c r="S245" s="40" t="s">
        <v>2790</v>
      </c>
      <c r="T245" s="40" t="s">
        <v>393</v>
      </c>
      <c r="U245" s="40" t="s">
        <v>393</v>
      </c>
      <c r="V245" s="40" t="s">
        <v>393</v>
      </c>
      <c r="W245" s="40" t="s">
        <v>393</v>
      </c>
      <c r="X245" s="40" t="s">
        <v>393</v>
      </c>
      <c r="Y245" s="40" t="s">
        <v>393</v>
      </c>
      <c r="Z245" s="40" t="s">
        <v>393</v>
      </c>
      <c r="AA245" s="40" t="s">
        <v>393</v>
      </c>
      <c r="AB245" s="40" t="s">
        <v>393</v>
      </c>
      <c r="AC245" s="40" t="s">
        <v>393</v>
      </c>
      <c r="AD245" s="40" t="s">
        <v>393</v>
      </c>
      <c r="AE245" s="40" t="s">
        <v>3938</v>
      </c>
      <c r="AF245" s="40" t="s">
        <v>3687</v>
      </c>
      <c r="AG245" s="40" t="s">
        <v>393</v>
      </c>
      <c r="AH245" s="40" t="s">
        <v>1938</v>
      </c>
      <c r="AI245" s="40" t="s">
        <v>2870</v>
      </c>
      <c r="AJ245" s="40" t="s">
        <v>3786</v>
      </c>
      <c r="AK245" s="40" t="s">
        <v>435</v>
      </c>
      <c r="AL245" s="40" t="s">
        <v>435</v>
      </c>
      <c r="AM245" s="40" t="s">
        <v>393</v>
      </c>
      <c r="AN245" s="40" t="s">
        <v>393</v>
      </c>
      <c r="AO245" s="36" t="s">
        <v>393</v>
      </c>
    </row>
    <row r="246" spans="1:41">
      <c r="A246" s="40" t="s">
        <v>2677</v>
      </c>
      <c r="B246" s="40" t="s">
        <v>3802</v>
      </c>
      <c r="C246" s="40" t="s">
        <v>623</v>
      </c>
      <c r="D246" s="40" t="s">
        <v>3872</v>
      </c>
      <c r="E246" s="40" t="s">
        <v>1850</v>
      </c>
      <c r="F246" s="40" t="s">
        <v>3760</v>
      </c>
      <c r="G246" s="40" t="s">
        <v>393</v>
      </c>
      <c r="H246" s="40" t="s">
        <v>3945</v>
      </c>
      <c r="I246" s="40" t="s">
        <v>3946</v>
      </c>
      <c r="J246" s="40" t="s">
        <v>318</v>
      </c>
      <c r="K246" s="40" t="s">
        <v>318</v>
      </c>
      <c r="L246" s="40" t="s">
        <v>879</v>
      </c>
      <c r="M246" s="40" t="s">
        <v>393</v>
      </c>
      <c r="N246" s="40" t="s">
        <v>3681</v>
      </c>
      <c r="O246" s="40" t="s">
        <v>3875</v>
      </c>
      <c r="P246" s="40" t="s">
        <v>2685</v>
      </c>
      <c r="Q246" s="40" t="s">
        <v>2706</v>
      </c>
      <c r="R246" s="40" t="s">
        <v>3786</v>
      </c>
      <c r="S246" s="40" t="s">
        <v>2790</v>
      </c>
      <c r="T246" s="40" t="s">
        <v>393</v>
      </c>
      <c r="U246" s="40" t="s">
        <v>393</v>
      </c>
      <c r="V246" s="40" t="s">
        <v>393</v>
      </c>
      <c r="W246" s="40" t="s">
        <v>393</v>
      </c>
      <c r="X246" s="40" t="s">
        <v>393</v>
      </c>
      <c r="Y246" s="40" t="s">
        <v>393</v>
      </c>
      <c r="Z246" s="40" t="s">
        <v>393</v>
      </c>
      <c r="AA246" s="40" t="s">
        <v>393</v>
      </c>
      <c r="AB246" s="40" t="s">
        <v>393</v>
      </c>
      <c r="AC246" s="40" t="s">
        <v>393</v>
      </c>
      <c r="AD246" s="40" t="s">
        <v>393</v>
      </c>
      <c r="AE246" s="40" t="s">
        <v>3938</v>
      </c>
      <c r="AF246" s="40" t="s">
        <v>3687</v>
      </c>
      <c r="AG246" s="40" t="s">
        <v>393</v>
      </c>
      <c r="AH246" s="40" t="s">
        <v>1938</v>
      </c>
      <c r="AI246" s="40" t="s">
        <v>2870</v>
      </c>
      <c r="AJ246" s="40" t="s">
        <v>3786</v>
      </c>
      <c r="AK246" s="40" t="s">
        <v>435</v>
      </c>
      <c r="AL246" s="40" t="s">
        <v>435</v>
      </c>
      <c r="AM246" s="40" t="s">
        <v>393</v>
      </c>
      <c r="AN246" s="40" t="s">
        <v>393</v>
      </c>
      <c r="AO246" s="36" t="s">
        <v>393</v>
      </c>
    </row>
    <row r="247" spans="1:41">
      <c r="A247" s="40" t="s">
        <v>2677</v>
      </c>
      <c r="B247" s="40" t="s">
        <v>3802</v>
      </c>
      <c r="C247" s="40" t="s">
        <v>623</v>
      </c>
      <c r="D247" s="40" t="s">
        <v>3872</v>
      </c>
      <c r="E247" s="40" t="s">
        <v>1850</v>
      </c>
      <c r="F247" s="40" t="s">
        <v>3762</v>
      </c>
      <c r="G247" s="40" t="s">
        <v>393</v>
      </c>
      <c r="H247" s="40" t="s">
        <v>3947</v>
      </c>
      <c r="I247" s="40" t="s">
        <v>3948</v>
      </c>
      <c r="J247" s="40" t="s">
        <v>318</v>
      </c>
      <c r="K247" s="40" t="s">
        <v>318</v>
      </c>
      <c r="L247" s="40" t="s">
        <v>879</v>
      </c>
      <c r="M247" s="40" t="s">
        <v>393</v>
      </c>
      <c r="N247" s="40" t="s">
        <v>3681</v>
      </c>
      <c r="O247" s="40" t="s">
        <v>3875</v>
      </c>
      <c r="P247" s="40" t="s">
        <v>2685</v>
      </c>
      <c r="Q247" s="40" t="s">
        <v>2706</v>
      </c>
      <c r="R247" s="40" t="s">
        <v>364</v>
      </c>
      <c r="S247" s="40" t="s">
        <v>505</v>
      </c>
      <c r="T247" s="40" t="s">
        <v>393</v>
      </c>
      <c r="U247" s="40" t="s">
        <v>393</v>
      </c>
      <c r="V247" s="40" t="s">
        <v>393</v>
      </c>
      <c r="W247" s="40" t="s">
        <v>393</v>
      </c>
      <c r="X247" s="40" t="s">
        <v>393</v>
      </c>
      <c r="Y247" s="40" t="s">
        <v>393</v>
      </c>
      <c r="Z247" s="40" t="s">
        <v>393</v>
      </c>
      <c r="AA247" s="40" t="s">
        <v>393</v>
      </c>
      <c r="AB247" s="40" t="s">
        <v>393</v>
      </c>
      <c r="AC247" s="40" t="s">
        <v>393</v>
      </c>
      <c r="AD247" s="40" t="s">
        <v>393</v>
      </c>
      <c r="AE247" s="40" t="s">
        <v>3686</v>
      </c>
      <c r="AF247" s="40" t="s">
        <v>3687</v>
      </c>
      <c r="AG247" s="40" t="s">
        <v>393</v>
      </c>
      <c r="AH247" s="40" t="s">
        <v>1938</v>
      </c>
      <c r="AI247" s="40" t="s">
        <v>2870</v>
      </c>
      <c r="AJ247" s="40" t="s">
        <v>3786</v>
      </c>
      <c r="AK247" s="40" t="s">
        <v>435</v>
      </c>
      <c r="AL247" s="40" t="s">
        <v>435</v>
      </c>
      <c r="AM247" s="40" t="s">
        <v>393</v>
      </c>
      <c r="AN247" s="40" t="s">
        <v>393</v>
      </c>
      <c r="AO247" s="36" t="s">
        <v>393</v>
      </c>
    </row>
    <row r="248" spans="1:41">
      <c r="A248" s="40" t="s">
        <v>2677</v>
      </c>
      <c r="B248" s="40" t="s">
        <v>3677</v>
      </c>
      <c r="C248" s="40" t="s">
        <v>623</v>
      </c>
      <c r="D248" s="40" t="s">
        <v>3872</v>
      </c>
      <c r="E248" s="40" t="s">
        <v>1850</v>
      </c>
      <c r="F248" s="40" t="s">
        <v>3764</v>
      </c>
      <c r="G248" s="40" t="s">
        <v>393</v>
      </c>
      <c r="H248" s="40" t="s">
        <v>3949</v>
      </c>
      <c r="I248" s="40" t="s">
        <v>3950</v>
      </c>
      <c r="J248" s="40" t="s">
        <v>318</v>
      </c>
      <c r="K248" s="40" t="s">
        <v>318</v>
      </c>
      <c r="L248" s="40" t="s">
        <v>879</v>
      </c>
      <c r="M248" s="40" t="s">
        <v>393</v>
      </c>
      <c r="N248" s="40" t="s">
        <v>3681</v>
      </c>
      <c r="O248" s="40" t="s">
        <v>3875</v>
      </c>
      <c r="P248" s="40" t="s">
        <v>2685</v>
      </c>
      <c r="Q248" s="40" t="s">
        <v>2706</v>
      </c>
      <c r="R248" s="40" t="s">
        <v>364</v>
      </c>
      <c r="S248" s="40" t="s">
        <v>505</v>
      </c>
      <c r="T248" s="40" t="s">
        <v>393</v>
      </c>
      <c r="U248" s="40" t="s">
        <v>393</v>
      </c>
      <c r="V248" s="40" t="s">
        <v>393</v>
      </c>
      <c r="W248" s="40" t="s">
        <v>393</v>
      </c>
      <c r="X248" s="40" t="s">
        <v>393</v>
      </c>
      <c r="Y248" s="40" t="s">
        <v>393</v>
      </c>
      <c r="Z248" s="40" t="s">
        <v>393</v>
      </c>
      <c r="AA248" s="40" t="s">
        <v>393</v>
      </c>
      <c r="AB248" s="40" t="s">
        <v>393</v>
      </c>
      <c r="AC248" s="40" t="s">
        <v>393</v>
      </c>
      <c r="AD248" s="40" t="s">
        <v>393</v>
      </c>
      <c r="AE248" s="40" t="s">
        <v>3686</v>
      </c>
      <c r="AF248" s="40" t="s">
        <v>3687</v>
      </c>
      <c r="AG248" s="40" t="s">
        <v>393</v>
      </c>
      <c r="AH248" s="40" t="s">
        <v>1938</v>
      </c>
      <c r="AI248" s="40" t="s">
        <v>2870</v>
      </c>
      <c r="AJ248" s="40" t="s">
        <v>3786</v>
      </c>
      <c r="AK248" s="40" t="s">
        <v>435</v>
      </c>
      <c r="AL248" s="40" t="s">
        <v>435</v>
      </c>
      <c r="AM248" s="40" t="s">
        <v>393</v>
      </c>
      <c r="AN248" s="40" t="s">
        <v>393</v>
      </c>
      <c r="AO248" s="36" t="s">
        <v>393</v>
      </c>
    </row>
    <row r="249" spans="1:41">
      <c r="A249" s="40" t="s">
        <v>2677</v>
      </c>
      <c r="B249" s="40" t="s">
        <v>3677</v>
      </c>
      <c r="C249" s="40" t="s">
        <v>623</v>
      </c>
      <c r="D249" s="40" t="s">
        <v>3951</v>
      </c>
      <c r="E249" s="40" t="s">
        <v>1850</v>
      </c>
      <c r="F249" s="40" t="s">
        <v>2680</v>
      </c>
      <c r="G249" s="40" t="s">
        <v>393</v>
      </c>
      <c r="H249" s="40" t="s">
        <v>3952</v>
      </c>
      <c r="I249" s="40" t="s">
        <v>3953</v>
      </c>
      <c r="J249" s="40" t="s">
        <v>318</v>
      </c>
      <c r="K249" s="40" t="s">
        <v>318</v>
      </c>
      <c r="L249" s="40" t="s">
        <v>879</v>
      </c>
      <c r="M249" s="40" t="s">
        <v>393</v>
      </c>
      <c r="N249" s="40" t="s">
        <v>3681</v>
      </c>
      <c r="O249" s="40" t="s">
        <v>3954</v>
      </c>
      <c r="P249" s="40" t="s">
        <v>2685</v>
      </c>
      <c r="Q249" s="40" t="s">
        <v>2706</v>
      </c>
      <c r="R249" s="40" t="s">
        <v>3955</v>
      </c>
      <c r="S249" s="40" t="s">
        <v>3956</v>
      </c>
      <c r="T249" s="40" t="s">
        <v>393</v>
      </c>
      <c r="U249" s="40" t="s">
        <v>3957</v>
      </c>
      <c r="V249" s="40" t="s">
        <v>393</v>
      </c>
      <c r="W249" s="40" t="s">
        <v>393</v>
      </c>
      <c r="X249" s="40" t="s">
        <v>393</v>
      </c>
      <c r="Y249" s="40" t="s">
        <v>3685</v>
      </c>
      <c r="Z249" s="40" t="s">
        <v>505</v>
      </c>
      <c r="AA249" s="40" t="s">
        <v>393</v>
      </c>
      <c r="AB249" s="40" t="s">
        <v>393</v>
      </c>
      <c r="AC249" s="40" t="s">
        <v>3685</v>
      </c>
      <c r="AD249" s="40" t="s">
        <v>490</v>
      </c>
      <c r="AE249" s="40" t="s">
        <v>3958</v>
      </c>
      <c r="AF249" s="40" t="s">
        <v>3903</v>
      </c>
      <c r="AG249" s="40" t="s">
        <v>393</v>
      </c>
      <c r="AH249" s="40" t="s">
        <v>3959</v>
      </c>
      <c r="AI249" s="40" t="s">
        <v>3334</v>
      </c>
      <c r="AJ249" s="40" t="s">
        <v>2735</v>
      </c>
      <c r="AK249" s="40" t="s">
        <v>3960</v>
      </c>
      <c r="AL249" s="40" t="s">
        <v>2854</v>
      </c>
      <c r="AM249" s="40" t="s">
        <v>3961</v>
      </c>
      <c r="AN249" s="40" t="s">
        <v>3962</v>
      </c>
      <c r="AO249" s="36" t="s">
        <v>3963</v>
      </c>
    </row>
    <row r="250" spans="1:41">
      <c r="A250" s="40" t="s">
        <v>2677</v>
      </c>
      <c r="B250" s="40" t="s">
        <v>3677</v>
      </c>
      <c r="C250" s="40" t="s">
        <v>623</v>
      </c>
      <c r="D250" s="40" t="s">
        <v>3951</v>
      </c>
      <c r="E250" s="40" t="s">
        <v>1850</v>
      </c>
      <c r="F250" s="40" t="s">
        <v>2782</v>
      </c>
      <c r="G250" s="40" t="s">
        <v>393</v>
      </c>
      <c r="H250" s="40" t="s">
        <v>3964</v>
      </c>
      <c r="I250" s="40" t="s">
        <v>3965</v>
      </c>
      <c r="J250" s="40" t="s">
        <v>318</v>
      </c>
      <c r="K250" s="40" t="s">
        <v>318</v>
      </c>
      <c r="L250" s="40" t="s">
        <v>879</v>
      </c>
      <c r="M250" s="40" t="s">
        <v>393</v>
      </c>
      <c r="N250" s="40" t="s">
        <v>3681</v>
      </c>
      <c r="O250" s="40" t="s">
        <v>3954</v>
      </c>
      <c r="P250" s="40" t="s">
        <v>2685</v>
      </c>
      <c r="Q250" s="40" t="s">
        <v>2706</v>
      </c>
      <c r="R250" s="40" t="s">
        <v>3966</v>
      </c>
      <c r="S250" s="40" t="s">
        <v>3967</v>
      </c>
      <c r="T250" s="40" t="s">
        <v>393</v>
      </c>
      <c r="U250" s="40" t="s">
        <v>3968</v>
      </c>
      <c r="V250" s="40" t="s">
        <v>393</v>
      </c>
      <c r="W250" s="40" t="s">
        <v>393</v>
      </c>
      <c r="X250" s="40" t="s">
        <v>393</v>
      </c>
      <c r="Y250" s="40" t="s">
        <v>3685</v>
      </c>
      <c r="Z250" s="40" t="s">
        <v>505</v>
      </c>
      <c r="AA250" s="40" t="s">
        <v>393</v>
      </c>
      <c r="AB250" s="40" t="s">
        <v>393</v>
      </c>
      <c r="AC250" s="40" t="s">
        <v>3685</v>
      </c>
      <c r="AD250" s="40" t="s">
        <v>490</v>
      </c>
      <c r="AE250" s="40" t="s">
        <v>3969</v>
      </c>
      <c r="AF250" s="40" t="s">
        <v>632</v>
      </c>
      <c r="AG250" s="40" t="s">
        <v>393</v>
      </c>
      <c r="AH250" s="40" t="s">
        <v>3959</v>
      </c>
      <c r="AI250" s="40" t="s">
        <v>3334</v>
      </c>
      <c r="AJ250" s="40" t="s">
        <v>2735</v>
      </c>
      <c r="AK250" s="40" t="s">
        <v>3960</v>
      </c>
      <c r="AL250" s="40" t="s">
        <v>2854</v>
      </c>
      <c r="AM250" s="40" t="s">
        <v>3970</v>
      </c>
      <c r="AN250" s="40" t="s">
        <v>3962</v>
      </c>
      <c r="AO250" s="36" t="s">
        <v>3971</v>
      </c>
    </row>
    <row r="251" spans="1:41">
      <c r="A251" s="40" t="s">
        <v>2677</v>
      </c>
      <c r="B251" s="40" t="s">
        <v>3677</v>
      </c>
      <c r="C251" s="40" t="s">
        <v>623</v>
      </c>
      <c r="D251" s="40" t="s">
        <v>3951</v>
      </c>
      <c r="E251" s="40" t="s">
        <v>1850</v>
      </c>
      <c r="F251" s="40" t="s">
        <v>2740</v>
      </c>
      <c r="G251" s="40" t="s">
        <v>393</v>
      </c>
      <c r="H251" s="40" t="s">
        <v>3972</v>
      </c>
      <c r="I251" s="40" t="s">
        <v>3973</v>
      </c>
      <c r="J251" s="40" t="s">
        <v>318</v>
      </c>
      <c r="K251" s="40" t="s">
        <v>318</v>
      </c>
      <c r="L251" s="40" t="s">
        <v>879</v>
      </c>
      <c r="M251" s="40" t="s">
        <v>393</v>
      </c>
      <c r="N251" s="40" t="s">
        <v>3681</v>
      </c>
      <c r="O251" s="40" t="s">
        <v>3954</v>
      </c>
      <c r="P251" s="40" t="s">
        <v>2685</v>
      </c>
      <c r="Q251" s="40" t="s">
        <v>2706</v>
      </c>
      <c r="R251" s="40" t="s">
        <v>3974</v>
      </c>
      <c r="S251" s="40" t="s">
        <v>3975</v>
      </c>
      <c r="T251" s="40" t="s">
        <v>393</v>
      </c>
      <c r="U251" s="40" t="s">
        <v>3976</v>
      </c>
      <c r="V251" s="40" t="s">
        <v>393</v>
      </c>
      <c r="W251" s="40" t="s">
        <v>393</v>
      </c>
      <c r="X251" s="40" t="s">
        <v>393</v>
      </c>
      <c r="Y251" s="40" t="s">
        <v>393</v>
      </c>
      <c r="Z251" s="40" t="s">
        <v>393</v>
      </c>
      <c r="AA251" s="40" t="s">
        <v>393</v>
      </c>
      <c r="AB251" s="40" t="s">
        <v>393</v>
      </c>
      <c r="AC251" s="40" t="s">
        <v>3685</v>
      </c>
      <c r="AD251" s="40" t="s">
        <v>490</v>
      </c>
      <c r="AE251" s="40" t="s">
        <v>967</v>
      </c>
      <c r="AF251" s="40" t="s">
        <v>753</v>
      </c>
      <c r="AG251" s="40" t="s">
        <v>393</v>
      </c>
      <c r="AH251" s="40" t="s">
        <v>2895</v>
      </c>
      <c r="AI251" s="40" t="s">
        <v>305</v>
      </c>
      <c r="AJ251" s="40" t="s">
        <v>2734</v>
      </c>
      <c r="AK251" s="40" t="s">
        <v>3593</v>
      </c>
      <c r="AL251" s="40" t="s">
        <v>2815</v>
      </c>
      <c r="AM251" s="40" t="s">
        <v>3977</v>
      </c>
      <c r="AN251" s="40" t="s">
        <v>3962</v>
      </c>
      <c r="AO251" s="36" t="s">
        <v>393</v>
      </c>
    </row>
    <row r="252" spans="1:41">
      <c r="A252" s="40" t="s">
        <v>2677</v>
      </c>
      <c r="B252" s="40" t="s">
        <v>3802</v>
      </c>
      <c r="C252" s="40" t="s">
        <v>623</v>
      </c>
      <c r="D252" s="40" t="s">
        <v>3951</v>
      </c>
      <c r="E252" s="40" t="s">
        <v>1850</v>
      </c>
      <c r="F252" s="40" t="s">
        <v>2920</v>
      </c>
      <c r="G252" s="40" t="s">
        <v>393</v>
      </c>
      <c r="H252" s="40" t="s">
        <v>3978</v>
      </c>
      <c r="I252" s="40" t="s">
        <v>3979</v>
      </c>
      <c r="J252" s="40" t="s">
        <v>318</v>
      </c>
      <c r="K252" s="40" t="s">
        <v>318</v>
      </c>
      <c r="L252" s="40" t="s">
        <v>879</v>
      </c>
      <c r="M252" s="40" t="s">
        <v>393</v>
      </c>
      <c r="N252" s="40" t="s">
        <v>3681</v>
      </c>
      <c r="O252" s="40" t="s">
        <v>3954</v>
      </c>
      <c r="P252" s="40" t="s">
        <v>2685</v>
      </c>
      <c r="Q252" s="40" t="s">
        <v>2706</v>
      </c>
      <c r="R252" s="40" t="s">
        <v>3980</v>
      </c>
      <c r="S252" s="40" t="s">
        <v>3981</v>
      </c>
      <c r="T252" s="40" t="s">
        <v>393</v>
      </c>
      <c r="U252" s="40" t="s">
        <v>3982</v>
      </c>
      <c r="V252" s="40" t="s">
        <v>393</v>
      </c>
      <c r="W252" s="40" t="s">
        <v>393</v>
      </c>
      <c r="X252" s="40" t="s">
        <v>393</v>
      </c>
      <c r="Y252" s="40" t="s">
        <v>393</v>
      </c>
      <c r="Z252" s="40" t="s">
        <v>393</v>
      </c>
      <c r="AA252" s="40" t="s">
        <v>393</v>
      </c>
      <c r="AB252" s="40" t="s">
        <v>393</v>
      </c>
      <c r="AC252" s="40" t="s">
        <v>3685</v>
      </c>
      <c r="AD252" s="40" t="s">
        <v>490</v>
      </c>
      <c r="AE252" s="40" t="s">
        <v>831</v>
      </c>
      <c r="AF252" s="40" t="s">
        <v>754</v>
      </c>
      <c r="AG252" s="40" t="s">
        <v>393</v>
      </c>
      <c r="AH252" s="40" t="s">
        <v>2804</v>
      </c>
      <c r="AI252" s="40" t="s">
        <v>3983</v>
      </c>
      <c r="AJ252" s="40" t="s">
        <v>2734</v>
      </c>
      <c r="AK252" s="40" t="s">
        <v>3283</v>
      </c>
      <c r="AL252" s="40" t="s">
        <v>3088</v>
      </c>
      <c r="AM252" s="40" t="s">
        <v>3984</v>
      </c>
      <c r="AN252" s="40" t="s">
        <v>3962</v>
      </c>
      <c r="AO252" s="36" t="s">
        <v>393</v>
      </c>
    </row>
    <row r="253" spans="1:41">
      <c r="A253" s="40" t="s">
        <v>2677</v>
      </c>
      <c r="B253" s="40" t="s">
        <v>3446</v>
      </c>
      <c r="C253" s="40" t="s">
        <v>623</v>
      </c>
      <c r="D253" s="40" t="s">
        <v>3951</v>
      </c>
      <c r="E253" s="40" t="s">
        <v>1850</v>
      </c>
      <c r="F253" s="40" t="s">
        <v>3293</v>
      </c>
      <c r="G253" s="40" t="s">
        <v>15</v>
      </c>
      <c r="H253" s="40" t="s">
        <v>3985</v>
      </c>
      <c r="I253" s="40" t="s">
        <v>3986</v>
      </c>
      <c r="J253" s="40" t="s">
        <v>318</v>
      </c>
      <c r="K253" s="40" t="s">
        <v>318</v>
      </c>
      <c r="L253" s="40" t="s">
        <v>879</v>
      </c>
      <c r="M253" s="40" t="s">
        <v>393</v>
      </c>
      <c r="N253" s="40" t="s">
        <v>3681</v>
      </c>
      <c r="O253" s="40" t="s">
        <v>3954</v>
      </c>
      <c r="P253" s="40" t="s">
        <v>2785</v>
      </c>
      <c r="Q253" s="40" t="s">
        <v>2439</v>
      </c>
      <c r="R253" s="40" t="s">
        <v>3987</v>
      </c>
      <c r="S253" s="40" t="s">
        <v>3988</v>
      </c>
      <c r="T253" s="40" t="s">
        <v>393</v>
      </c>
      <c r="U253" s="40" t="s">
        <v>3989</v>
      </c>
      <c r="V253" s="40" t="s">
        <v>393</v>
      </c>
      <c r="W253" s="40" t="s">
        <v>393</v>
      </c>
      <c r="X253" s="40" t="s">
        <v>393</v>
      </c>
      <c r="Y253" s="40" t="s">
        <v>3685</v>
      </c>
      <c r="Z253" s="40" t="s">
        <v>505</v>
      </c>
      <c r="AA253" s="40" t="s">
        <v>393</v>
      </c>
      <c r="AB253" s="40" t="s">
        <v>393</v>
      </c>
      <c r="AC253" s="40" t="s">
        <v>3685</v>
      </c>
      <c r="AD253" s="40" t="s">
        <v>490</v>
      </c>
      <c r="AE253" s="40" t="s">
        <v>3990</v>
      </c>
      <c r="AF253" s="40" t="s">
        <v>612</v>
      </c>
      <c r="AG253" s="40" t="s">
        <v>393</v>
      </c>
      <c r="AH253" s="40" t="s">
        <v>3959</v>
      </c>
      <c r="AI253" s="40" t="s">
        <v>2894</v>
      </c>
      <c r="AJ253" s="40" t="s">
        <v>318</v>
      </c>
      <c r="AK253" s="40" t="s">
        <v>3697</v>
      </c>
      <c r="AL253" s="40" t="s">
        <v>2807</v>
      </c>
      <c r="AM253" s="40" t="s">
        <v>393</v>
      </c>
      <c r="AN253" s="40" t="s">
        <v>393</v>
      </c>
      <c r="AO253" s="36" t="s">
        <v>393</v>
      </c>
    </row>
    <row r="254" spans="1:41">
      <c r="A254" s="40" t="s">
        <v>2677</v>
      </c>
      <c r="B254" s="40" t="s">
        <v>3446</v>
      </c>
      <c r="C254" s="40" t="s">
        <v>623</v>
      </c>
      <c r="D254" s="40" t="s">
        <v>3951</v>
      </c>
      <c r="E254" s="40" t="s">
        <v>1850</v>
      </c>
      <c r="F254" s="40" t="s">
        <v>3293</v>
      </c>
      <c r="G254" s="40" t="s">
        <v>321</v>
      </c>
      <c r="H254" s="40" t="s">
        <v>3991</v>
      </c>
      <c r="I254" s="40" t="s">
        <v>3986</v>
      </c>
      <c r="J254" s="40" t="s">
        <v>318</v>
      </c>
      <c r="K254" s="40" t="s">
        <v>318</v>
      </c>
      <c r="L254" s="40" t="s">
        <v>879</v>
      </c>
      <c r="M254" s="40" t="s">
        <v>393</v>
      </c>
      <c r="N254" s="40" t="s">
        <v>3681</v>
      </c>
      <c r="O254" s="40" t="s">
        <v>3954</v>
      </c>
      <c r="P254" s="40" t="s">
        <v>2785</v>
      </c>
      <c r="Q254" s="40" t="s">
        <v>3905</v>
      </c>
      <c r="R254" s="40" t="s">
        <v>3987</v>
      </c>
      <c r="S254" s="40" t="s">
        <v>3988</v>
      </c>
      <c r="T254" s="40" t="s">
        <v>393</v>
      </c>
      <c r="U254" s="40" t="s">
        <v>3989</v>
      </c>
      <c r="V254" s="40" t="s">
        <v>393</v>
      </c>
      <c r="W254" s="40" t="s">
        <v>393</v>
      </c>
      <c r="X254" s="40" t="s">
        <v>393</v>
      </c>
      <c r="Y254" s="40" t="s">
        <v>3685</v>
      </c>
      <c r="Z254" s="40" t="s">
        <v>505</v>
      </c>
      <c r="AA254" s="40" t="s">
        <v>393</v>
      </c>
      <c r="AB254" s="40" t="s">
        <v>393</v>
      </c>
      <c r="AC254" s="40" t="s">
        <v>3685</v>
      </c>
      <c r="AD254" s="40" t="s">
        <v>490</v>
      </c>
      <c r="AE254" s="40" t="s">
        <v>3990</v>
      </c>
      <c r="AF254" s="40" t="s">
        <v>612</v>
      </c>
      <c r="AG254" s="40" t="s">
        <v>393</v>
      </c>
      <c r="AH254" s="40" t="s">
        <v>3959</v>
      </c>
      <c r="AI254" s="40" t="s">
        <v>2894</v>
      </c>
      <c r="AJ254" s="40" t="s">
        <v>318</v>
      </c>
      <c r="AK254" s="40" t="s">
        <v>3697</v>
      </c>
      <c r="AL254" s="40" t="s">
        <v>2807</v>
      </c>
      <c r="AM254" s="40" t="s">
        <v>393</v>
      </c>
      <c r="AN254" s="40" t="s">
        <v>393</v>
      </c>
      <c r="AO254" s="36" t="s">
        <v>393</v>
      </c>
    </row>
    <row r="255" spans="1:41">
      <c r="A255" s="40" t="s">
        <v>2677</v>
      </c>
      <c r="B255" s="40" t="s">
        <v>3370</v>
      </c>
      <c r="C255" s="40" t="s">
        <v>623</v>
      </c>
      <c r="D255" s="40" t="s">
        <v>3951</v>
      </c>
      <c r="E255" s="40" t="s">
        <v>1850</v>
      </c>
      <c r="F255" s="40" t="s">
        <v>3349</v>
      </c>
      <c r="G255" s="40" t="s">
        <v>15</v>
      </c>
      <c r="H255" s="40" t="s">
        <v>3992</v>
      </c>
      <c r="I255" s="40" t="s">
        <v>3993</v>
      </c>
      <c r="J255" s="40" t="s">
        <v>318</v>
      </c>
      <c r="K255" s="40" t="s">
        <v>318</v>
      </c>
      <c r="L255" s="40" t="s">
        <v>879</v>
      </c>
      <c r="M255" s="40" t="s">
        <v>393</v>
      </c>
      <c r="N255" s="40" t="s">
        <v>3681</v>
      </c>
      <c r="O255" s="40" t="s">
        <v>3954</v>
      </c>
      <c r="P255" s="40" t="s">
        <v>2785</v>
      </c>
      <c r="Q255" s="40" t="s">
        <v>2439</v>
      </c>
      <c r="R255" s="40" t="s">
        <v>3994</v>
      </c>
      <c r="S255" s="40" t="s">
        <v>3995</v>
      </c>
      <c r="T255" s="40" t="s">
        <v>393</v>
      </c>
      <c r="U255" s="40" t="s">
        <v>3996</v>
      </c>
      <c r="V255" s="40" t="s">
        <v>393</v>
      </c>
      <c r="W255" s="40" t="s">
        <v>393</v>
      </c>
      <c r="X255" s="40" t="s">
        <v>393</v>
      </c>
      <c r="Y255" s="40" t="s">
        <v>3685</v>
      </c>
      <c r="Z255" s="40" t="s">
        <v>505</v>
      </c>
      <c r="AA255" s="40" t="s">
        <v>393</v>
      </c>
      <c r="AB255" s="40" t="s">
        <v>393</v>
      </c>
      <c r="AC255" s="40" t="s">
        <v>3685</v>
      </c>
      <c r="AD255" s="40" t="s">
        <v>490</v>
      </c>
      <c r="AE255" s="40" t="s">
        <v>3990</v>
      </c>
      <c r="AF255" s="40" t="s">
        <v>612</v>
      </c>
      <c r="AG255" s="40" t="s">
        <v>393</v>
      </c>
      <c r="AH255" s="40" t="s">
        <v>3959</v>
      </c>
      <c r="AI255" s="40" t="s">
        <v>2894</v>
      </c>
      <c r="AJ255" s="40" t="s">
        <v>318</v>
      </c>
      <c r="AK255" s="40" t="s">
        <v>3697</v>
      </c>
      <c r="AL255" s="40" t="s">
        <v>2807</v>
      </c>
      <c r="AM255" s="40" t="s">
        <v>393</v>
      </c>
      <c r="AN255" s="40" t="s">
        <v>393</v>
      </c>
      <c r="AO255" s="36" t="s">
        <v>3997</v>
      </c>
    </row>
    <row r="256" spans="1:41">
      <c r="A256" s="40" t="s">
        <v>2677</v>
      </c>
      <c r="B256" s="40" t="s">
        <v>3370</v>
      </c>
      <c r="C256" s="40" t="s">
        <v>623</v>
      </c>
      <c r="D256" s="40" t="s">
        <v>3951</v>
      </c>
      <c r="E256" s="40" t="s">
        <v>1850</v>
      </c>
      <c r="F256" s="40" t="s">
        <v>3349</v>
      </c>
      <c r="G256" s="40" t="s">
        <v>321</v>
      </c>
      <c r="H256" s="40" t="s">
        <v>3998</v>
      </c>
      <c r="I256" s="40" t="s">
        <v>3993</v>
      </c>
      <c r="J256" s="40" t="s">
        <v>318</v>
      </c>
      <c r="K256" s="40" t="s">
        <v>318</v>
      </c>
      <c r="L256" s="40" t="s">
        <v>879</v>
      </c>
      <c r="M256" s="40" t="s">
        <v>393</v>
      </c>
      <c r="N256" s="40" t="s">
        <v>3681</v>
      </c>
      <c r="O256" s="40" t="s">
        <v>3954</v>
      </c>
      <c r="P256" s="40" t="s">
        <v>2785</v>
      </c>
      <c r="Q256" s="40" t="s">
        <v>3905</v>
      </c>
      <c r="R256" s="40" t="s">
        <v>3994</v>
      </c>
      <c r="S256" s="40" t="s">
        <v>3995</v>
      </c>
      <c r="T256" s="40" t="s">
        <v>393</v>
      </c>
      <c r="U256" s="40" t="s">
        <v>3996</v>
      </c>
      <c r="V256" s="40" t="s">
        <v>393</v>
      </c>
      <c r="W256" s="40" t="s">
        <v>393</v>
      </c>
      <c r="X256" s="40" t="s">
        <v>393</v>
      </c>
      <c r="Y256" s="40" t="s">
        <v>3685</v>
      </c>
      <c r="Z256" s="40" t="s">
        <v>505</v>
      </c>
      <c r="AA256" s="40" t="s">
        <v>393</v>
      </c>
      <c r="AB256" s="40" t="s">
        <v>393</v>
      </c>
      <c r="AC256" s="40" t="s">
        <v>3685</v>
      </c>
      <c r="AD256" s="40" t="s">
        <v>490</v>
      </c>
      <c r="AE256" s="40" t="s">
        <v>3990</v>
      </c>
      <c r="AF256" s="40" t="s">
        <v>612</v>
      </c>
      <c r="AG256" s="40" t="s">
        <v>393</v>
      </c>
      <c r="AH256" s="40" t="s">
        <v>3959</v>
      </c>
      <c r="AI256" s="40" t="s">
        <v>2894</v>
      </c>
      <c r="AJ256" s="40" t="s">
        <v>318</v>
      </c>
      <c r="AK256" s="40" t="s">
        <v>3697</v>
      </c>
      <c r="AL256" s="40" t="s">
        <v>2807</v>
      </c>
      <c r="AM256" s="40" t="s">
        <v>393</v>
      </c>
      <c r="AN256" s="40" t="s">
        <v>393</v>
      </c>
      <c r="AO256" s="36" t="s">
        <v>3997</v>
      </c>
    </row>
    <row r="257" spans="1:41">
      <c r="A257" s="40" t="s">
        <v>2677</v>
      </c>
      <c r="B257" s="40" t="s">
        <v>3433</v>
      </c>
      <c r="C257" s="40" t="s">
        <v>623</v>
      </c>
      <c r="D257" s="40" t="s">
        <v>3951</v>
      </c>
      <c r="E257" s="40" t="s">
        <v>1850</v>
      </c>
      <c r="F257" s="40" t="s">
        <v>2888</v>
      </c>
      <c r="G257" s="40" t="s">
        <v>15</v>
      </c>
      <c r="H257" s="40" t="s">
        <v>3999</v>
      </c>
      <c r="I257" s="40" t="s">
        <v>4000</v>
      </c>
      <c r="J257" s="40" t="s">
        <v>318</v>
      </c>
      <c r="K257" s="40" t="s">
        <v>318</v>
      </c>
      <c r="L257" s="40" t="s">
        <v>879</v>
      </c>
      <c r="M257" s="40" t="s">
        <v>393</v>
      </c>
      <c r="N257" s="40" t="s">
        <v>3681</v>
      </c>
      <c r="O257" s="40" t="s">
        <v>3954</v>
      </c>
      <c r="P257" s="40" t="s">
        <v>2785</v>
      </c>
      <c r="Q257" s="40" t="s">
        <v>2439</v>
      </c>
      <c r="R257" s="40" t="s">
        <v>4001</v>
      </c>
      <c r="S257" s="40" t="s">
        <v>4002</v>
      </c>
      <c r="T257" s="40" t="s">
        <v>393</v>
      </c>
      <c r="U257" s="40" t="s">
        <v>4003</v>
      </c>
      <c r="V257" s="40" t="s">
        <v>393</v>
      </c>
      <c r="W257" s="40" t="s">
        <v>393</v>
      </c>
      <c r="X257" s="40" t="s">
        <v>393</v>
      </c>
      <c r="Y257" s="40" t="s">
        <v>3685</v>
      </c>
      <c r="Z257" s="40" t="s">
        <v>505</v>
      </c>
      <c r="AA257" s="40" t="s">
        <v>393</v>
      </c>
      <c r="AB257" s="40" t="s">
        <v>393</v>
      </c>
      <c r="AC257" s="40" t="s">
        <v>3685</v>
      </c>
      <c r="AD257" s="40" t="s">
        <v>490</v>
      </c>
      <c r="AE257" s="40" t="s">
        <v>632</v>
      </c>
      <c r="AF257" s="40" t="s">
        <v>4004</v>
      </c>
      <c r="AG257" s="40" t="s">
        <v>393</v>
      </c>
      <c r="AH257" s="40" t="s">
        <v>339</v>
      </c>
      <c r="AI257" s="40" t="s">
        <v>2893</v>
      </c>
      <c r="AJ257" s="40" t="s">
        <v>2893</v>
      </c>
      <c r="AK257" s="40" t="s">
        <v>3664</v>
      </c>
      <c r="AL257" s="40" t="s">
        <v>4005</v>
      </c>
      <c r="AM257" s="40" t="s">
        <v>393</v>
      </c>
      <c r="AN257" s="40" t="s">
        <v>393</v>
      </c>
      <c r="AO257" s="36" t="s">
        <v>393</v>
      </c>
    </row>
    <row r="258" spans="1:41">
      <c r="A258" s="40" t="s">
        <v>2677</v>
      </c>
      <c r="B258" s="40" t="s">
        <v>3433</v>
      </c>
      <c r="C258" s="40" t="s">
        <v>623</v>
      </c>
      <c r="D258" s="40" t="s">
        <v>3951</v>
      </c>
      <c r="E258" s="40" t="s">
        <v>1850</v>
      </c>
      <c r="F258" s="40" t="s">
        <v>2888</v>
      </c>
      <c r="G258" s="40" t="s">
        <v>321</v>
      </c>
      <c r="H258" s="40" t="s">
        <v>4006</v>
      </c>
      <c r="I258" s="40" t="s">
        <v>4000</v>
      </c>
      <c r="J258" s="40" t="s">
        <v>318</v>
      </c>
      <c r="K258" s="40" t="s">
        <v>318</v>
      </c>
      <c r="L258" s="40" t="s">
        <v>879</v>
      </c>
      <c r="M258" s="40" t="s">
        <v>393</v>
      </c>
      <c r="N258" s="40" t="s">
        <v>3681</v>
      </c>
      <c r="O258" s="40" t="s">
        <v>3954</v>
      </c>
      <c r="P258" s="40" t="s">
        <v>2785</v>
      </c>
      <c r="Q258" s="40" t="s">
        <v>3905</v>
      </c>
      <c r="R258" s="40" t="s">
        <v>4001</v>
      </c>
      <c r="S258" s="40" t="s">
        <v>4002</v>
      </c>
      <c r="T258" s="40" t="s">
        <v>393</v>
      </c>
      <c r="U258" s="40" t="s">
        <v>4003</v>
      </c>
      <c r="V258" s="40" t="s">
        <v>393</v>
      </c>
      <c r="W258" s="40" t="s">
        <v>393</v>
      </c>
      <c r="X258" s="40" t="s">
        <v>393</v>
      </c>
      <c r="Y258" s="40" t="s">
        <v>3685</v>
      </c>
      <c r="Z258" s="40" t="s">
        <v>505</v>
      </c>
      <c r="AA258" s="40" t="s">
        <v>393</v>
      </c>
      <c r="AB258" s="40" t="s">
        <v>393</v>
      </c>
      <c r="AC258" s="40" t="s">
        <v>3685</v>
      </c>
      <c r="AD258" s="40" t="s">
        <v>490</v>
      </c>
      <c r="AE258" s="40" t="s">
        <v>632</v>
      </c>
      <c r="AF258" s="40" t="s">
        <v>4004</v>
      </c>
      <c r="AG258" s="40" t="s">
        <v>393</v>
      </c>
      <c r="AH258" s="40" t="s">
        <v>339</v>
      </c>
      <c r="AI258" s="40" t="s">
        <v>2893</v>
      </c>
      <c r="AJ258" s="40" t="s">
        <v>2893</v>
      </c>
      <c r="AK258" s="40" t="s">
        <v>3664</v>
      </c>
      <c r="AL258" s="40" t="s">
        <v>4005</v>
      </c>
      <c r="AM258" s="40" t="s">
        <v>393</v>
      </c>
      <c r="AN258" s="40" t="s">
        <v>393</v>
      </c>
      <c r="AO258" s="36" t="s">
        <v>393</v>
      </c>
    </row>
    <row r="259" spans="1:41">
      <c r="A259" s="40" t="s">
        <v>2677</v>
      </c>
      <c r="B259" s="40" t="s">
        <v>3677</v>
      </c>
      <c r="C259" s="40" t="s">
        <v>623</v>
      </c>
      <c r="D259" s="40" t="s">
        <v>3951</v>
      </c>
      <c r="E259" s="40" t="s">
        <v>1850</v>
      </c>
      <c r="F259" s="40" t="s">
        <v>3623</v>
      </c>
      <c r="G259" s="40" t="s">
        <v>393</v>
      </c>
      <c r="H259" s="40" t="s">
        <v>4007</v>
      </c>
      <c r="I259" s="40" t="s">
        <v>4008</v>
      </c>
      <c r="J259" s="40" t="s">
        <v>318</v>
      </c>
      <c r="K259" s="40" t="s">
        <v>318</v>
      </c>
      <c r="L259" s="40" t="s">
        <v>879</v>
      </c>
      <c r="M259" s="40" t="s">
        <v>393</v>
      </c>
      <c r="N259" s="40" t="s">
        <v>3681</v>
      </c>
      <c r="O259" s="40" t="s">
        <v>4009</v>
      </c>
      <c r="P259" s="40" t="s">
        <v>2685</v>
      </c>
      <c r="Q259" s="40" t="s">
        <v>2439</v>
      </c>
      <c r="R259" s="40" t="s">
        <v>4010</v>
      </c>
      <c r="S259" s="40" t="s">
        <v>4011</v>
      </c>
      <c r="T259" s="40" t="s">
        <v>393</v>
      </c>
      <c r="U259" s="40" t="s">
        <v>4012</v>
      </c>
      <c r="V259" s="40" t="s">
        <v>393</v>
      </c>
      <c r="W259" s="40" t="s">
        <v>393</v>
      </c>
      <c r="X259" s="40" t="s">
        <v>393</v>
      </c>
      <c r="Y259" s="40" t="s">
        <v>3685</v>
      </c>
      <c r="Z259" s="40" t="s">
        <v>505</v>
      </c>
      <c r="AA259" s="40" t="s">
        <v>393</v>
      </c>
      <c r="AB259" s="40" t="s">
        <v>393</v>
      </c>
      <c r="AC259" s="40" t="s">
        <v>3685</v>
      </c>
      <c r="AD259" s="40" t="s">
        <v>490</v>
      </c>
      <c r="AE259" s="40" t="s">
        <v>804</v>
      </c>
      <c r="AF259" s="40" t="s">
        <v>754</v>
      </c>
      <c r="AG259" s="40" t="s">
        <v>393</v>
      </c>
      <c r="AH259" s="40" t="s">
        <v>2804</v>
      </c>
      <c r="AI259" s="40" t="s">
        <v>2734</v>
      </c>
      <c r="AJ259" s="40" t="s">
        <v>3334</v>
      </c>
      <c r="AK259" s="40" t="s">
        <v>3592</v>
      </c>
      <c r="AL259" s="40" t="s">
        <v>3714</v>
      </c>
      <c r="AM259" s="40" t="s">
        <v>393</v>
      </c>
      <c r="AN259" s="40" t="s">
        <v>393</v>
      </c>
      <c r="AO259" s="36" t="s">
        <v>393</v>
      </c>
    </row>
    <row r="260" spans="1:41">
      <c r="A260" s="40" t="s">
        <v>2677</v>
      </c>
      <c r="B260" s="40" t="s">
        <v>3677</v>
      </c>
      <c r="C260" s="40" t="s">
        <v>623</v>
      </c>
      <c r="D260" s="40" t="s">
        <v>3951</v>
      </c>
      <c r="E260" s="40" t="s">
        <v>1850</v>
      </c>
      <c r="F260" s="40" t="s">
        <v>3625</v>
      </c>
      <c r="G260" s="40" t="s">
        <v>15</v>
      </c>
      <c r="H260" s="40" t="s">
        <v>4013</v>
      </c>
      <c r="I260" s="40" t="s">
        <v>4014</v>
      </c>
      <c r="J260" s="40" t="s">
        <v>318</v>
      </c>
      <c r="K260" s="40" t="s">
        <v>318</v>
      </c>
      <c r="L260" s="40" t="s">
        <v>879</v>
      </c>
      <c r="M260" s="40" t="s">
        <v>393</v>
      </c>
      <c r="N260" s="40" t="s">
        <v>3681</v>
      </c>
      <c r="O260" s="40" t="s">
        <v>4009</v>
      </c>
      <c r="P260" s="40" t="s">
        <v>2785</v>
      </c>
      <c r="Q260" s="40" t="s">
        <v>2439</v>
      </c>
      <c r="R260" s="40" t="s">
        <v>4015</v>
      </c>
      <c r="S260" s="40" t="s">
        <v>4016</v>
      </c>
      <c r="T260" s="40" t="s">
        <v>393</v>
      </c>
      <c r="U260" s="40" t="s">
        <v>4017</v>
      </c>
      <c r="V260" s="40" t="s">
        <v>393</v>
      </c>
      <c r="W260" s="40" t="s">
        <v>393</v>
      </c>
      <c r="X260" s="40" t="s">
        <v>393</v>
      </c>
      <c r="Y260" s="40" t="s">
        <v>3685</v>
      </c>
      <c r="Z260" s="40" t="s">
        <v>505</v>
      </c>
      <c r="AA260" s="40" t="s">
        <v>393</v>
      </c>
      <c r="AB260" s="40" t="s">
        <v>393</v>
      </c>
      <c r="AC260" s="40" t="s">
        <v>3685</v>
      </c>
      <c r="AD260" s="40" t="s">
        <v>490</v>
      </c>
      <c r="AE260" s="40" t="s">
        <v>831</v>
      </c>
      <c r="AF260" s="40" t="s">
        <v>754</v>
      </c>
      <c r="AG260" s="40" t="s">
        <v>393</v>
      </c>
      <c r="AH260" s="40" t="s">
        <v>2804</v>
      </c>
      <c r="AI260" s="40" t="s">
        <v>3983</v>
      </c>
      <c r="AJ260" s="40" t="s">
        <v>2734</v>
      </c>
      <c r="AK260" s="40" t="s">
        <v>3283</v>
      </c>
      <c r="AL260" s="40" t="s">
        <v>3088</v>
      </c>
      <c r="AM260" s="40" t="s">
        <v>393</v>
      </c>
      <c r="AN260" s="40" t="s">
        <v>393</v>
      </c>
      <c r="AO260" s="36" t="s">
        <v>393</v>
      </c>
    </row>
    <row r="261" spans="1:41">
      <c r="A261" s="40" t="s">
        <v>2677</v>
      </c>
      <c r="B261" s="40" t="s">
        <v>3677</v>
      </c>
      <c r="C261" s="40" t="s">
        <v>623</v>
      </c>
      <c r="D261" s="40" t="s">
        <v>3951</v>
      </c>
      <c r="E261" s="40" t="s">
        <v>1850</v>
      </c>
      <c r="F261" s="40" t="s">
        <v>3625</v>
      </c>
      <c r="G261" s="40" t="s">
        <v>321</v>
      </c>
      <c r="H261" s="40" t="s">
        <v>4018</v>
      </c>
      <c r="I261" s="40" t="s">
        <v>4014</v>
      </c>
      <c r="J261" s="40" t="s">
        <v>318</v>
      </c>
      <c r="K261" s="40" t="s">
        <v>318</v>
      </c>
      <c r="L261" s="40" t="s">
        <v>879</v>
      </c>
      <c r="M261" s="40" t="s">
        <v>393</v>
      </c>
      <c r="N261" s="40" t="s">
        <v>3681</v>
      </c>
      <c r="O261" s="40" t="s">
        <v>4009</v>
      </c>
      <c r="P261" s="40" t="s">
        <v>2785</v>
      </c>
      <c r="Q261" s="40" t="s">
        <v>3905</v>
      </c>
      <c r="R261" s="40" t="s">
        <v>4015</v>
      </c>
      <c r="S261" s="40" t="s">
        <v>4016</v>
      </c>
      <c r="T261" s="40" t="s">
        <v>393</v>
      </c>
      <c r="U261" s="40" t="s">
        <v>4017</v>
      </c>
      <c r="V261" s="40" t="s">
        <v>393</v>
      </c>
      <c r="W261" s="40" t="s">
        <v>393</v>
      </c>
      <c r="X261" s="40" t="s">
        <v>393</v>
      </c>
      <c r="Y261" s="40" t="s">
        <v>3685</v>
      </c>
      <c r="Z261" s="40" t="s">
        <v>505</v>
      </c>
      <c r="AA261" s="40" t="s">
        <v>393</v>
      </c>
      <c r="AB261" s="40" t="s">
        <v>393</v>
      </c>
      <c r="AC261" s="40" t="s">
        <v>3685</v>
      </c>
      <c r="AD261" s="40" t="s">
        <v>490</v>
      </c>
      <c r="AE261" s="40" t="s">
        <v>831</v>
      </c>
      <c r="AF261" s="40" t="s">
        <v>754</v>
      </c>
      <c r="AG261" s="40" t="s">
        <v>393</v>
      </c>
      <c r="AH261" s="40" t="s">
        <v>2804</v>
      </c>
      <c r="AI261" s="40" t="s">
        <v>3983</v>
      </c>
      <c r="AJ261" s="40" t="s">
        <v>2734</v>
      </c>
      <c r="AK261" s="40" t="s">
        <v>3283</v>
      </c>
      <c r="AL261" s="40" t="s">
        <v>3088</v>
      </c>
      <c r="AM261" s="40" t="s">
        <v>393</v>
      </c>
      <c r="AN261" s="40" t="s">
        <v>393</v>
      </c>
      <c r="AO261" s="36" t="s">
        <v>393</v>
      </c>
    </row>
    <row r="262" spans="1:41">
      <c r="A262" s="40" t="s">
        <v>2677</v>
      </c>
      <c r="B262" s="40" t="s">
        <v>3677</v>
      </c>
      <c r="C262" s="40" t="s">
        <v>623</v>
      </c>
      <c r="D262" s="40" t="s">
        <v>3951</v>
      </c>
      <c r="E262" s="40" t="s">
        <v>1850</v>
      </c>
      <c r="F262" s="40" t="s">
        <v>3715</v>
      </c>
      <c r="G262" s="40" t="s">
        <v>15</v>
      </c>
      <c r="H262" s="40" t="s">
        <v>4019</v>
      </c>
      <c r="I262" s="40" t="s">
        <v>4020</v>
      </c>
      <c r="J262" s="40" t="s">
        <v>318</v>
      </c>
      <c r="K262" s="40" t="s">
        <v>318</v>
      </c>
      <c r="L262" s="40" t="s">
        <v>879</v>
      </c>
      <c r="M262" s="40" t="s">
        <v>393</v>
      </c>
      <c r="N262" s="40" t="s">
        <v>3681</v>
      </c>
      <c r="O262" s="40" t="s">
        <v>4009</v>
      </c>
      <c r="P262" s="40" t="s">
        <v>2785</v>
      </c>
      <c r="Q262" s="40" t="s">
        <v>3905</v>
      </c>
      <c r="R262" s="40" t="s">
        <v>4021</v>
      </c>
      <c r="S262" s="40" t="s">
        <v>4022</v>
      </c>
      <c r="T262" s="40" t="s">
        <v>393</v>
      </c>
      <c r="U262" s="40" t="s">
        <v>4023</v>
      </c>
      <c r="V262" s="40" t="s">
        <v>393</v>
      </c>
      <c r="W262" s="40" t="s">
        <v>393</v>
      </c>
      <c r="X262" s="40" t="s">
        <v>393</v>
      </c>
      <c r="Y262" s="40" t="s">
        <v>3685</v>
      </c>
      <c r="Z262" s="40" t="s">
        <v>505</v>
      </c>
      <c r="AA262" s="40" t="s">
        <v>393</v>
      </c>
      <c r="AB262" s="40" t="s">
        <v>393</v>
      </c>
      <c r="AC262" s="40" t="s">
        <v>3685</v>
      </c>
      <c r="AD262" s="40" t="s">
        <v>490</v>
      </c>
      <c r="AE262" s="40" t="s">
        <v>442</v>
      </c>
      <c r="AF262" s="40" t="s">
        <v>452</v>
      </c>
      <c r="AG262" s="40" t="s">
        <v>393</v>
      </c>
      <c r="AH262" s="40" t="s">
        <v>334</v>
      </c>
      <c r="AI262" s="40" t="s">
        <v>2893</v>
      </c>
      <c r="AJ262" s="40" t="s">
        <v>318</v>
      </c>
      <c r="AK262" s="40" t="s">
        <v>3806</v>
      </c>
      <c r="AL262" s="40" t="s">
        <v>4024</v>
      </c>
      <c r="AM262" s="40" t="s">
        <v>393</v>
      </c>
      <c r="AN262" s="40" t="s">
        <v>393</v>
      </c>
      <c r="AO262" s="36" t="s">
        <v>393</v>
      </c>
    </row>
    <row r="263" spans="1:41">
      <c r="A263" s="40" t="s">
        <v>2677</v>
      </c>
      <c r="B263" s="40" t="s">
        <v>3677</v>
      </c>
      <c r="C263" s="40" t="s">
        <v>623</v>
      </c>
      <c r="D263" s="40" t="s">
        <v>3951</v>
      </c>
      <c r="E263" s="40" t="s">
        <v>1850</v>
      </c>
      <c r="F263" s="40" t="s">
        <v>3715</v>
      </c>
      <c r="G263" s="40" t="s">
        <v>321</v>
      </c>
      <c r="H263" s="40" t="s">
        <v>4025</v>
      </c>
      <c r="I263" s="40" t="s">
        <v>4020</v>
      </c>
      <c r="J263" s="40" t="s">
        <v>318</v>
      </c>
      <c r="K263" s="40" t="s">
        <v>318</v>
      </c>
      <c r="L263" s="40" t="s">
        <v>879</v>
      </c>
      <c r="M263" s="40" t="s">
        <v>393</v>
      </c>
      <c r="N263" s="40" t="s">
        <v>3681</v>
      </c>
      <c r="O263" s="40" t="s">
        <v>4009</v>
      </c>
      <c r="P263" s="40" t="s">
        <v>2785</v>
      </c>
      <c r="Q263" s="40" t="s">
        <v>2439</v>
      </c>
      <c r="R263" s="40" t="s">
        <v>4021</v>
      </c>
      <c r="S263" s="40" t="s">
        <v>4022</v>
      </c>
      <c r="T263" s="40" t="s">
        <v>393</v>
      </c>
      <c r="U263" s="40" t="s">
        <v>4023</v>
      </c>
      <c r="V263" s="40" t="s">
        <v>393</v>
      </c>
      <c r="W263" s="40" t="s">
        <v>393</v>
      </c>
      <c r="X263" s="40" t="s">
        <v>393</v>
      </c>
      <c r="Y263" s="40" t="s">
        <v>3685</v>
      </c>
      <c r="Z263" s="40" t="s">
        <v>505</v>
      </c>
      <c r="AA263" s="40" t="s">
        <v>393</v>
      </c>
      <c r="AB263" s="40" t="s">
        <v>393</v>
      </c>
      <c r="AC263" s="40" t="s">
        <v>3685</v>
      </c>
      <c r="AD263" s="40" t="s">
        <v>490</v>
      </c>
      <c r="AE263" s="40" t="s">
        <v>442</v>
      </c>
      <c r="AF263" s="40" t="s">
        <v>452</v>
      </c>
      <c r="AG263" s="40" t="s">
        <v>393</v>
      </c>
      <c r="AH263" s="40" t="s">
        <v>334</v>
      </c>
      <c r="AI263" s="40" t="s">
        <v>2893</v>
      </c>
      <c r="AJ263" s="40" t="s">
        <v>318</v>
      </c>
      <c r="AK263" s="40" t="s">
        <v>3806</v>
      </c>
      <c r="AL263" s="40" t="s">
        <v>4024</v>
      </c>
      <c r="AM263" s="40" t="s">
        <v>393</v>
      </c>
      <c r="AN263" s="40" t="s">
        <v>393</v>
      </c>
      <c r="AO263" s="36" t="s">
        <v>393</v>
      </c>
    </row>
    <row r="264" spans="1:41">
      <c r="A264" s="40" t="s">
        <v>2677</v>
      </c>
      <c r="B264" s="40" t="s">
        <v>3677</v>
      </c>
      <c r="C264" s="40" t="s">
        <v>623</v>
      </c>
      <c r="D264" s="40" t="s">
        <v>3951</v>
      </c>
      <c r="E264" s="40" t="s">
        <v>1850</v>
      </c>
      <c r="F264" s="40" t="s">
        <v>3717</v>
      </c>
      <c r="G264" s="40" t="s">
        <v>15</v>
      </c>
      <c r="H264" s="40" t="s">
        <v>4026</v>
      </c>
      <c r="I264" s="40" t="s">
        <v>4027</v>
      </c>
      <c r="J264" s="40" t="s">
        <v>318</v>
      </c>
      <c r="K264" s="40" t="s">
        <v>318</v>
      </c>
      <c r="L264" s="40" t="s">
        <v>879</v>
      </c>
      <c r="M264" s="40" t="s">
        <v>393</v>
      </c>
      <c r="N264" s="40" t="s">
        <v>3681</v>
      </c>
      <c r="O264" s="40" t="s">
        <v>4009</v>
      </c>
      <c r="P264" s="40" t="s">
        <v>2785</v>
      </c>
      <c r="Q264" s="40" t="s">
        <v>3905</v>
      </c>
      <c r="R264" s="40" t="s">
        <v>4028</v>
      </c>
      <c r="S264" s="40" t="s">
        <v>4029</v>
      </c>
      <c r="T264" s="40" t="s">
        <v>393</v>
      </c>
      <c r="U264" s="40" t="s">
        <v>4030</v>
      </c>
      <c r="V264" s="40" t="s">
        <v>393</v>
      </c>
      <c r="W264" s="40" t="s">
        <v>393</v>
      </c>
      <c r="X264" s="40" t="s">
        <v>393</v>
      </c>
      <c r="Y264" s="40" t="s">
        <v>3685</v>
      </c>
      <c r="Z264" s="40" t="s">
        <v>505</v>
      </c>
      <c r="AA264" s="40" t="s">
        <v>393</v>
      </c>
      <c r="AB264" s="40" t="s">
        <v>393</v>
      </c>
      <c r="AC264" s="40" t="s">
        <v>3685</v>
      </c>
      <c r="AD264" s="40" t="s">
        <v>490</v>
      </c>
      <c r="AE264" s="40" t="s">
        <v>322</v>
      </c>
      <c r="AF264" s="40" t="s">
        <v>327</v>
      </c>
      <c r="AG264" s="40" t="s">
        <v>393</v>
      </c>
      <c r="AH264" s="40" t="s">
        <v>2893</v>
      </c>
      <c r="AI264" s="40" t="s">
        <v>318</v>
      </c>
      <c r="AJ264" s="40" t="s">
        <v>3983</v>
      </c>
      <c r="AK264" s="40" t="s">
        <v>3793</v>
      </c>
      <c r="AL264" s="40" t="s">
        <v>2854</v>
      </c>
      <c r="AM264" s="40" t="s">
        <v>393</v>
      </c>
      <c r="AN264" s="40" t="s">
        <v>393</v>
      </c>
      <c r="AO264" s="36" t="s">
        <v>393</v>
      </c>
    </row>
    <row r="265" spans="1:41">
      <c r="A265" s="40" t="s">
        <v>2677</v>
      </c>
      <c r="B265" s="40" t="s">
        <v>3677</v>
      </c>
      <c r="C265" s="40" t="s">
        <v>623</v>
      </c>
      <c r="D265" s="40" t="s">
        <v>3951</v>
      </c>
      <c r="E265" s="40" t="s">
        <v>1850</v>
      </c>
      <c r="F265" s="40" t="s">
        <v>3717</v>
      </c>
      <c r="G265" s="40" t="s">
        <v>321</v>
      </c>
      <c r="H265" s="40" t="s">
        <v>4031</v>
      </c>
      <c r="I265" s="40" t="s">
        <v>4027</v>
      </c>
      <c r="J265" s="40" t="s">
        <v>318</v>
      </c>
      <c r="K265" s="40" t="s">
        <v>318</v>
      </c>
      <c r="L265" s="40" t="s">
        <v>879</v>
      </c>
      <c r="M265" s="40" t="s">
        <v>393</v>
      </c>
      <c r="N265" s="40" t="s">
        <v>3681</v>
      </c>
      <c r="O265" s="40" t="s">
        <v>4009</v>
      </c>
      <c r="P265" s="40" t="s">
        <v>2785</v>
      </c>
      <c r="Q265" s="40" t="s">
        <v>2439</v>
      </c>
      <c r="R265" s="40" t="s">
        <v>4028</v>
      </c>
      <c r="S265" s="40" t="s">
        <v>4029</v>
      </c>
      <c r="T265" s="40" t="s">
        <v>393</v>
      </c>
      <c r="U265" s="40" t="s">
        <v>4030</v>
      </c>
      <c r="V265" s="40" t="s">
        <v>393</v>
      </c>
      <c r="W265" s="40" t="s">
        <v>393</v>
      </c>
      <c r="X265" s="40" t="s">
        <v>393</v>
      </c>
      <c r="Y265" s="40" t="s">
        <v>3685</v>
      </c>
      <c r="Z265" s="40" t="s">
        <v>505</v>
      </c>
      <c r="AA265" s="40" t="s">
        <v>393</v>
      </c>
      <c r="AB265" s="40" t="s">
        <v>393</v>
      </c>
      <c r="AC265" s="40" t="s">
        <v>3685</v>
      </c>
      <c r="AD265" s="40" t="s">
        <v>490</v>
      </c>
      <c r="AE265" s="40" t="s">
        <v>322</v>
      </c>
      <c r="AF265" s="40" t="s">
        <v>327</v>
      </c>
      <c r="AG265" s="40" t="s">
        <v>393</v>
      </c>
      <c r="AH265" s="40" t="s">
        <v>2893</v>
      </c>
      <c r="AI265" s="40" t="s">
        <v>318</v>
      </c>
      <c r="AJ265" s="40" t="s">
        <v>3983</v>
      </c>
      <c r="AK265" s="40" t="s">
        <v>3793</v>
      </c>
      <c r="AL265" s="40" t="s">
        <v>2854</v>
      </c>
      <c r="AM265" s="40" t="s">
        <v>393</v>
      </c>
      <c r="AN265" s="40" t="s">
        <v>393</v>
      </c>
      <c r="AO265" s="36" t="s">
        <v>393</v>
      </c>
    </row>
    <row r="266" spans="1:41">
      <c r="A266" s="40" t="s">
        <v>2677</v>
      </c>
      <c r="B266" s="40" t="s">
        <v>3677</v>
      </c>
      <c r="C266" s="40" t="s">
        <v>623</v>
      </c>
      <c r="D266" s="40" t="s">
        <v>3951</v>
      </c>
      <c r="E266" s="40" t="s">
        <v>1850</v>
      </c>
      <c r="F266" s="40" t="s">
        <v>3720</v>
      </c>
      <c r="G266" s="40" t="s">
        <v>15</v>
      </c>
      <c r="H266" s="40" t="s">
        <v>4032</v>
      </c>
      <c r="I266" s="40" t="s">
        <v>4033</v>
      </c>
      <c r="J266" s="40" t="s">
        <v>318</v>
      </c>
      <c r="K266" s="40" t="s">
        <v>318</v>
      </c>
      <c r="L266" s="40" t="s">
        <v>879</v>
      </c>
      <c r="M266" s="40" t="s">
        <v>393</v>
      </c>
      <c r="N266" s="40" t="s">
        <v>3681</v>
      </c>
      <c r="O266" s="40" t="s">
        <v>4009</v>
      </c>
      <c r="P266" s="40" t="s">
        <v>2785</v>
      </c>
      <c r="Q266" s="40" t="s">
        <v>3905</v>
      </c>
      <c r="R266" s="40" t="s">
        <v>471</v>
      </c>
      <c r="S266" s="40" t="s">
        <v>4034</v>
      </c>
      <c r="T266" s="40" t="s">
        <v>393</v>
      </c>
      <c r="U266" s="40" t="s">
        <v>4035</v>
      </c>
      <c r="V266" s="40" t="s">
        <v>393</v>
      </c>
      <c r="W266" s="40" t="s">
        <v>393</v>
      </c>
      <c r="X266" s="40" t="s">
        <v>393</v>
      </c>
      <c r="Y266" s="40" t="s">
        <v>3685</v>
      </c>
      <c r="Z266" s="40" t="s">
        <v>505</v>
      </c>
      <c r="AA266" s="40" t="s">
        <v>393</v>
      </c>
      <c r="AB266" s="40" t="s">
        <v>393</v>
      </c>
      <c r="AC266" s="40" t="s">
        <v>3685</v>
      </c>
      <c r="AD266" s="40" t="s">
        <v>490</v>
      </c>
      <c r="AE266" s="40" t="s">
        <v>318</v>
      </c>
      <c r="AF266" s="40" t="s">
        <v>2735</v>
      </c>
      <c r="AG266" s="40" t="s">
        <v>393</v>
      </c>
      <c r="AH266" s="40" t="s">
        <v>2893</v>
      </c>
      <c r="AI266" s="40" t="s">
        <v>318</v>
      </c>
      <c r="AJ266" s="40" t="s">
        <v>3983</v>
      </c>
      <c r="AK266" s="40" t="s">
        <v>4036</v>
      </c>
      <c r="AL266" s="40" t="s">
        <v>2806</v>
      </c>
      <c r="AM266" s="40" t="s">
        <v>393</v>
      </c>
      <c r="AN266" s="40" t="s">
        <v>393</v>
      </c>
      <c r="AO266" s="36" t="s">
        <v>393</v>
      </c>
    </row>
    <row r="267" spans="1:41">
      <c r="A267" s="40" t="s">
        <v>2677</v>
      </c>
      <c r="B267" s="40" t="s">
        <v>3677</v>
      </c>
      <c r="C267" s="40" t="s">
        <v>623</v>
      </c>
      <c r="D267" s="40" t="s">
        <v>3951</v>
      </c>
      <c r="E267" s="40" t="s">
        <v>1850</v>
      </c>
      <c r="F267" s="40" t="s">
        <v>3720</v>
      </c>
      <c r="G267" s="40" t="s">
        <v>321</v>
      </c>
      <c r="H267" s="40" t="s">
        <v>4037</v>
      </c>
      <c r="I267" s="40" t="s">
        <v>4033</v>
      </c>
      <c r="J267" s="40" t="s">
        <v>318</v>
      </c>
      <c r="K267" s="40" t="s">
        <v>318</v>
      </c>
      <c r="L267" s="40" t="s">
        <v>879</v>
      </c>
      <c r="M267" s="40" t="s">
        <v>393</v>
      </c>
      <c r="N267" s="40" t="s">
        <v>3681</v>
      </c>
      <c r="O267" s="40" t="s">
        <v>4009</v>
      </c>
      <c r="P267" s="40" t="s">
        <v>2785</v>
      </c>
      <c r="Q267" s="40" t="s">
        <v>2439</v>
      </c>
      <c r="R267" s="40" t="s">
        <v>471</v>
      </c>
      <c r="S267" s="40" t="s">
        <v>4034</v>
      </c>
      <c r="T267" s="40" t="s">
        <v>393</v>
      </c>
      <c r="U267" s="40" t="s">
        <v>4035</v>
      </c>
      <c r="V267" s="40" t="s">
        <v>393</v>
      </c>
      <c r="W267" s="40" t="s">
        <v>393</v>
      </c>
      <c r="X267" s="40" t="s">
        <v>393</v>
      </c>
      <c r="Y267" s="40" t="s">
        <v>3685</v>
      </c>
      <c r="Z267" s="40" t="s">
        <v>505</v>
      </c>
      <c r="AA267" s="40" t="s">
        <v>393</v>
      </c>
      <c r="AB267" s="40" t="s">
        <v>393</v>
      </c>
      <c r="AC267" s="40" t="s">
        <v>3685</v>
      </c>
      <c r="AD267" s="40" t="s">
        <v>490</v>
      </c>
      <c r="AE267" s="40" t="s">
        <v>318</v>
      </c>
      <c r="AF267" s="40" t="s">
        <v>2735</v>
      </c>
      <c r="AG267" s="40" t="s">
        <v>393</v>
      </c>
      <c r="AH267" s="40" t="s">
        <v>2893</v>
      </c>
      <c r="AI267" s="40" t="s">
        <v>318</v>
      </c>
      <c r="AJ267" s="40" t="s">
        <v>3983</v>
      </c>
      <c r="AK267" s="40" t="s">
        <v>4036</v>
      </c>
      <c r="AL267" s="40" t="s">
        <v>2806</v>
      </c>
      <c r="AM267" s="40" t="s">
        <v>393</v>
      </c>
      <c r="AN267" s="40" t="s">
        <v>393</v>
      </c>
      <c r="AO267" s="36" t="s">
        <v>393</v>
      </c>
    </row>
    <row r="268" spans="1:41">
      <c r="A268" s="40" t="s">
        <v>2677</v>
      </c>
      <c r="B268" s="40" t="s">
        <v>3677</v>
      </c>
      <c r="C268" s="40" t="s">
        <v>623</v>
      </c>
      <c r="D268" s="40" t="s">
        <v>4038</v>
      </c>
      <c r="E268" s="40" t="s">
        <v>1850</v>
      </c>
      <c r="F268" s="40" t="s">
        <v>2680</v>
      </c>
      <c r="G268" s="40" t="s">
        <v>393</v>
      </c>
      <c r="H268" s="40" t="s">
        <v>4039</v>
      </c>
      <c r="I268" s="40" t="s">
        <v>4040</v>
      </c>
      <c r="J268" s="40" t="s">
        <v>318</v>
      </c>
      <c r="K268" s="40" t="s">
        <v>318</v>
      </c>
      <c r="L268" s="40" t="s">
        <v>879</v>
      </c>
      <c r="M268" s="40" t="s">
        <v>393</v>
      </c>
      <c r="N268" s="40" t="s">
        <v>3681</v>
      </c>
      <c r="O268" s="40" t="s">
        <v>4041</v>
      </c>
      <c r="P268" s="40" t="s">
        <v>3683</v>
      </c>
      <c r="Q268" s="40" t="s">
        <v>2439</v>
      </c>
      <c r="R268" s="40" t="s">
        <v>2924</v>
      </c>
      <c r="S268" s="40" t="s">
        <v>393</v>
      </c>
      <c r="T268" s="40" t="s">
        <v>393</v>
      </c>
      <c r="U268" s="40" t="s">
        <v>393</v>
      </c>
      <c r="V268" s="40" t="s">
        <v>393</v>
      </c>
      <c r="W268" s="40" t="s">
        <v>393</v>
      </c>
      <c r="X268" s="40" t="s">
        <v>393</v>
      </c>
      <c r="Y268" s="40" t="s">
        <v>3685</v>
      </c>
      <c r="Z268" s="40" t="s">
        <v>505</v>
      </c>
      <c r="AA268" s="40" t="s">
        <v>393</v>
      </c>
      <c r="AB268" s="40" t="s">
        <v>393</v>
      </c>
      <c r="AC268" s="40" t="s">
        <v>3685</v>
      </c>
      <c r="AD268" s="40" t="s">
        <v>490</v>
      </c>
      <c r="AE268" s="40" t="s">
        <v>3785</v>
      </c>
      <c r="AF268" s="40" t="s">
        <v>766</v>
      </c>
      <c r="AG268" s="40" t="s">
        <v>393</v>
      </c>
      <c r="AH268" s="40" t="s">
        <v>3085</v>
      </c>
      <c r="AI268" s="40" t="s">
        <v>1938</v>
      </c>
      <c r="AJ268" s="40" t="s">
        <v>2813</v>
      </c>
      <c r="AK268" s="40" t="s">
        <v>532</v>
      </c>
      <c r="AL268" s="40" t="s">
        <v>532</v>
      </c>
      <c r="AM268" s="40" t="s">
        <v>3961</v>
      </c>
      <c r="AN268" s="40" t="s">
        <v>393</v>
      </c>
      <c r="AO268" s="36" t="s">
        <v>4042</v>
      </c>
    </row>
    <row r="269" spans="1:41">
      <c r="A269" s="40" t="s">
        <v>2677</v>
      </c>
      <c r="B269" s="40" t="s">
        <v>3677</v>
      </c>
      <c r="C269" s="40" t="s">
        <v>623</v>
      </c>
      <c r="D269" s="40" t="s">
        <v>4038</v>
      </c>
      <c r="E269" s="40" t="s">
        <v>1850</v>
      </c>
      <c r="F269" s="40" t="s">
        <v>2782</v>
      </c>
      <c r="G269" s="40" t="s">
        <v>393</v>
      </c>
      <c r="H269" s="40" t="s">
        <v>4043</v>
      </c>
      <c r="I269" s="40" t="s">
        <v>4040</v>
      </c>
      <c r="J269" s="40" t="s">
        <v>318</v>
      </c>
      <c r="K269" s="40" t="s">
        <v>318</v>
      </c>
      <c r="L269" s="40" t="s">
        <v>879</v>
      </c>
      <c r="M269" s="40" t="s">
        <v>393</v>
      </c>
      <c r="N269" s="40" t="s">
        <v>3681</v>
      </c>
      <c r="O269" s="40" t="s">
        <v>4041</v>
      </c>
      <c r="P269" s="40" t="s">
        <v>3683</v>
      </c>
      <c r="Q269" s="40" t="s">
        <v>2439</v>
      </c>
      <c r="R269" s="40" t="s">
        <v>2924</v>
      </c>
      <c r="S269" s="40" t="s">
        <v>393</v>
      </c>
      <c r="T269" s="40" t="s">
        <v>393</v>
      </c>
      <c r="U269" s="40" t="s">
        <v>393</v>
      </c>
      <c r="V269" s="40" t="s">
        <v>393</v>
      </c>
      <c r="W269" s="40" t="s">
        <v>393</v>
      </c>
      <c r="X269" s="40" t="s">
        <v>393</v>
      </c>
      <c r="Y269" s="40" t="s">
        <v>3685</v>
      </c>
      <c r="Z269" s="40" t="s">
        <v>505</v>
      </c>
      <c r="AA269" s="40" t="s">
        <v>393</v>
      </c>
      <c r="AB269" s="40" t="s">
        <v>393</v>
      </c>
      <c r="AC269" s="40" t="s">
        <v>3685</v>
      </c>
      <c r="AD269" s="40" t="s">
        <v>490</v>
      </c>
      <c r="AE269" s="40" t="s">
        <v>3785</v>
      </c>
      <c r="AF269" s="40" t="s">
        <v>766</v>
      </c>
      <c r="AG269" s="40" t="s">
        <v>393</v>
      </c>
      <c r="AH269" s="40" t="s">
        <v>3085</v>
      </c>
      <c r="AI269" s="40" t="s">
        <v>1938</v>
      </c>
      <c r="AJ269" s="40" t="s">
        <v>2813</v>
      </c>
      <c r="AK269" s="40" t="s">
        <v>532</v>
      </c>
      <c r="AL269" s="40" t="s">
        <v>532</v>
      </c>
      <c r="AM269" s="40" t="s">
        <v>3961</v>
      </c>
      <c r="AN269" s="40" t="s">
        <v>393</v>
      </c>
      <c r="AO269" s="36" t="s">
        <v>4042</v>
      </c>
    </row>
    <row r="270" spans="1:41" ht="27.6">
      <c r="A270" s="40" t="s">
        <v>2677</v>
      </c>
      <c r="B270" s="40" t="s">
        <v>3677</v>
      </c>
      <c r="C270" s="40" t="s">
        <v>623</v>
      </c>
      <c r="D270" s="40" t="s">
        <v>4038</v>
      </c>
      <c r="E270" s="40" t="s">
        <v>1850</v>
      </c>
      <c r="F270" s="40" t="s">
        <v>2740</v>
      </c>
      <c r="G270" s="40" t="s">
        <v>393</v>
      </c>
      <c r="H270" s="40" t="s">
        <v>4044</v>
      </c>
      <c r="I270" s="40" t="s">
        <v>4045</v>
      </c>
      <c r="J270" s="40" t="s">
        <v>318</v>
      </c>
      <c r="K270" s="40" t="s">
        <v>318</v>
      </c>
      <c r="L270" s="40" t="s">
        <v>879</v>
      </c>
      <c r="M270" s="40" t="s">
        <v>393</v>
      </c>
      <c r="N270" s="40" t="s">
        <v>3681</v>
      </c>
      <c r="O270" s="40" t="s">
        <v>4041</v>
      </c>
      <c r="P270" s="40" t="s">
        <v>2685</v>
      </c>
      <c r="Q270" s="40" t="s">
        <v>2706</v>
      </c>
      <c r="R270" s="40" t="s">
        <v>3691</v>
      </c>
      <c r="S270" s="40" t="s">
        <v>393</v>
      </c>
      <c r="T270" s="40" t="s">
        <v>393</v>
      </c>
      <c r="U270" s="40" t="s">
        <v>393</v>
      </c>
      <c r="V270" s="40" t="s">
        <v>393</v>
      </c>
      <c r="W270" s="40" t="s">
        <v>393</v>
      </c>
      <c r="X270" s="40" t="s">
        <v>393</v>
      </c>
      <c r="Y270" s="40" t="s">
        <v>3685</v>
      </c>
      <c r="Z270" s="40" t="s">
        <v>505</v>
      </c>
      <c r="AA270" s="40" t="s">
        <v>393</v>
      </c>
      <c r="AB270" s="40" t="s">
        <v>393</v>
      </c>
      <c r="AC270" s="40" t="s">
        <v>3685</v>
      </c>
      <c r="AD270" s="40" t="s">
        <v>490</v>
      </c>
      <c r="AE270" s="40" t="s">
        <v>4046</v>
      </c>
      <c r="AF270" s="40" t="s">
        <v>753</v>
      </c>
      <c r="AG270" s="40" t="s">
        <v>393</v>
      </c>
      <c r="AH270" s="40" t="s">
        <v>3085</v>
      </c>
      <c r="AI270" s="40" t="s">
        <v>1938</v>
      </c>
      <c r="AJ270" s="40" t="s">
        <v>2813</v>
      </c>
      <c r="AK270" s="40" t="s">
        <v>527</v>
      </c>
      <c r="AL270" s="40" t="s">
        <v>527</v>
      </c>
      <c r="AM270" s="40" t="s">
        <v>4047</v>
      </c>
      <c r="AN270" s="40" t="s">
        <v>393</v>
      </c>
      <c r="AO270" s="36" t="s">
        <v>4048</v>
      </c>
    </row>
    <row r="271" spans="1:41">
      <c r="A271" s="40" t="s">
        <v>2677</v>
      </c>
      <c r="B271" s="40" t="s">
        <v>3677</v>
      </c>
      <c r="C271" s="40" t="s">
        <v>623</v>
      </c>
      <c r="D271" s="40" t="s">
        <v>4038</v>
      </c>
      <c r="E271" s="40" t="s">
        <v>1850</v>
      </c>
      <c r="F271" s="40" t="s">
        <v>2920</v>
      </c>
      <c r="G271" s="40" t="s">
        <v>393</v>
      </c>
      <c r="H271" s="40" t="s">
        <v>4049</v>
      </c>
      <c r="I271" s="40" t="s">
        <v>4050</v>
      </c>
      <c r="J271" s="40" t="s">
        <v>318</v>
      </c>
      <c r="K271" s="40" t="s">
        <v>318</v>
      </c>
      <c r="L271" s="40" t="s">
        <v>879</v>
      </c>
      <c r="M271" s="40" t="s">
        <v>393</v>
      </c>
      <c r="N271" s="40" t="s">
        <v>3681</v>
      </c>
      <c r="O271" s="40" t="s">
        <v>4041</v>
      </c>
      <c r="P271" s="40" t="s">
        <v>2685</v>
      </c>
      <c r="Q271" s="40" t="s">
        <v>2706</v>
      </c>
      <c r="R271" s="40" t="s">
        <v>3696</v>
      </c>
      <c r="S271" s="40" t="s">
        <v>393</v>
      </c>
      <c r="T271" s="40" t="s">
        <v>393</v>
      </c>
      <c r="U271" s="40" t="s">
        <v>393</v>
      </c>
      <c r="V271" s="40" t="s">
        <v>393</v>
      </c>
      <c r="W271" s="40" t="s">
        <v>393</v>
      </c>
      <c r="X271" s="40" t="s">
        <v>393</v>
      </c>
      <c r="Y271" s="40" t="s">
        <v>3685</v>
      </c>
      <c r="Z271" s="40" t="s">
        <v>505</v>
      </c>
      <c r="AA271" s="40" t="s">
        <v>393</v>
      </c>
      <c r="AB271" s="40" t="s">
        <v>393</v>
      </c>
      <c r="AC271" s="40" t="s">
        <v>3685</v>
      </c>
      <c r="AD271" s="40" t="s">
        <v>490</v>
      </c>
      <c r="AE271" s="40" t="s">
        <v>4051</v>
      </c>
      <c r="AF271" s="40" t="s">
        <v>754</v>
      </c>
      <c r="AG271" s="40" t="s">
        <v>393</v>
      </c>
      <c r="AH271" s="40" t="s">
        <v>2842</v>
      </c>
      <c r="AI271" s="40" t="s">
        <v>2925</v>
      </c>
      <c r="AJ271" s="40" t="s">
        <v>357</v>
      </c>
      <c r="AK271" s="40" t="s">
        <v>696</v>
      </c>
      <c r="AL271" s="40" t="s">
        <v>696</v>
      </c>
      <c r="AM271" s="40" t="s">
        <v>4047</v>
      </c>
      <c r="AN271" s="40" t="s">
        <v>393</v>
      </c>
      <c r="AO271" s="36" t="s">
        <v>4052</v>
      </c>
    </row>
    <row r="272" spans="1:41">
      <c r="A272" s="40" t="s">
        <v>2677</v>
      </c>
      <c r="B272" s="40" t="s">
        <v>3677</v>
      </c>
      <c r="C272" s="40" t="s">
        <v>623</v>
      </c>
      <c r="D272" s="40" t="s">
        <v>4038</v>
      </c>
      <c r="E272" s="40" t="s">
        <v>1850</v>
      </c>
      <c r="F272" s="40" t="s">
        <v>3293</v>
      </c>
      <c r="G272" s="40" t="s">
        <v>393</v>
      </c>
      <c r="H272" s="40" t="s">
        <v>4053</v>
      </c>
      <c r="I272" s="40" t="s">
        <v>4054</v>
      </c>
      <c r="J272" s="40" t="s">
        <v>318</v>
      </c>
      <c r="K272" s="40" t="s">
        <v>318</v>
      </c>
      <c r="L272" s="40" t="s">
        <v>879</v>
      </c>
      <c r="M272" s="40" t="s">
        <v>393</v>
      </c>
      <c r="N272" s="40" t="s">
        <v>3681</v>
      </c>
      <c r="O272" s="40" t="s">
        <v>4041</v>
      </c>
      <c r="P272" s="40" t="s">
        <v>2685</v>
      </c>
      <c r="Q272" s="40" t="s">
        <v>2706</v>
      </c>
      <c r="R272" s="40" t="s">
        <v>4055</v>
      </c>
      <c r="S272" s="40" t="s">
        <v>393</v>
      </c>
      <c r="T272" s="40" t="s">
        <v>393</v>
      </c>
      <c r="U272" s="40" t="s">
        <v>393</v>
      </c>
      <c r="V272" s="40" t="s">
        <v>393</v>
      </c>
      <c r="W272" s="40" t="s">
        <v>393</v>
      </c>
      <c r="X272" s="40" t="s">
        <v>393</v>
      </c>
      <c r="Y272" s="40" t="s">
        <v>3685</v>
      </c>
      <c r="Z272" s="40" t="s">
        <v>505</v>
      </c>
      <c r="AA272" s="40" t="s">
        <v>393</v>
      </c>
      <c r="AB272" s="40" t="s">
        <v>393</v>
      </c>
      <c r="AC272" s="40" t="s">
        <v>3685</v>
      </c>
      <c r="AD272" s="40" t="s">
        <v>490</v>
      </c>
      <c r="AE272" s="40" t="s">
        <v>4056</v>
      </c>
      <c r="AF272" s="40" t="s">
        <v>731</v>
      </c>
      <c r="AG272" s="40" t="s">
        <v>393</v>
      </c>
      <c r="AH272" s="40" t="s">
        <v>2735</v>
      </c>
      <c r="AI272" s="40" t="s">
        <v>2842</v>
      </c>
      <c r="AJ272" s="40" t="s">
        <v>4057</v>
      </c>
      <c r="AK272" s="40" t="s">
        <v>3089</v>
      </c>
      <c r="AL272" s="40" t="s">
        <v>3089</v>
      </c>
      <c r="AM272" s="40" t="s">
        <v>3977</v>
      </c>
      <c r="AN272" s="40" t="s">
        <v>393</v>
      </c>
      <c r="AO272" s="36" t="s">
        <v>4058</v>
      </c>
    </row>
    <row r="273" spans="1:41">
      <c r="A273" s="40" t="s">
        <v>2677</v>
      </c>
      <c r="B273" s="40" t="s">
        <v>3802</v>
      </c>
      <c r="C273" s="40" t="s">
        <v>623</v>
      </c>
      <c r="D273" s="40" t="s">
        <v>4038</v>
      </c>
      <c r="E273" s="40" t="s">
        <v>1850</v>
      </c>
      <c r="F273" s="40" t="s">
        <v>3349</v>
      </c>
      <c r="G273" s="40" t="s">
        <v>393</v>
      </c>
      <c r="H273" s="40" t="s">
        <v>4059</v>
      </c>
      <c r="I273" s="40" t="s">
        <v>4060</v>
      </c>
      <c r="J273" s="40" t="s">
        <v>318</v>
      </c>
      <c r="K273" s="40" t="s">
        <v>318</v>
      </c>
      <c r="L273" s="40" t="s">
        <v>879</v>
      </c>
      <c r="M273" s="40" t="s">
        <v>393</v>
      </c>
      <c r="N273" s="40" t="s">
        <v>3681</v>
      </c>
      <c r="O273" s="40" t="s">
        <v>4041</v>
      </c>
      <c r="P273" s="40" t="s">
        <v>2685</v>
      </c>
      <c r="Q273" s="40" t="s">
        <v>2706</v>
      </c>
      <c r="R273" s="40" t="s">
        <v>4061</v>
      </c>
      <c r="S273" s="40" t="s">
        <v>393</v>
      </c>
      <c r="T273" s="40" t="s">
        <v>393</v>
      </c>
      <c r="U273" s="40" t="s">
        <v>393</v>
      </c>
      <c r="V273" s="40" t="s">
        <v>393</v>
      </c>
      <c r="W273" s="40" t="s">
        <v>393</v>
      </c>
      <c r="X273" s="40" t="s">
        <v>393</v>
      </c>
      <c r="Y273" s="40" t="s">
        <v>3685</v>
      </c>
      <c r="Z273" s="40" t="s">
        <v>505</v>
      </c>
      <c r="AA273" s="40" t="s">
        <v>393</v>
      </c>
      <c r="AB273" s="40" t="s">
        <v>393</v>
      </c>
      <c r="AC273" s="40" t="s">
        <v>3685</v>
      </c>
      <c r="AD273" s="40" t="s">
        <v>490</v>
      </c>
      <c r="AE273" s="40" t="s">
        <v>4062</v>
      </c>
      <c r="AF273" s="40" t="s">
        <v>4063</v>
      </c>
      <c r="AG273" s="40" t="s">
        <v>393</v>
      </c>
      <c r="AH273" s="40" t="s">
        <v>3380</v>
      </c>
      <c r="AI273" s="40" t="s">
        <v>305</v>
      </c>
      <c r="AJ273" s="40" t="s">
        <v>4057</v>
      </c>
      <c r="AK273" s="40" t="s">
        <v>4064</v>
      </c>
      <c r="AL273" s="40" t="s">
        <v>3290</v>
      </c>
      <c r="AM273" s="40" t="s">
        <v>3984</v>
      </c>
      <c r="AN273" s="40" t="s">
        <v>393</v>
      </c>
      <c r="AO273" s="36" t="s">
        <v>4065</v>
      </c>
    </row>
    <row r="274" spans="1:41">
      <c r="A274" s="40" t="s">
        <v>2677</v>
      </c>
      <c r="B274" s="40" t="s">
        <v>3802</v>
      </c>
      <c r="C274" s="40" t="s">
        <v>623</v>
      </c>
      <c r="D274" s="40" t="s">
        <v>4038</v>
      </c>
      <c r="E274" s="40" t="s">
        <v>1850</v>
      </c>
      <c r="F274" s="40" t="s">
        <v>2888</v>
      </c>
      <c r="G274" s="40" t="s">
        <v>15</v>
      </c>
      <c r="H274" s="40" t="s">
        <v>4066</v>
      </c>
      <c r="I274" s="40" t="s">
        <v>4067</v>
      </c>
      <c r="J274" s="40" t="s">
        <v>318</v>
      </c>
      <c r="K274" s="40" t="s">
        <v>318</v>
      </c>
      <c r="L274" s="40" t="s">
        <v>879</v>
      </c>
      <c r="M274" s="40" t="s">
        <v>393</v>
      </c>
      <c r="N274" s="40" t="s">
        <v>3681</v>
      </c>
      <c r="O274" s="40" t="s">
        <v>4041</v>
      </c>
      <c r="P274" s="40" t="s">
        <v>2785</v>
      </c>
      <c r="Q274" s="40" t="s">
        <v>2439</v>
      </c>
      <c r="R274" s="40" t="s">
        <v>471</v>
      </c>
      <c r="S274" s="40" t="s">
        <v>393</v>
      </c>
      <c r="T274" s="40" t="s">
        <v>393</v>
      </c>
      <c r="U274" s="40" t="s">
        <v>393</v>
      </c>
      <c r="V274" s="40" t="s">
        <v>393</v>
      </c>
      <c r="W274" s="40" t="s">
        <v>393</v>
      </c>
      <c r="X274" s="40" t="s">
        <v>393</v>
      </c>
      <c r="Y274" s="40" t="s">
        <v>3685</v>
      </c>
      <c r="Z274" s="40" t="s">
        <v>505</v>
      </c>
      <c r="AA274" s="40" t="s">
        <v>393</v>
      </c>
      <c r="AB274" s="40" t="s">
        <v>393</v>
      </c>
      <c r="AC274" s="40" t="s">
        <v>393</v>
      </c>
      <c r="AD274" s="40" t="s">
        <v>393</v>
      </c>
      <c r="AE274" s="40" t="s">
        <v>393</v>
      </c>
      <c r="AF274" s="40" t="s">
        <v>393</v>
      </c>
      <c r="AG274" s="40" t="s">
        <v>393</v>
      </c>
      <c r="AH274" s="40" t="s">
        <v>393</v>
      </c>
      <c r="AI274" s="40" t="s">
        <v>393</v>
      </c>
      <c r="AJ274" s="40" t="s">
        <v>393</v>
      </c>
      <c r="AK274" s="40" t="s">
        <v>393</v>
      </c>
      <c r="AL274" s="40" t="s">
        <v>393</v>
      </c>
      <c r="AM274" s="40" t="s">
        <v>393</v>
      </c>
      <c r="AN274" s="40" t="s">
        <v>393</v>
      </c>
      <c r="AO274" s="36" t="s">
        <v>393</v>
      </c>
    </row>
    <row r="275" spans="1:41">
      <c r="A275" s="40" t="s">
        <v>2677</v>
      </c>
      <c r="B275" s="40" t="s">
        <v>3802</v>
      </c>
      <c r="C275" s="40" t="s">
        <v>623</v>
      </c>
      <c r="D275" s="40" t="s">
        <v>4038</v>
      </c>
      <c r="E275" s="40" t="s">
        <v>1850</v>
      </c>
      <c r="F275" s="40" t="s">
        <v>2888</v>
      </c>
      <c r="G275" s="40" t="s">
        <v>321</v>
      </c>
      <c r="H275" s="40" t="s">
        <v>4068</v>
      </c>
      <c r="I275" s="40" t="s">
        <v>4067</v>
      </c>
      <c r="J275" s="40" t="s">
        <v>318</v>
      </c>
      <c r="K275" s="40" t="s">
        <v>318</v>
      </c>
      <c r="L275" s="40" t="s">
        <v>879</v>
      </c>
      <c r="M275" s="40" t="s">
        <v>393</v>
      </c>
      <c r="N275" s="40" t="s">
        <v>3681</v>
      </c>
      <c r="O275" s="40" t="s">
        <v>4041</v>
      </c>
      <c r="P275" s="40" t="s">
        <v>2785</v>
      </c>
      <c r="Q275" s="40" t="s">
        <v>3905</v>
      </c>
      <c r="R275" s="40" t="s">
        <v>471</v>
      </c>
      <c r="S275" s="40" t="s">
        <v>393</v>
      </c>
      <c r="T275" s="40" t="s">
        <v>393</v>
      </c>
      <c r="U275" s="40" t="s">
        <v>393</v>
      </c>
      <c r="V275" s="40" t="s">
        <v>393</v>
      </c>
      <c r="W275" s="40" t="s">
        <v>393</v>
      </c>
      <c r="X275" s="40" t="s">
        <v>393</v>
      </c>
      <c r="Y275" s="40" t="s">
        <v>3685</v>
      </c>
      <c r="Z275" s="40" t="s">
        <v>505</v>
      </c>
      <c r="AA275" s="40" t="s">
        <v>393</v>
      </c>
      <c r="AB275" s="40" t="s">
        <v>393</v>
      </c>
      <c r="AC275" s="40" t="s">
        <v>393</v>
      </c>
      <c r="AD275" s="40" t="s">
        <v>393</v>
      </c>
      <c r="AE275" s="40" t="s">
        <v>393</v>
      </c>
      <c r="AF275" s="40" t="s">
        <v>393</v>
      </c>
      <c r="AG275" s="40" t="s">
        <v>393</v>
      </c>
      <c r="AH275" s="40" t="s">
        <v>393</v>
      </c>
      <c r="AI275" s="40" t="s">
        <v>393</v>
      </c>
      <c r="AJ275" s="40" t="s">
        <v>393</v>
      </c>
      <c r="AK275" s="40" t="s">
        <v>393</v>
      </c>
      <c r="AL275" s="40" t="s">
        <v>393</v>
      </c>
      <c r="AM275" s="40" t="s">
        <v>393</v>
      </c>
      <c r="AN275" s="40" t="s">
        <v>393</v>
      </c>
      <c r="AO275" s="36" t="s">
        <v>393</v>
      </c>
    </row>
    <row r="276" spans="1:41">
      <c r="A276" s="40" t="s">
        <v>2677</v>
      </c>
      <c r="B276" s="40" t="s">
        <v>3677</v>
      </c>
      <c r="C276" s="40" t="s">
        <v>623</v>
      </c>
      <c r="D276" s="40" t="s">
        <v>4038</v>
      </c>
      <c r="E276" s="40" t="s">
        <v>1850</v>
      </c>
      <c r="F276" s="40" t="s">
        <v>3623</v>
      </c>
      <c r="G276" s="40" t="s">
        <v>393</v>
      </c>
      <c r="H276" s="40" t="s">
        <v>4069</v>
      </c>
      <c r="I276" s="40" t="s">
        <v>4070</v>
      </c>
      <c r="J276" s="40" t="s">
        <v>318</v>
      </c>
      <c r="K276" s="40" t="s">
        <v>318</v>
      </c>
      <c r="L276" s="40" t="s">
        <v>879</v>
      </c>
      <c r="M276" s="40" t="s">
        <v>393</v>
      </c>
      <c r="N276" s="40" t="s">
        <v>3681</v>
      </c>
      <c r="O276" s="40" t="s">
        <v>4041</v>
      </c>
      <c r="P276" s="40" t="s">
        <v>2685</v>
      </c>
      <c r="Q276" s="40" t="s">
        <v>2706</v>
      </c>
      <c r="R276" s="40" t="s">
        <v>2924</v>
      </c>
      <c r="S276" s="40" t="s">
        <v>393</v>
      </c>
      <c r="T276" s="40" t="s">
        <v>393</v>
      </c>
      <c r="U276" s="40" t="s">
        <v>393</v>
      </c>
      <c r="V276" s="40" t="s">
        <v>393</v>
      </c>
      <c r="W276" s="40" t="s">
        <v>393</v>
      </c>
      <c r="X276" s="40" t="s">
        <v>393</v>
      </c>
      <c r="Y276" s="40" t="s">
        <v>3685</v>
      </c>
      <c r="Z276" s="40" t="s">
        <v>505</v>
      </c>
      <c r="AA276" s="40" t="s">
        <v>393</v>
      </c>
      <c r="AB276" s="40" t="s">
        <v>393</v>
      </c>
      <c r="AC276" s="40" t="s">
        <v>3685</v>
      </c>
      <c r="AD276" s="40" t="s">
        <v>490</v>
      </c>
      <c r="AE276" s="40" t="s">
        <v>3785</v>
      </c>
      <c r="AF276" s="40" t="s">
        <v>766</v>
      </c>
      <c r="AG276" s="40" t="s">
        <v>393</v>
      </c>
      <c r="AH276" s="40" t="s">
        <v>2813</v>
      </c>
      <c r="AI276" s="40" t="s">
        <v>3699</v>
      </c>
      <c r="AJ276" s="40" t="s">
        <v>2925</v>
      </c>
      <c r="AK276" s="40" t="s">
        <v>468</v>
      </c>
      <c r="AL276" s="40" t="s">
        <v>479</v>
      </c>
      <c r="AM276" s="40" t="s">
        <v>3703</v>
      </c>
      <c r="AN276" s="40" t="s">
        <v>393</v>
      </c>
      <c r="AO276" s="36" t="s">
        <v>393</v>
      </c>
    </row>
    <row r="277" spans="1:41">
      <c r="A277" s="40" t="s">
        <v>2677</v>
      </c>
      <c r="B277" s="40" t="s">
        <v>3677</v>
      </c>
      <c r="C277" s="40" t="s">
        <v>623</v>
      </c>
      <c r="D277" s="40" t="s">
        <v>4038</v>
      </c>
      <c r="E277" s="40" t="s">
        <v>1850</v>
      </c>
      <c r="F277" s="40" t="s">
        <v>3625</v>
      </c>
      <c r="G277" s="40" t="s">
        <v>393</v>
      </c>
      <c r="H277" s="40" t="s">
        <v>4071</v>
      </c>
      <c r="I277" s="40" t="s">
        <v>4072</v>
      </c>
      <c r="J277" s="40" t="s">
        <v>318</v>
      </c>
      <c r="K277" s="40" t="s">
        <v>318</v>
      </c>
      <c r="L277" s="40" t="s">
        <v>879</v>
      </c>
      <c r="M277" s="40" t="s">
        <v>393</v>
      </c>
      <c r="N277" s="40" t="s">
        <v>3681</v>
      </c>
      <c r="O277" s="40" t="s">
        <v>4041</v>
      </c>
      <c r="P277" s="40" t="s">
        <v>2685</v>
      </c>
      <c r="Q277" s="40" t="s">
        <v>2706</v>
      </c>
      <c r="R277" s="40" t="s">
        <v>3120</v>
      </c>
      <c r="S277" s="40" t="s">
        <v>393</v>
      </c>
      <c r="T277" s="40" t="s">
        <v>393</v>
      </c>
      <c r="U277" s="40" t="s">
        <v>393</v>
      </c>
      <c r="V277" s="40" t="s">
        <v>393</v>
      </c>
      <c r="W277" s="40" t="s">
        <v>393</v>
      </c>
      <c r="X277" s="40" t="s">
        <v>393</v>
      </c>
      <c r="Y277" s="40" t="s">
        <v>3685</v>
      </c>
      <c r="Z277" s="40" t="s">
        <v>505</v>
      </c>
      <c r="AA277" s="40" t="s">
        <v>393</v>
      </c>
      <c r="AB277" s="40" t="s">
        <v>393</v>
      </c>
      <c r="AC277" s="40" t="s">
        <v>3685</v>
      </c>
      <c r="AD277" s="40" t="s">
        <v>490</v>
      </c>
      <c r="AE277" s="40" t="s">
        <v>4073</v>
      </c>
      <c r="AF277" s="40" t="s">
        <v>3903</v>
      </c>
      <c r="AG277" s="40" t="s">
        <v>393</v>
      </c>
      <c r="AH277" s="40" t="s">
        <v>2805</v>
      </c>
      <c r="AI277" s="40" t="s">
        <v>1938</v>
      </c>
      <c r="AJ277" s="40" t="s">
        <v>2813</v>
      </c>
      <c r="AK277" s="40" t="s">
        <v>485</v>
      </c>
      <c r="AL277" s="40" t="s">
        <v>499</v>
      </c>
      <c r="AM277" s="40" t="s">
        <v>3703</v>
      </c>
      <c r="AN277" s="40" t="s">
        <v>393</v>
      </c>
      <c r="AO277" s="36" t="s">
        <v>393</v>
      </c>
    </row>
    <row r="278" spans="1:41">
      <c r="A278" s="40" t="s">
        <v>2677</v>
      </c>
      <c r="B278" s="40" t="s">
        <v>3677</v>
      </c>
      <c r="C278" s="40" t="s">
        <v>623</v>
      </c>
      <c r="D278" s="40" t="s">
        <v>4038</v>
      </c>
      <c r="E278" s="40" t="s">
        <v>1850</v>
      </c>
      <c r="F278" s="40" t="s">
        <v>3715</v>
      </c>
      <c r="G278" s="40" t="s">
        <v>393</v>
      </c>
      <c r="H278" s="40" t="s">
        <v>4074</v>
      </c>
      <c r="I278" s="40" t="s">
        <v>4075</v>
      </c>
      <c r="J278" s="40" t="s">
        <v>318</v>
      </c>
      <c r="K278" s="40" t="s">
        <v>318</v>
      </c>
      <c r="L278" s="40" t="s">
        <v>879</v>
      </c>
      <c r="M278" s="40" t="s">
        <v>393</v>
      </c>
      <c r="N278" s="40" t="s">
        <v>3681</v>
      </c>
      <c r="O278" s="40" t="s">
        <v>4041</v>
      </c>
      <c r="P278" s="40" t="s">
        <v>2685</v>
      </c>
      <c r="Q278" s="40" t="s">
        <v>2706</v>
      </c>
      <c r="R278" s="40" t="s">
        <v>2893</v>
      </c>
      <c r="S278" s="40" t="s">
        <v>393</v>
      </c>
      <c r="T278" s="40" t="s">
        <v>393</v>
      </c>
      <c r="U278" s="40" t="s">
        <v>393</v>
      </c>
      <c r="V278" s="40" t="s">
        <v>393</v>
      </c>
      <c r="W278" s="40" t="s">
        <v>393</v>
      </c>
      <c r="X278" s="40" t="s">
        <v>393</v>
      </c>
      <c r="Y278" s="40" t="s">
        <v>393</v>
      </c>
      <c r="Z278" s="40" t="s">
        <v>393</v>
      </c>
      <c r="AA278" s="40" t="s">
        <v>393</v>
      </c>
      <c r="AB278" s="40" t="s">
        <v>393</v>
      </c>
      <c r="AC278" s="40" t="s">
        <v>393</v>
      </c>
      <c r="AD278" s="40" t="s">
        <v>393</v>
      </c>
      <c r="AE278" s="40" t="s">
        <v>393</v>
      </c>
      <c r="AF278" s="40" t="s">
        <v>393</v>
      </c>
      <c r="AG278" s="40" t="s">
        <v>393</v>
      </c>
      <c r="AH278" s="40" t="s">
        <v>393</v>
      </c>
      <c r="AI278" s="40" t="s">
        <v>393</v>
      </c>
      <c r="AJ278" s="40" t="s">
        <v>393</v>
      </c>
      <c r="AK278" s="40" t="s">
        <v>393</v>
      </c>
      <c r="AL278" s="40" t="s">
        <v>393</v>
      </c>
      <c r="AM278" s="40" t="s">
        <v>393</v>
      </c>
      <c r="AN278" s="40" t="s">
        <v>393</v>
      </c>
      <c r="AO278" s="36" t="s">
        <v>393</v>
      </c>
    </row>
    <row r="279" spans="1:41">
      <c r="A279" s="40" t="s">
        <v>2677</v>
      </c>
      <c r="B279" s="40" t="s">
        <v>3446</v>
      </c>
      <c r="C279" s="40" t="s">
        <v>623</v>
      </c>
      <c r="D279" s="40" t="s">
        <v>4038</v>
      </c>
      <c r="E279" s="40" t="s">
        <v>1850</v>
      </c>
      <c r="F279" s="40" t="s">
        <v>3717</v>
      </c>
      <c r="G279" s="40" t="s">
        <v>15</v>
      </c>
      <c r="H279" s="40" t="s">
        <v>4076</v>
      </c>
      <c r="I279" s="40" t="s">
        <v>4077</v>
      </c>
      <c r="J279" s="40" t="s">
        <v>318</v>
      </c>
      <c r="K279" s="40" t="s">
        <v>318</v>
      </c>
      <c r="L279" s="40" t="s">
        <v>879</v>
      </c>
      <c r="M279" s="40" t="s">
        <v>393</v>
      </c>
      <c r="N279" s="40" t="s">
        <v>3681</v>
      </c>
      <c r="O279" s="40" t="s">
        <v>4041</v>
      </c>
      <c r="P279" s="40" t="s">
        <v>2785</v>
      </c>
      <c r="Q279" s="40" t="s">
        <v>2439</v>
      </c>
      <c r="R279" s="40" t="s">
        <v>3987</v>
      </c>
      <c r="S279" s="40" t="s">
        <v>393</v>
      </c>
      <c r="T279" s="40" t="s">
        <v>393</v>
      </c>
      <c r="U279" s="40" t="s">
        <v>393</v>
      </c>
      <c r="V279" s="40" t="s">
        <v>393</v>
      </c>
      <c r="W279" s="40" t="s">
        <v>393</v>
      </c>
      <c r="X279" s="40" t="s">
        <v>393</v>
      </c>
      <c r="Y279" s="40" t="s">
        <v>3685</v>
      </c>
      <c r="Z279" s="40" t="s">
        <v>505</v>
      </c>
      <c r="AA279" s="40" t="s">
        <v>393</v>
      </c>
      <c r="AB279" s="40" t="s">
        <v>393</v>
      </c>
      <c r="AC279" s="40" t="s">
        <v>3685</v>
      </c>
      <c r="AD279" s="40" t="s">
        <v>490</v>
      </c>
      <c r="AE279" s="40" t="s">
        <v>4078</v>
      </c>
      <c r="AF279" s="40" t="s">
        <v>391</v>
      </c>
      <c r="AG279" s="40" t="s">
        <v>393</v>
      </c>
      <c r="AH279" s="40" t="s">
        <v>3289</v>
      </c>
      <c r="AI279" s="40" t="s">
        <v>2924</v>
      </c>
      <c r="AJ279" s="40" t="s">
        <v>2735</v>
      </c>
      <c r="AK279" s="40" t="s">
        <v>2909</v>
      </c>
      <c r="AL279" s="40" t="s">
        <v>3467</v>
      </c>
      <c r="AM279" s="40" t="s">
        <v>4079</v>
      </c>
      <c r="AN279" s="40" t="s">
        <v>393</v>
      </c>
      <c r="AO279" s="36" t="s">
        <v>4065</v>
      </c>
    </row>
    <row r="280" spans="1:41">
      <c r="A280" s="40" t="s">
        <v>2677</v>
      </c>
      <c r="B280" s="40" t="s">
        <v>3446</v>
      </c>
      <c r="C280" s="40" t="s">
        <v>623</v>
      </c>
      <c r="D280" s="40" t="s">
        <v>4038</v>
      </c>
      <c r="E280" s="40" t="s">
        <v>1850</v>
      </c>
      <c r="F280" s="40" t="s">
        <v>3717</v>
      </c>
      <c r="G280" s="40" t="s">
        <v>321</v>
      </c>
      <c r="H280" s="40" t="s">
        <v>4080</v>
      </c>
      <c r="I280" s="40" t="s">
        <v>4077</v>
      </c>
      <c r="J280" s="40" t="s">
        <v>318</v>
      </c>
      <c r="K280" s="40" t="s">
        <v>318</v>
      </c>
      <c r="L280" s="40" t="s">
        <v>879</v>
      </c>
      <c r="M280" s="40" t="s">
        <v>393</v>
      </c>
      <c r="N280" s="40" t="s">
        <v>3681</v>
      </c>
      <c r="O280" s="40" t="s">
        <v>4041</v>
      </c>
      <c r="P280" s="40" t="s">
        <v>2785</v>
      </c>
      <c r="Q280" s="40" t="s">
        <v>3905</v>
      </c>
      <c r="R280" s="40" t="s">
        <v>3987</v>
      </c>
      <c r="S280" s="40" t="s">
        <v>393</v>
      </c>
      <c r="T280" s="40" t="s">
        <v>393</v>
      </c>
      <c r="U280" s="40" t="s">
        <v>393</v>
      </c>
      <c r="V280" s="40" t="s">
        <v>393</v>
      </c>
      <c r="W280" s="40" t="s">
        <v>393</v>
      </c>
      <c r="X280" s="40" t="s">
        <v>393</v>
      </c>
      <c r="Y280" s="40" t="s">
        <v>3685</v>
      </c>
      <c r="Z280" s="40" t="s">
        <v>505</v>
      </c>
      <c r="AA280" s="40" t="s">
        <v>393</v>
      </c>
      <c r="AB280" s="40" t="s">
        <v>393</v>
      </c>
      <c r="AC280" s="40" t="s">
        <v>3685</v>
      </c>
      <c r="AD280" s="40" t="s">
        <v>490</v>
      </c>
      <c r="AE280" s="40" t="s">
        <v>4078</v>
      </c>
      <c r="AF280" s="40" t="s">
        <v>391</v>
      </c>
      <c r="AG280" s="40" t="s">
        <v>393</v>
      </c>
      <c r="AH280" s="40" t="s">
        <v>3289</v>
      </c>
      <c r="AI280" s="40" t="s">
        <v>2924</v>
      </c>
      <c r="AJ280" s="40" t="s">
        <v>2735</v>
      </c>
      <c r="AK280" s="40" t="s">
        <v>2909</v>
      </c>
      <c r="AL280" s="40" t="s">
        <v>3467</v>
      </c>
      <c r="AM280" s="40" t="s">
        <v>4079</v>
      </c>
      <c r="AN280" s="40" t="s">
        <v>393</v>
      </c>
      <c r="AO280" s="36" t="s">
        <v>4081</v>
      </c>
    </row>
    <row r="281" spans="1:41">
      <c r="A281" s="40" t="s">
        <v>2677</v>
      </c>
      <c r="B281" s="40" t="s">
        <v>3370</v>
      </c>
      <c r="C281" s="40" t="s">
        <v>623</v>
      </c>
      <c r="D281" s="40" t="s">
        <v>4038</v>
      </c>
      <c r="E281" s="40" t="s">
        <v>1850</v>
      </c>
      <c r="F281" s="40" t="s">
        <v>3720</v>
      </c>
      <c r="G281" s="40" t="s">
        <v>15</v>
      </c>
      <c r="H281" s="40" t="s">
        <v>4082</v>
      </c>
      <c r="I281" s="40" t="s">
        <v>4083</v>
      </c>
      <c r="J281" s="40" t="s">
        <v>318</v>
      </c>
      <c r="K281" s="40" t="s">
        <v>318</v>
      </c>
      <c r="L281" s="40" t="s">
        <v>879</v>
      </c>
      <c r="M281" s="40" t="s">
        <v>393</v>
      </c>
      <c r="N281" s="40" t="s">
        <v>3681</v>
      </c>
      <c r="O281" s="40" t="s">
        <v>4041</v>
      </c>
      <c r="P281" s="40" t="s">
        <v>2785</v>
      </c>
      <c r="Q281" s="40" t="s">
        <v>2439</v>
      </c>
      <c r="R281" s="40" t="s">
        <v>4084</v>
      </c>
      <c r="S281" s="40" t="s">
        <v>393</v>
      </c>
      <c r="T281" s="40" t="s">
        <v>393</v>
      </c>
      <c r="U281" s="40" t="s">
        <v>393</v>
      </c>
      <c r="V281" s="40" t="s">
        <v>393</v>
      </c>
      <c r="W281" s="40" t="s">
        <v>393</v>
      </c>
      <c r="X281" s="40" t="s">
        <v>393</v>
      </c>
      <c r="Y281" s="40" t="s">
        <v>3685</v>
      </c>
      <c r="Z281" s="40" t="s">
        <v>505</v>
      </c>
      <c r="AA281" s="40" t="s">
        <v>393</v>
      </c>
      <c r="AB281" s="40" t="s">
        <v>393</v>
      </c>
      <c r="AC281" s="40" t="s">
        <v>3685</v>
      </c>
      <c r="AD281" s="40" t="s">
        <v>490</v>
      </c>
      <c r="AE281" s="40" t="s">
        <v>4078</v>
      </c>
      <c r="AF281" s="40" t="s">
        <v>391</v>
      </c>
      <c r="AG281" s="40" t="s">
        <v>393</v>
      </c>
      <c r="AH281" s="40" t="s">
        <v>3289</v>
      </c>
      <c r="AI281" s="40" t="s">
        <v>2924</v>
      </c>
      <c r="AJ281" s="40" t="s">
        <v>2735</v>
      </c>
      <c r="AK281" s="40" t="s">
        <v>2909</v>
      </c>
      <c r="AL281" s="40" t="s">
        <v>3467</v>
      </c>
      <c r="AM281" s="40" t="s">
        <v>4085</v>
      </c>
      <c r="AN281" s="40" t="s">
        <v>393</v>
      </c>
      <c r="AO281" s="36" t="s">
        <v>393</v>
      </c>
    </row>
    <row r="282" spans="1:41">
      <c r="A282" s="40" t="s">
        <v>2677</v>
      </c>
      <c r="B282" s="40" t="s">
        <v>3370</v>
      </c>
      <c r="C282" s="40" t="s">
        <v>623</v>
      </c>
      <c r="D282" s="40" t="s">
        <v>4038</v>
      </c>
      <c r="E282" s="40" t="s">
        <v>1850</v>
      </c>
      <c r="F282" s="40" t="s">
        <v>3720</v>
      </c>
      <c r="G282" s="40" t="s">
        <v>321</v>
      </c>
      <c r="H282" s="40" t="s">
        <v>4086</v>
      </c>
      <c r="I282" s="40" t="s">
        <v>4083</v>
      </c>
      <c r="J282" s="40" t="s">
        <v>318</v>
      </c>
      <c r="K282" s="40" t="s">
        <v>318</v>
      </c>
      <c r="L282" s="40" t="s">
        <v>879</v>
      </c>
      <c r="M282" s="40" t="s">
        <v>393</v>
      </c>
      <c r="N282" s="40" t="s">
        <v>3681</v>
      </c>
      <c r="O282" s="40" t="s">
        <v>4041</v>
      </c>
      <c r="P282" s="40" t="s">
        <v>2785</v>
      </c>
      <c r="Q282" s="40" t="s">
        <v>3905</v>
      </c>
      <c r="R282" s="40" t="s">
        <v>4084</v>
      </c>
      <c r="S282" s="40" t="s">
        <v>393</v>
      </c>
      <c r="T282" s="40" t="s">
        <v>393</v>
      </c>
      <c r="U282" s="40" t="s">
        <v>393</v>
      </c>
      <c r="V282" s="40" t="s">
        <v>393</v>
      </c>
      <c r="W282" s="40" t="s">
        <v>393</v>
      </c>
      <c r="X282" s="40" t="s">
        <v>393</v>
      </c>
      <c r="Y282" s="40" t="s">
        <v>3685</v>
      </c>
      <c r="Z282" s="40" t="s">
        <v>505</v>
      </c>
      <c r="AA282" s="40" t="s">
        <v>393</v>
      </c>
      <c r="AB282" s="40" t="s">
        <v>393</v>
      </c>
      <c r="AC282" s="40" t="s">
        <v>3685</v>
      </c>
      <c r="AD282" s="40" t="s">
        <v>490</v>
      </c>
      <c r="AE282" s="40" t="s">
        <v>4078</v>
      </c>
      <c r="AF282" s="40" t="s">
        <v>391</v>
      </c>
      <c r="AG282" s="40" t="s">
        <v>393</v>
      </c>
      <c r="AH282" s="40" t="s">
        <v>3289</v>
      </c>
      <c r="AI282" s="40" t="s">
        <v>2924</v>
      </c>
      <c r="AJ282" s="40" t="s">
        <v>2735</v>
      </c>
      <c r="AK282" s="40" t="s">
        <v>2909</v>
      </c>
      <c r="AL282" s="40" t="s">
        <v>3467</v>
      </c>
      <c r="AM282" s="40" t="s">
        <v>4085</v>
      </c>
      <c r="AN282" s="40" t="s">
        <v>393</v>
      </c>
      <c r="AO282" s="36" t="s">
        <v>393</v>
      </c>
    </row>
    <row r="283" spans="1:41">
      <c r="A283" s="40" t="s">
        <v>2677</v>
      </c>
      <c r="B283" s="40" t="s">
        <v>3677</v>
      </c>
      <c r="C283" s="40" t="s">
        <v>623</v>
      </c>
      <c r="D283" s="40" t="s">
        <v>4038</v>
      </c>
      <c r="E283" s="40" t="s">
        <v>1850</v>
      </c>
      <c r="F283" s="40" t="s">
        <v>3722</v>
      </c>
      <c r="G283" s="40" t="s">
        <v>15</v>
      </c>
      <c r="H283" s="40" t="s">
        <v>4087</v>
      </c>
      <c r="I283" s="40" t="s">
        <v>4088</v>
      </c>
      <c r="J283" s="40" t="s">
        <v>318</v>
      </c>
      <c r="K283" s="40" t="s">
        <v>318</v>
      </c>
      <c r="L283" s="40" t="s">
        <v>879</v>
      </c>
      <c r="M283" s="40" t="s">
        <v>393</v>
      </c>
      <c r="N283" s="40" t="s">
        <v>3681</v>
      </c>
      <c r="O283" s="40" t="s">
        <v>4041</v>
      </c>
      <c r="P283" s="40" t="s">
        <v>2785</v>
      </c>
      <c r="Q283" s="40" t="s">
        <v>2439</v>
      </c>
      <c r="R283" s="40" t="s">
        <v>4084</v>
      </c>
      <c r="S283" s="40" t="s">
        <v>393</v>
      </c>
      <c r="T283" s="40" t="s">
        <v>393</v>
      </c>
      <c r="U283" s="40" t="s">
        <v>393</v>
      </c>
      <c r="V283" s="40" t="s">
        <v>393</v>
      </c>
      <c r="W283" s="40" t="s">
        <v>393</v>
      </c>
      <c r="X283" s="40" t="s">
        <v>393</v>
      </c>
      <c r="Y283" s="40" t="s">
        <v>3685</v>
      </c>
      <c r="Z283" s="40" t="s">
        <v>505</v>
      </c>
      <c r="AA283" s="40" t="s">
        <v>393</v>
      </c>
      <c r="AB283" s="40" t="s">
        <v>393</v>
      </c>
      <c r="AC283" s="40" t="s">
        <v>3685</v>
      </c>
      <c r="AD283" s="40" t="s">
        <v>490</v>
      </c>
      <c r="AE283" s="40" t="s">
        <v>632</v>
      </c>
      <c r="AF283" s="40" t="s">
        <v>4004</v>
      </c>
      <c r="AG283" s="40" t="s">
        <v>393</v>
      </c>
      <c r="AH283" s="40" t="s">
        <v>2952</v>
      </c>
      <c r="AI283" s="40" t="s">
        <v>2842</v>
      </c>
      <c r="AJ283" s="40" t="s">
        <v>2894</v>
      </c>
      <c r="AK283" s="40" t="s">
        <v>3341</v>
      </c>
      <c r="AL283" s="40" t="s">
        <v>3381</v>
      </c>
      <c r="AM283" s="40" t="s">
        <v>4089</v>
      </c>
      <c r="AN283" s="40" t="s">
        <v>393</v>
      </c>
      <c r="AO283" s="36" t="s">
        <v>393</v>
      </c>
    </row>
    <row r="284" spans="1:41">
      <c r="A284" s="40" t="s">
        <v>2677</v>
      </c>
      <c r="B284" s="40" t="s">
        <v>3677</v>
      </c>
      <c r="C284" s="40" t="s">
        <v>623</v>
      </c>
      <c r="D284" s="40" t="s">
        <v>4038</v>
      </c>
      <c r="E284" s="40" t="s">
        <v>1850</v>
      </c>
      <c r="F284" s="40" t="s">
        <v>3722</v>
      </c>
      <c r="G284" s="40" t="s">
        <v>321</v>
      </c>
      <c r="H284" s="40" t="s">
        <v>4090</v>
      </c>
      <c r="I284" s="40" t="s">
        <v>4088</v>
      </c>
      <c r="J284" s="40" t="s">
        <v>318</v>
      </c>
      <c r="K284" s="40" t="s">
        <v>318</v>
      </c>
      <c r="L284" s="40" t="s">
        <v>879</v>
      </c>
      <c r="M284" s="40" t="s">
        <v>393</v>
      </c>
      <c r="N284" s="40" t="s">
        <v>3681</v>
      </c>
      <c r="O284" s="40" t="s">
        <v>4041</v>
      </c>
      <c r="P284" s="40" t="s">
        <v>2785</v>
      </c>
      <c r="Q284" s="40" t="s">
        <v>3905</v>
      </c>
      <c r="R284" s="40" t="s">
        <v>4084</v>
      </c>
      <c r="S284" s="40" t="s">
        <v>393</v>
      </c>
      <c r="T284" s="40" t="s">
        <v>393</v>
      </c>
      <c r="U284" s="40" t="s">
        <v>393</v>
      </c>
      <c r="V284" s="40" t="s">
        <v>393</v>
      </c>
      <c r="W284" s="40" t="s">
        <v>393</v>
      </c>
      <c r="X284" s="40" t="s">
        <v>393</v>
      </c>
      <c r="Y284" s="40" t="s">
        <v>3685</v>
      </c>
      <c r="Z284" s="40" t="s">
        <v>505</v>
      </c>
      <c r="AA284" s="40" t="s">
        <v>393</v>
      </c>
      <c r="AB284" s="40" t="s">
        <v>393</v>
      </c>
      <c r="AC284" s="40" t="s">
        <v>3685</v>
      </c>
      <c r="AD284" s="40" t="s">
        <v>490</v>
      </c>
      <c r="AE284" s="40" t="s">
        <v>632</v>
      </c>
      <c r="AF284" s="40" t="s">
        <v>4004</v>
      </c>
      <c r="AG284" s="40" t="s">
        <v>393</v>
      </c>
      <c r="AH284" s="40" t="s">
        <v>2952</v>
      </c>
      <c r="AI284" s="40" t="s">
        <v>2842</v>
      </c>
      <c r="AJ284" s="40" t="s">
        <v>2894</v>
      </c>
      <c r="AK284" s="40" t="s">
        <v>3341</v>
      </c>
      <c r="AL284" s="40" t="s">
        <v>3381</v>
      </c>
      <c r="AM284" s="40" t="s">
        <v>4089</v>
      </c>
      <c r="AN284" s="40" t="s">
        <v>393</v>
      </c>
      <c r="AO284" s="36" t="s">
        <v>393</v>
      </c>
    </row>
    <row r="285" spans="1:41">
      <c r="A285" s="40" t="s">
        <v>2677</v>
      </c>
      <c r="B285" s="40" t="s">
        <v>3677</v>
      </c>
      <c r="C285" s="40" t="s">
        <v>623</v>
      </c>
      <c r="D285" s="40" t="s">
        <v>4038</v>
      </c>
      <c r="E285" s="40" t="s">
        <v>1850</v>
      </c>
      <c r="F285" s="40" t="s">
        <v>3725</v>
      </c>
      <c r="G285" s="40" t="s">
        <v>15</v>
      </c>
      <c r="H285" s="40" t="s">
        <v>4091</v>
      </c>
      <c r="I285" s="40" t="s">
        <v>4092</v>
      </c>
      <c r="J285" s="40" t="s">
        <v>318</v>
      </c>
      <c r="K285" s="40" t="s">
        <v>318</v>
      </c>
      <c r="L285" s="40" t="s">
        <v>879</v>
      </c>
      <c r="M285" s="40" t="s">
        <v>393</v>
      </c>
      <c r="N285" s="40" t="s">
        <v>3681</v>
      </c>
      <c r="O285" s="40" t="s">
        <v>4041</v>
      </c>
      <c r="P285" s="40" t="s">
        <v>2785</v>
      </c>
      <c r="Q285" s="40" t="s">
        <v>2439</v>
      </c>
      <c r="R285" s="40" t="s">
        <v>4028</v>
      </c>
      <c r="S285" s="40" t="s">
        <v>393</v>
      </c>
      <c r="T285" s="40" t="s">
        <v>393</v>
      </c>
      <c r="U285" s="40" t="s">
        <v>393</v>
      </c>
      <c r="V285" s="40" t="s">
        <v>393</v>
      </c>
      <c r="W285" s="40" t="s">
        <v>393</v>
      </c>
      <c r="X285" s="40" t="s">
        <v>393</v>
      </c>
      <c r="Y285" s="40" t="s">
        <v>3685</v>
      </c>
      <c r="Z285" s="40" t="s">
        <v>505</v>
      </c>
      <c r="AA285" s="40" t="s">
        <v>393</v>
      </c>
      <c r="AB285" s="40" t="s">
        <v>393</v>
      </c>
      <c r="AC285" s="40" t="s">
        <v>3685</v>
      </c>
      <c r="AD285" s="40" t="s">
        <v>490</v>
      </c>
      <c r="AE285" s="40" t="s">
        <v>359</v>
      </c>
      <c r="AF285" s="40" t="s">
        <v>490</v>
      </c>
      <c r="AG285" s="40" t="s">
        <v>393</v>
      </c>
      <c r="AH285" s="40" t="s">
        <v>322</v>
      </c>
      <c r="AI285" s="40" t="s">
        <v>3983</v>
      </c>
      <c r="AJ285" s="40" t="s">
        <v>3334</v>
      </c>
      <c r="AK285" s="40" t="s">
        <v>2815</v>
      </c>
      <c r="AL285" s="40" t="s">
        <v>2806</v>
      </c>
      <c r="AM285" s="40" t="s">
        <v>393</v>
      </c>
      <c r="AN285" s="40" t="s">
        <v>393</v>
      </c>
      <c r="AO285" s="36" t="s">
        <v>393</v>
      </c>
    </row>
    <row r="286" spans="1:41">
      <c r="A286" s="40" t="s">
        <v>2677</v>
      </c>
      <c r="B286" s="40" t="s">
        <v>3677</v>
      </c>
      <c r="C286" s="40" t="s">
        <v>623</v>
      </c>
      <c r="D286" s="40" t="s">
        <v>4038</v>
      </c>
      <c r="E286" s="40" t="s">
        <v>1850</v>
      </c>
      <c r="F286" s="40" t="s">
        <v>3725</v>
      </c>
      <c r="G286" s="40" t="s">
        <v>321</v>
      </c>
      <c r="H286" s="40" t="s">
        <v>4093</v>
      </c>
      <c r="I286" s="40" t="s">
        <v>4092</v>
      </c>
      <c r="J286" s="40" t="s">
        <v>318</v>
      </c>
      <c r="K286" s="40" t="s">
        <v>318</v>
      </c>
      <c r="L286" s="40" t="s">
        <v>879</v>
      </c>
      <c r="M286" s="40" t="s">
        <v>393</v>
      </c>
      <c r="N286" s="40" t="s">
        <v>3681</v>
      </c>
      <c r="O286" s="40" t="s">
        <v>4041</v>
      </c>
      <c r="P286" s="40" t="s">
        <v>2785</v>
      </c>
      <c r="Q286" s="40" t="s">
        <v>3905</v>
      </c>
      <c r="R286" s="40" t="s">
        <v>4028</v>
      </c>
      <c r="S286" s="40" t="s">
        <v>393</v>
      </c>
      <c r="T286" s="40" t="s">
        <v>393</v>
      </c>
      <c r="U286" s="40" t="s">
        <v>393</v>
      </c>
      <c r="V286" s="40" t="s">
        <v>393</v>
      </c>
      <c r="W286" s="40" t="s">
        <v>393</v>
      </c>
      <c r="X286" s="40" t="s">
        <v>393</v>
      </c>
      <c r="Y286" s="40" t="s">
        <v>3685</v>
      </c>
      <c r="Z286" s="40" t="s">
        <v>505</v>
      </c>
      <c r="AA286" s="40" t="s">
        <v>393</v>
      </c>
      <c r="AB286" s="40" t="s">
        <v>393</v>
      </c>
      <c r="AC286" s="40" t="s">
        <v>3685</v>
      </c>
      <c r="AD286" s="40" t="s">
        <v>490</v>
      </c>
      <c r="AE286" s="40" t="s">
        <v>359</v>
      </c>
      <c r="AF286" s="40" t="s">
        <v>490</v>
      </c>
      <c r="AG286" s="40" t="s">
        <v>393</v>
      </c>
      <c r="AH286" s="40" t="s">
        <v>322</v>
      </c>
      <c r="AI286" s="40" t="s">
        <v>3983</v>
      </c>
      <c r="AJ286" s="40" t="s">
        <v>3334</v>
      </c>
      <c r="AK286" s="40" t="s">
        <v>2815</v>
      </c>
      <c r="AL286" s="40" t="s">
        <v>2806</v>
      </c>
      <c r="AM286" s="40" t="s">
        <v>393</v>
      </c>
      <c r="AN286" s="40" t="s">
        <v>393</v>
      </c>
      <c r="AO286" s="36" t="s">
        <v>4081</v>
      </c>
    </row>
    <row r="287" spans="1:41">
      <c r="A287" s="40" t="s">
        <v>2677</v>
      </c>
      <c r="B287" s="40" t="s">
        <v>3677</v>
      </c>
      <c r="C287" s="40" t="s">
        <v>623</v>
      </c>
      <c r="D287" s="40" t="s">
        <v>4094</v>
      </c>
      <c r="E287" s="40" t="s">
        <v>1850</v>
      </c>
      <c r="F287" s="40" t="s">
        <v>2680</v>
      </c>
      <c r="G287" s="40" t="s">
        <v>393</v>
      </c>
      <c r="H287" s="40" t="s">
        <v>4095</v>
      </c>
      <c r="I287" s="40" t="s">
        <v>4096</v>
      </c>
      <c r="J287" s="40" t="s">
        <v>318</v>
      </c>
      <c r="K287" s="40" t="s">
        <v>318</v>
      </c>
      <c r="L287" s="40" t="s">
        <v>879</v>
      </c>
      <c r="M287" s="40" t="s">
        <v>393</v>
      </c>
      <c r="N287" s="40" t="s">
        <v>3681</v>
      </c>
      <c r="O287" s="40" t="s">
        <v>4097</v>
      </c>
      <c r="P287" s="40" t="s">
        <v>2685</v>
      </c>
      <c r="Q287" s="40" t="s">
        <v>2706</v>
      </c>
      <c r="R287" s="40" t="s">
        <v>3955</v>
      </c>
      <c r="S287" s="40" t="s">
        <v>393</v>
      </c>
      <c r="T287" s="40" t="s">
        <v>393</v>
      </c>
      <c r="U287" s="40" t="s">
        <v>393</v>
      </c>
      <c r="V287" s="40" t="s">
        <v>393</v>
      </c>
      <c r="W287" s="40" t="s">
        <v>393</v>
      </c>
      <c r="X287" s="40" t="s">
        <v>393</v>
      </c>
      <c r="Y287" s="40" t="s">
        <v>3685</v>
      </c>
      <c r="Z287" s="40" t="s">
        <v>505</v>
      </c>
      <c r="AA287" s="40" t="s">
        <v>393</v>
      </c>
      <c r="AB287" s="40" t="s">
        <v>393</v>
      </c>
      <c r="AC287" s="40" t="s">
        <v>3685</v>
      </c>
      <c r="AD287" s="40" t="s">
        <v>490</v>
      </c>
      <c r="AE287" s="40" t="s">
        <v>4098</v>
      </c>
      <c r="AF287" s="40" t="s">
        <v>489</v>
      </c>
      <c r="AG287" s="40" t="s">
        <v>393</v>
      </c>
      <c r="AH287" s="40" t="s">
        <v>2804</v>
      </c>
      <c r="AI287" s="40" t="s">
        <v>3983</v>
      </c>
      <c r="AJ287" s="40" t="s">
        <v>318</v>
      </c>
      <c r="AK287" s="40" t="s">
        <v>2854</v>
      </c>
      <c r="AL287" s="40" t="s">
        <v>3864</v>
      </c>
      <c r="AM287" s="40" t="s">
        <v>393</v>
      </c>
      <c r="AN287" s="40" t="s">
        <v>393</v>
      </c>
      <c r="AO287" s="36" t="s">
        <v>4099</v>
      </c>
    </row>
    <row r="288" spans="1:41">
      <c r="A288" s="40" t="s">
        <v>2677</v>
      </c>
      <c r="B288" s="40" t="s">
        <v>3677</v>
      </c>
      <c r="C288" s="40" t="s">
        <v>623</v>
      </c>
      <c r="D288" s="40" t="s">
        <v>4094</v>
      </c>
      <c r="E288" s="40" t="s">
        <v>1850</v>
      </c>
      <c r="F288" s="40" t="s">
        <v>2782</v>
      </c>
      <c r="G288" s="40" t="s">
        <v>393</v>
      </c>
      <c r="H288" s="40" t="s">
        <v>4100</v>
      </c>
      <c r="I288" s="40" t="s">
        <v>4101</v>
      </c>
      <c r="J288" s="40" t="s">
        <v>318</v>
      </c>
      <c r="K288" s="40" t="s">
        <v>318</v>
      </c>
      <c r="L288" s="40" t="s">
        <v>879</v>
      </c>
      <c r="M288" s="40" t="s">
        <v>393</v>
      </c>
      <c r="N288" s="40" t="s">
        <v>3681</v>
      </c>
      <c r="O288" s="40" t="s">
        <v>4097</v>
      </c>
      <c r="P288" s="40" t="s">
        <v>2685</v>
      </c>
      <c r="Q288" s="40" t="s">
        <v>2706</v>
      </c>
      <c r="R288" s="40" t="s">
        <v>3966</v>
      </c>
      <c r="S288" s="40" t="s">
        <v>393</v>
      </c>
      <c r="T288" s="40" t="s">
        <v>393</v>
      </c>
      <c r="U288" s="40" t="s">
        <v>393</v>
      </c>
      <c r="V288" s="40" t="s">
        <v>393</v>
      </c>
      <c r="W288" s="40" t="s">
        <v>393</v>
      </c>
      <c r="X288" s="40" t="s">
        <v>393</v>
      </c>
      <c r="Y288" s="40" t="s">
        <v>3685</v>
      </c>
      <c r="Z288" s="40" t="s">
        <v>505</v>
      </c>
      <c r="AA288" s="40" t="s">
        <v>393</v>
      </c>
      <c r="AB288" s="40" t="s">
        <v>393</v>
      </c>
      <c r="AC288" s="40" t="s">
        <v>3685</v>
      </c>
      <c r="AD288" s="40" t="s">
        <v>490</v>
      </c>
      <c r="AE288" s="40" t="s">
        <v>4102</v>
      </c>
      <c r="AF288" s="40" t="s">
        <v>716</v>
      </c>
      <c r="AG288" s="40" t="s">
        <v>393</v>
      </c>
      <c r="AH288" s="40" t="s">
        <v>3302</v>
      </c>
      <c r="AI288" s="40" t="s">
        <v>4103</v>
      </c>
      <c r="AJ288" s="40" t="s">
        <v>2952</v>
      </c>
      <c r="AK288" s="40" t="s">
        <v>4104</v>
      </c>
      <c r="AL288" s="40" t="s">
        <v>4105</v>
      </c>
      <c r="AM288" s="40" t="s">
        <v>393</v>
      </c>
      <c r="AN288" s="40" t="s">
        <v>393</v>
      </c>
      <c r="AO288" s="36" t="s">
        <v>4106</v>
      </c>
    </row>
    <row r="289" spans="1:41">
      <c r="A289" s="40" t="s">
        <v>2677</v>
      </c>
      <c r="B289" s="40" t="s">
        <v>3433</v>
      </c>
      <c r="C289" s="40" t="s">
        <v>623</v>
      </c>
      <c r="D289" s="40" t="s">
        <v>4094</v>
      </c>
      <c r="E289" s="40" t="s">
        <v>1850</v>
      </c>
      <c r="F289" s="40" t="s">
        <v>2740</v>
      </c>
      <c r="G289" s="40" t="s">
        <v>15</v>
      </c>
      <c r="H289" s="40" t="s">
        <v>4107</v>
      </c>
      <c r="I289" s="40" t="s">
        <v>4108</v>
      </c>
      <c r="J289" s="40" t="s">
        <v>318</v>
      </c>
      <c r="K289" s="40" t="s">
        <v>318</v>
      </c>
      <c r="L289" s="40" t="s">
        <v>879</v>
      </c>
      <c r="M289" s="40" t="s">
        <v>393</v>
      </c>
      <c r="N289" s="40" t="s">
        <v>3681</v>
      </c>
      <c r="O289" s="40" t="s">
        <v>4097</v>
      </c>
      <c r="P289" s="40" t="s">
        <v>2785</v>
      </c>
      <c r="Q289" s="40" t="s">
        <v>2439</v>
      </c>
      <c r="R289" s="40" t="s">
        <v>4055</v>
      </c>
      <c r="S289" s="40" t="s">
        <v>393</v>
      </c>
      <c r="T289" s="40" t="s">
        <v>393</v>
      </c>
      <c r="U289" s="40" t="s">
        <v>393</v>
      </c>
      <c r="V289" s="40" t="s">
        <v>393</v>
      </c>
      <c r="W289" s="40" t="s">
        <v>393</v>
      </c>
      <c r="X289" s="40" t="s">
        <v>393</v>
      </c>
      <c r="Y289" s="40" t="s">
        <v>3685</v>
      </c>
      <c r="Z289" s="40" t="s">
        <v>505</v>
      </c>
      <c r="AA289" s="40" t="s">
        <v>393</v>
      </c>
      <c r="AB289" s="40" t="s">
        <v>393</v>
      </c>
      <c r="AC289" s="40" t="s">
        <v>3685</v>
      </c>
      <c r="AD289" s="40" t="s">
        <v>490</v>
      </c>
      <c r="AE289" s="40" t="s">
        <v>358</v>
      </c>
      <c r="AF289" s="40" t="s">
        <v>4109</v>
      </c>
      <c r="AG289" s="40" t="s">
        <v>393</v>
      </c>
      <c r="AH289" s="40" t="s">
        <v>3289</v>
      </c>
      <c r="AI289" s="40" t="s">
        <v>2952</v>
      </c>
      <c r="AJ289" s="40" t="s">
        <v>2804</v>
      </c>
      <c r="AK289" s="40" t="s">
        <v>4110</v>
      </c>
      <c r="AL289" s="40" t="s">
        <v>4111</v>
      </c>
      <c r="AM289" s="40" t="s">
        <v>393</v>
      </c>
      <c r="AN289" s="40" t="s">
        <v>393</v>
      </c>
      <c r="AO289" s="36" t="s">
        <v>4112</v>
      </c>
    </row>
    <row r="290" spans="1:41">
      <c r="A290" s="40" t="s">
        <v>2677</v>
      </c>
      <c r="B290" s="40" t="s">
        <v>3433</v>
      </c>
      <c r="C290" s="40" t="s">
        <v>623</v>
      </c>
      <c r="D290" s="40" t="s">
        <v>4094</v>
      </c>
      <c r="E290" s="40" t="s">
        <v>1850</v>
      </c>
      <c r="F290" s="40" t="s">
        <v>2740</v>
      </c>
      <c r="G290" s="40" t="s">
        <v>321</v>
      </c>
      <c r="H290" s="40" t="s">
        <v>4113</v>
      </c>
      <c r="I290" s="40" t="s">
        <v>4108</v>
      </c>
      <c r="J290" s="40" t="s">
        <v>318</v>
      </c>
      <c r="K290" s="40" t="s">
        <v>318</v>
      </c>
      <c r="L290" s="40" t="s">
        <v>879</v>
      </c>
      <c r="M290" s="40" t="s">
        <v>393</v>
      </c>
      <c r="N290" s="40" t="s">
        <v>3681</v>
      </c>
      <c r="O290" s="40" t="s">
        <v>4097</v>
      </c>
      <c r="P290" s="40" t="s">
        <v>2785</v>
      </c>
      <c r="Q290" s="40" t="s">
        <v>3905</v>
      </c>
      <c r="R290" s="40" t="s">
        <v>4055</v>
      </c>
      <c r="S290" s="40" t="s">
        <v>393</v>
      </c>
      <c r="T290" s="40" t="s">
        <v>393</v>
      </c>
      <c r="U290" s="40" t="s">
        <v>393</v>
      </c>
      <c r="V290" s="40" t="s">
        <v>393</v>
      </c>
      <c r="W290" s="40" t="s">
        <v>393</v>
      </c>
      <c r="X290" s="40" t="s">
        <v>393</v>
      </c>
      <c r="Y290" s="40" t="s">
        <v>3685</v>
      </c>
      <c r="Z290" s="40" t="s">
        <v>505</v>
      </c>
      <c r="AA290" s="40" t="s">
        <v>393</v>
      </c>
      <c r="AB290" s="40" t="s">
        <v>393</v>
      </c>
      <c r="AC290" s="40" t="s">
        <v>3685</v>
      </c>
      <c r="AD290" s="40" t="s">
        <v>490</v>
      </c>
      <c r="AE290" s="40" t="s">
        <v>358</v>
      </c>
      <c r="AF290" s="40" t="s">
        <v>4109</v>
      </c>
      <c r="AG290" s="40" t="s">
        <v>393</v>
      </c>
      <c r="AH290" s="40" t="s">
        <v>3289</v>
      </c>
      <c r="AI290" s="40" t="s">
        <v>2952</v>
      </c>
      <c r="AJ290" s="40" t="s">
        <v>2804</v>
      </c>
      <c r="AK290" s="40" t="s">
        <v>4110</v>
      </c>
      <c r="AL290" s="40" t="s">
        <v>4111</v>
      </c>
      <c r="AM290" s="40" t="s">
        <v>393</v>
      </c>
      <c r="AN290" s="40" t="s">
        <v>393</v>
      </c>
      <c r="AO290" s="36" t="s">
        <v>4112</v>
      </c>
    </row>
    <row r="291" spans="1:41">
      <c r="A291" s="40" t="s">
        <v>2677</v>
      </c>
      <c r="B291" s="40" t="s">
        <v>3677</v>
      </c>
      <c r="C291" s="40" t="s">
        <v>623</v>
      </c>
      <c r="D291" s="40" t="s">
        <v>4094</v>
      </c>
      <c r="E291" s="40" t="s">
        <v>1850</v>
      </c>
      <c r="F291" s="40" t="s">
        <v>2920</v>
      </c>
      <c r="G291" s="40" t="s">
        <v>393</v>
      </c>
      <c r="H291" s="40" t="s">
        <v>4114</v>
      </c>
      <c r="I291" s="40" t="s">
        <v>4115</v>
      </c>
      <c r="J291" s="40" t="s">
        <v>318</v>
      </c>
      <c r="K291" s="40" t="s">
        <v>318</v>
      </c>
      <c r="L291" s="40" t="s">
        <v>879</v>
      </c>
      <c r="M291" s="40" t="s">
        <v>393</v>
      </c>
      <c r="N291" s="40" t="s">
        <v>3681</v>
      </c>
      <c r="O291" s="40" t="s">
        <v>4097</v>
      </c>
      <c r="P291" s="40" t="s">
        <v>2685</v>
      </c>
      <c r="Q291" s="40" t="s">
        <v>2706</v>
      </c>
      <c r="R291" s="40" t="s">
        <v>4010</v>
      </c>
      <c r="S291" s="40" t="s">
        <v>393</v>
      </c>
      <c r="T291" s="40" t="s">
        <v>393</v>
      </c>
      <c r="U291" s="40" t="s">
        <v>393</v>
      </c>
      <c r="V291" s="40" t="s">
        <v>393</v>
      </c>
      <c r="W291" s="40" t="s">
        <v>393</v>
      </c>
      <c r="X291" s="40" t="s">
        <v>393</v>
      </c>
      <c r="Y291" s="40" t="s">
        <v>3685</v>
      </c>
      <c r="Z291" s="40" t="s">
        <v>505</v>
      </c>
      <c r="AA291" s="40" t="s">
        <v>393</v>
      </c>
      <c r="AB291" s="40" t="s">
        <v>393</v>
      </c>
      <c r="AC291" s="40" t="s">
        <v>3685</v>
      </c>
      <c r="AD291" s="40" t="s">
        <v>490</v>
      </c>
      <c r="AE291" s="40" t="s">
        <v>4116</v>
      </c>
      <c r="AF291" s="40" t="s">
        <v>4078</v>
      </c>
      <c r="AG291" s="40" t="s">
        <v>393</v>
      </c>
      <c r="AH291" s="40" t="s">
        <v>4117</v>
      </c>
      <c r="AI291" s="40" t="s">
        <v>2734</v>
      </c>
      <c r="AJ291" s="40" t="s">
        <v>2952</v>
      </c>
      <c r="AK291" s="40" t="s">
        <v>3741</v>
      </c>
      <c r="AL291" s="40" t="s">
        <v>3867</v>
      </c>
      <c r="AM291" s="40" t="s">
        <v>393</v>
      </c>
      <c r="AN291" s="40" t="s">
        <v>393</v>
      </c>
      <c r="AO291" s="36" t="s">
        <v>4118</v>
      </c>
    </row>
    <row r="292" spans="1:41">
      <c r="A292" s="40" t="s">
        <v>2677</v>
      </c>
      <c r="B292" s="40" t="s">
        <v>3677</v>
      </c>
      <c r="C292" s="40" t="s">
        <v>623</v>
      </c>
      <c r="D292" s="40" t="s">
        <v>4094</v>
      </c>
      <c r="E292" s="40" t="s">
        <v>1850</v>
      </c>
      <c r="F292" s="40" t="s">
        <v>3293</v>
      </c>
      <c r="G292" s="40" t="s">
        <v>15</v>
      </c>
      <c r="H292" s="40" t="s">
        <v>4119</v>
      </c>
      <c r="I292" s="40" t="s">
        <v>4115</v>
      </c>
      <c r="J292" s="40" t="s">
        <v>318</v>
      </c>
      <c r="K292" s="40" t="s">
        <v>318</v>
      </c>
      <c r="L292" s="40" t="s">
        <v>879</v>
      </c>
      <c r="M292" s="40" t="s">
        <v>393</v>
      </c>
      <c r="N292" s="40" t="s">
        <v>3681</v>
      </c>
      <c r="O292" s="40" t="s">
        <v>4097</v>
      </c>
      <c r="P292" s="40" t="s">
        <v>2785</v>
      </c>
      <c r="Q292" s="40" t="s">
        <v>2439</v>
      </c>
      <c r="R292" s="40" t="s">
        <v>4120</v>
      </c>
      <c r="S292" s="40" t="s">
        <v>393</v>
      </c>
      <c r="T292" s="40" t="s">
        <v>393</v>
      </c>
      <c r="U292" s="40" t="s">
        <v>393</v>
      </c>
      <c r="V292" s="40" t="s">
        <v>393</v>
      </c>
      <c r="W292" s="40" t="s">
        <v>393</v>
      </c>
      <c r="X292" s="40" t="s">
        <v>393</v>
      </c>
      <c r="Y292" s="40" t="s">
        <v>3685</v>
      </c>
      <c r="Z292" s="40" t="s">
        <v>505</v>
      </c>
      <c r="AA292" s="40" t="s">
        <v>393</v>
      </c>
      <c r="AB292" s="40" t="s">
        <v>393</v>
      </c>
      <c r="AC292" s="40" t="s">
        <v>3685</v>
      </c>
      <c r="AD292" s="40" t="s">
        <v>490</v>
      </c>
      <c r="AE292" s="40" t="s">
        <v>412</v>
      </c>
      <c r="AF292" s="40" t="s">
        <v>696</v>
      </c>
      <c r="AG292" s="40" t="s">
        <v>393</v>
      </c>
      <c r="AH292" s="40" t="s">
        <v>2831</v>
      </c>
      <c r="AI292" s="40" t="s">
        <v>4103</v>
      </c>
      <c r="AJ292" s="40" t="s">
        <v>4121</v>
      </c>
      <c r="AK292" s="40" t="s">
        <v>4122</v>
      </c>
      <c r="AL292" s="40" t="s">
        <v>4123</v>
      </c>
      <c r="AM292" s="40" t="s">
        <v>393</v>
      </c>
      <c r="AN292" s="40" t="s">
        <v>393</v>
      </c>
      <c r="AO292" s="36" t="s">
        <v>4124</v>
      </c>
    </row>
    <row r="293" spans="1:41">
      <c r="A293" s="40" t="s">
        <v>2677</v>
      </c>
      <c r="B293" s="40" t="s">
        <v>3677</v>
      </c>
      <c r="C293" s="40" t="s">
        <v>623</v>
      </c>
      <c r="D293" s="40" t="s">
        <v>4094</v>
      </c>
      <c r="E293" s="40" t="s">
        <v>1850</v>
      </c>
      <c r="F293" s="40" t="s">
        <v>3293</v>
      </c>
      <c r="G293" s="40" t="s">
        <v>321</v>
      </c>
      <c r="H293" s="40" t="s">
        <v>4125</v>
      </c>
      <c r="I293" s="40" t="s">
        <v>4115</v>
      </c>
      <c r="J293" s="40" t="s">
        <v>318</v>
      </c>
      <c r="K293" s="40" t="s">
        <v>318</v>
      </c>
      <c r="L293" s="40" t="s">
        <v>879</v>
      </c>
      <c r="M293" s="40" t="s">
        <v>393</v>
      </c>
      <c r="N293" s="40" t="s">
        <v>3681</v>
      </c>
      <c r="O293" s="40" t="s">
        <v>4097</v>
      </c>
      <c r="P293" s="40" t="s">
        <v>2785</v>
      </c>
      <c r="Q293" s="40" t="s">
        <v>3905</v>
      </c>
      <c r="R293" s="40" t="s">
        <v>4120</v>
      </c>
      <c r="S293" s="40" t="s">
        <v>393</v>
      </c>
      <c r="T293" s="40" t="s">
        <v>393</v>
      </c>
      <c r="U293" s="40" t="s">
        <v>393</v>
      </c>
      <c r="V293" s="40" t="s">
        <v>393</v>
      </c>
      <c r="W293" s="40" t="s">
        <v>393</v>
      </c>
      <c r="X293" s="40" t="s">
        <v>393</v>
      </c>
      <c r="Y293" s="40" t="s">
        <v>3685</v>
      </c>
      <c r="Z293" s="40" t="s">
        <v>505</v>
      </c>
      <c r="AA293" s="40" t="s">
        <v>393</v>
      </c>
      <c r="AB293" s="40" t="s">
        <v>393</v>
      </c>
      <c r="AC293" s="40" t="s">
        <v>3685</v>
      </c>
      <c r="AD293" s="40" t="s">
        <v>490</v>
      </c>
      <c r="AE293" s="40" t="s">
        <v>412</v>
      </c>
      <c r="AF293" s="40" t="s">
        <v>696</v>
      </c>
      <c r="AG293" s="40" t="s">
        <v>393</v>
      </c>
      <c r="AH293" s="40" t="s">
        <v>2831</v>
      </c>
      <c r="AI293" s="40" t="s">
        <v>4103</v>
      </c>
      <c r="AJ293" s="40" t="s">
        <v>4121</v>
      </c>
      <c r="AK293" s="40" t="s">
        <v>4122</v>
      </c>
      <c r="AL293" s="40" t="s">
        <v>4123</v>
      </c>
      <c r="AM293" s="40" t="s">
        <v>393</v>
      </c>
      <c r="AN293" s="40" t="s">
        <v>393</v>
      </c>
      <c r="AO293" s="36" t="s">
        <v>4124</v>
      </c>
    </row>
    <row r="294" spans="1:41">
      <c r="A294" s="40" t="s">
        <v>2677</v>
      </c>
      <c r="B294" s="40" t="s">
        <v>3677</v>
      </c>
      <c r="C294" s="40" t="s">
        <v>623</v>
      </c>
      <c r="D294" s="40" t="s">
        <v>4126</v>
      </c>
      <c r="E294" s="40" t="s">
        <v>1850</v>
      </c>
      <c r="F294" s="40" t="s">
        <v>2680</v>
      </c>
      <c r="G294" s="40" t="s">
        <v>393</v>
      </c>
      <c r="H294" s="40" t="s">
        <v>4127</v>
      </c>
      <c r="I294" s="40" t="s">
        <v>4128</v>
      </c>
      <c r="J294" s="40" t="s">
        <v>318</v>
      </c>
      <c r="K294" s="40" t="s">
        <v>318</v>
      </c>
      <c r="L294" s="40" t="s">
        <v>879</v>
      </c>
      <c r="M294" s="40" t="s">
        <v>393</v>
      </c>
      <c r="N294" s="40" t="s">
        <v>3681</v>
      </c>
      <c r="O294" s="40" t="s">
        <v>4129</v>
      </c>
      <c r="P294" s="40" t="s">
        <v>2685</v>
      </c>
      <c r="Q294" s="40" t="s">
        <v>2686</v>
      </c>
      <c r="R294" s="40" t="s">
        <v>359</v>
      </c>
      <c r="S294" s="40" t="s">
        <v>3956</v>
      </c>
      <c r="T294" s="40" t="s">
        <v>393</v>
      </c>
      <c r="U294" s="40" t="s">
        <v>4130</v>
      </c>
      <c r="V294" s="40" t="s">
        <v>393</v>
      </c>
      <c r="W294" s="40" t="s">
        <v>393</v>
      </c>
      <c r="X294" s="40" t="s">
        <v>393</v>
      </c>
      <c r="Y294" s="40" t="s">
        <v>393</v>
      </c>
      <c r="Z294" s="40" t="s">
        <v>393</v>
      </c>
      <c r="AA294" s="40" t="s">
        <v>393</v>
      </c>
      <c r="AB294" s="40" t="s">
        <v>393</v>
      </c>
      <c r="AC294" s="40" t="s">
        <v>393</v>
      </c>
      <c r="AD294" s="40" t="s">
        <v>393</v>
      </c>
      <c r="AE294" s="40" t="s">
        <v>468</v>
      </c>
      <c r="AF294" s="40" t="s">
        <v>359</v>
      </c>
      <c r="AG294" s="40" t="s">
        <v>393</v>
      </c>
      <c r="AH294" s="40" t="s">
        <v>3085</v>
      </c>
      <c r="AI294" s="40" t="s">
        <v>2805</v>
      </c>
      <c r="AJ294" s="40" t="s">
        <v>2894</v>
      </c>
      <c r="AK294" s="40" t="s">
        <v>2182</v>
      </c>
      <c r="AL294" s="40" t="s">
        <v>4131</v>
      </c>
      <c r="AM294" s="40" t="s">
        <v>393</v>
      </c>
      <c r="AN294" s="40" t="s">
        <v>393</v>
      </c>
      <c r="AO294" s="36" t="s">
        <v>393</v>
      </c>
    </row>
    <row r="295" spans="1:41">
      <c r="A295" s="40" t="s">
        <v>2677</v>
      </c>
      <c r="B295" s="40" t="s">
        <v>3677</v>
      </c>
      <c r="C295" s="40" t="s">
        <v>623</v>
      </c>
      <c r="D295" s="40" t="s">
        <v>4126</v>
      </c>
      <c r="E295" s="40" t="s">
        <v>1850</v>
      </c>
      <c r="F295" s="40" t="s">
        <v>2782</v>
      </c>
      <c r="G295" s="40" t="s">
        <v>393</v>
      </c>
      <c r="H295" s="40" t="s">
        <v>4132</v>
      </c>
      <c r="I295" s="40" t="s">
        <v>4133</v>
      </c>
      <c r="J295" s="40" t="s">
        <v>318</v>
      </c>
      <c r="K295" s="40" t="s">
        <v>318</v>
      </c>
      <c r="L295" s="40" t="s">
        <v>879</v>
      </c>
      <c r="M295" s="40" t="s">
        <v>393</v>
      </c>
      <c r="N295" s="40" t="s">
        <v>3681</v>
      </c>
      <c r="O295" s="40" t="s">
        <v>4129</v>
      </c>
      <c r="P295" s="40" t="s">
        <v>2685</v>
      </c>
      <c r="Q295" s="40" t="s">
        <v>2686</v>
      </c>
      <c r="R295" s="40" t="s">
        <v>374</v>
      </c>
      <c r="S295" s="40" t="s">
        <v>4134</v>
      </c>
      <c r="T295" s="40" t="s">
        <v>393</v>
      </c>
      <c r="U295" s="40" t="s">
        <v>4135</v>
      </c>
      <c r="V295" s="40" t="s">
        <v>393</v>
      </c>
      <c r="W295" s="40" t="s">
        <v>393</v>
      </c>
      <c r="X295" s="40" t="s">
        <v>393</v>
      </c>
      <c r="Y295" s="40" t="s">
        <v>393</v>
      </c>
      <c r="Z295" s="40" t="s">
        <v>393</v>
      </c>
      <c r="AA295" s="40" t="s">
        <v>393</v>
      </c>
      <c r="AB295" s="40" t="s">
        <v>393</v>
      </c>
      <c r="AC295" s="40" t="s">
        <v>393</v>
      </c>
      <c r="AD295" s="40" t="s">
        <v>393</v>
      </c>
      <c r="AE295" s="40" t="s">
        <v>371</v>
      </c>
      <c r="AF295" s="40" t="s">
        <v>374</v>
      </c>
      <c r="AG295" s="40" t="s">
        <v>393</v>
      </c>
      <c r="AH295" s="40" t="s">
        <v>2805</v>
      </c>
      <c r="AI295" s="40" t="s">
        <v>2813</v>
      </c>
      <c r="AJ295" s="40" t="s">
        <v>2734</v>
      </c>
      <c r="AK295" s="40" t="s">
        <v>316</v>
      </c>
      <c r="AL295" s="40" t="s">
        <v>2182</v>
      </c>
      <c r="AM295" s="40" t="s">
        <v>3984</v>
      </c>
      <c r="AN295" s="40" t="s">
        <v>393</v>
      </c>
      <c r="AO295" s="36" t="s">
        <v>393</v>
      </c>
    </row>
    <row r="296" spans="1:41">
      <c r="A296" s="40" t="s">
        <v>2677</v>
      </c>
      <c r="B296" s="40" t="s">
        <v>3677</v>
      </c>
      <c r="C296" s="40" t="s">
        <v>623</v>
      </c>
      <c r="D296" s="40" t="s">
        <v>4126</v>
      </c>
      <c r="E296" s="40" t="s">
        <v>1850</v>
      </c>
      <c r="F296" s="40" t="s">
        <v>2740</v>
      </c>
      <c r="G296" s="40" t="s">
        <v>393</v>
      </c>
      <c r="H296" s="40" t="s">
        <v>4136</v>
      </c>
      <c r="I296" s="40" t="s">
        <v>4137</v>
      </c>
      <c r="J296" s="40" t="s">
        <v>318</v>
      </c>
      <c r="K296" s="40" t="s">
        <v>318</v>
      </c>
      <c r="L296" s="40" t="s">
        <v>879</v>
      </c>
      <c r="M296" s="40" t="s">
        <v>393</v>
      </c>
      <c r="N296" s="40" t="s">
        <v>3681</v>
      </c>
      <c r="O296" s="40" t="s">
        <v>4129</v>
      </c>
      <c r="P296" s="40" t="s">
        <v>2685</v>
      </c>
      <c r="Q296" s="40" t="s">
        <v>2686</v>
      </c>
      <c r="R296" s="40" t="s">
        <v>458</v>
      </c>
      <c r="S296" s="40" t="s">
        <v>4138</v>
      </c>
      <c r="T296" s="40" t="s">
        <v>393</v>
      </c>
      <c r="U296" s="40" t="s">
        <v>4139</v>
      </c>
      <c r="V296" s="40" t="s">
        <v>393</v>
      </c>
      <c r="W296" s="40" t="s">
        <v>393</v>
      </c>
      <c r="X296" s="40" t="s">
        <v>393</v>
      </c>
      <c r="Y296" s="40" t="s">
        <v>393</v>
      </c>
      <c r="Z296" s="40" t="s">
        <v>393</v>
      </c>
      <c r="AA296" s="40" t="s">
        <v>393</v>
      </c>
      <c r="AB296" s="40" t="s">
        <v>393</v>
      </c>
      <c r="AC296" s="40" t="s">
        <v>393</v>
      </c>
      <c r="AD296" s="40" t="s">
        <v>393</v>
      </c>
      <c r="AE296" s="40" t="s">
        <v>448</v>
      </c>
      <c r="AF296" s="40" t="s">
        <v>458</v>
      </c>
      <c r="AG296" s="40" t="s">
        <v>393</v>
      </c>
      <c r="AH296" s="40" t="s">
        <v>2813</v>
      </c>
      <c r="AI296" s="40" t="s">
        <v>2925</v>
      </c>
      <c r="AJ296" s="40" t="s">
        <v>4140</v>
      </c>
      <c r="AK296" s="40" t="s">
        <v>679</v>
      </c>
      <c r="AL296" s="40" t="s">
        <v>316</v>
      </c>
      <c r="AM296" s="40" t="s">
        <v>393</v>
      </c>
      <c r="AN296" s="40" t="s">
        <v>393</v>
      </c>
      <c r="AO296" s="36" t="s">
        <v>393</v>
      </c>
    </row>
    <row r="297" spans="1:41">
      <c r="A297" s="40" t="s">
        <v>2677</v>
      </c>
      <c r="B297" s="40" t="s">
        <v>3433</v>
      </c>
      <c r="C297" s="40" t="s">
        <v>623</v>
      </c>
      <c r="D297" s="40" t="s">
        <v>4126</v>
      </c>
      <c r="E297" s="40" t="s">
        <v>1850</v>
      </c>
      <c r="F297" s="40" t="s">
        <v>2920</v>
      </c>
      <c r="G297" s="40" t="s">
        <v>393</v>
      </c>
      <c r="H297" s="40" t="s">
        <v>4141</v>
      </c>
      <c r="I297" s="40" t="s">
        <v>4142</v>
      </c>
      <c r="J297" s="40" t="s">
        <v>318</v>
      </c>
      <c r="K297" s="40" t="s">
        <v>318</v>
      </c>
      <c r="L297" s="40" t="s">
        <v>879</v>
      </c>
      <c r="M297" s="40" t="s">
        <v>393</v>
      </c>
      <c r="N297" s="40" t="s">
        <v>3681</v>
      </c>
      <c r="O297" s="40" t="s">
        <v>4129</v>
      </c>
      <c r="P297" s="40" t="s">
        <v>2685</v>
      </c>
      <c r="Q297" s="40" t="s">
        <v>2686</v>
      </c>
      <c r="R297" s="40" t="s">
        <v>393</v>
      </c>
      <c r="S297" s="40" t="s">
        <v>4002</v>
      </c>
      <c r="T297" s="40" t="s">
        <v>393</v>
      </c>
      <c r="U297" s="40" t="s">
        <v>4143</v>
      </c>
      <c r="V297" s="40" t="s">
        <v>393</v>
      </c>
      <c r="W297" s="40" t="s">
        <v>393</v>
      </c>
      <c r="X297" s="40" t="s">
        <v>393</v>
      </c>
      <c r="Y297" s="40" t="s">
        <v>393</v>
      </c>
      <c r="Z297" s="40" t="s">
        <v>393</v>
      </c>
      <c r="AA297" s="40" t="s">
        <v>393</v>
      </c>
      <c r="AB297" s="40" t="s">
        <v>393</v>
      </c>
      <c r="AC297" s="40" t="s">
        <v>393</v>
      </c>
      <c r="AD297" s="40" t="s">
        <v>393</v>
      </c>
      <c r="AE297" s="40" t="s">
        <v>2182</v>
      </c>
      <c r="AF297" s="40" t="s">
        <v>4131</v>
      </c>
      <c r="AG297" s="40" t="s">
        <v>393</v>
      </c>
      <c r="AH297" s="40" t="s">
        <v>305</v>
      </c>
      <c r="AI297" s="40" t="s">
        <v>305</v>
      </c>
      <c r="AJ297" s="40" t="s">
        <v>318</v>
      </c>
      <c r="AK297" s="40" t="s">
        <v>3341</v>
      </c>
      <c r="AL297" s="40" t="s">
        <v>3089</v>
      </c>
      <c r="AM297" s="40" t="s">
        <v>393</v>
      </c>
      <c r="AN297" s="40" t="s">
        <v>393</v>
      </c>
      <c r="AO297" s="36" t="s">
        <v>393</v>
      </c>
    </row>
    <row r="298" spans="1:41">
      <c r="A298" s="40" t="s">
        <v>2677</v>
      </c>
      <c r="B298" s="40" t="s">
        <v>3802</v>
      </c>
      <c r="C298" s="40" t="s">
        <v>623</v>
      </c>
      <c r="D298" s="40" t="s">
        <v>4126</v>
      </c>
      <c r="E298" s="40" t="s">
        <v>1850</v>
      </c>
      <c r="F298" s="40" t="s">
        <v>3293</v>
      </c>
      <c r="G298" s="40" t="s">
        <v>393</v>
      </c>
      <c r="H298" s="40" t="s">
        <v>4144</v>
      </c>
      <c r="I298" s="40" t="s">
        <v>4145</v>
      </c>
      <c r="J298" s="40" t="s">
        <v>318</v>
      </c>
      <c r="K298" s="40" t="s">
        <v>318</v>
      </c>
      <c r="L298" s="40" t="s">
        <v>879</v>
      </c>
      <c r="M298" s="40" t="s">
        <v>393</v>
      </c>
      <c r="N298" s="40" t="s">
        <v>3681</v>
      </c>
      <c r="O298" s="40" t="s">
        <v>4129</v>
      </c>
      <c r="P298" s="40" t="s">
        <v>2685</v>
      </c>
      <c r="Q298" s="40" t="s">
        <v>2686</v>
      </c>
      <c r="R298" s="40" t="s">
        <v>2131</v>
      </c>
      <c r="S298" s="40" t="s">
        <v>4022</v>
      </c>
      <c r="T298" s="40" t="s">
        <v>393</v>
      </c>
      <c r="U298" s="40" t="s">
        <v>4146</v>
      </c>
      <c r="V298" s="40" t="s">
        <v>393</v>
      </c>
      <c r="W298" s="40" t="s">
        <v>393</v>
      </c>
      <c r="X298" s="40" t="s">
        <v>393</v>
      </c>
      <c r="Y298" s="40" t="s">
        <v>3685</v>
      </c>
      <c r="Z298" s="40" t="s">
        <v>505</v>
      </c>
      <c r="AA298" s="40" t="s">
        <v>393</v>
      </c>
      <c r="AB298" s="40" t="s">
        <v>393</v>
      </c>
      <c r="AC298" s="40" t="s">
        <v>3685</v>
      </c>
      <c r="AD298" s="40" t="s">
        <v>490</v>
      </c>
      <c r="AE298" s="40" t="s">
        <v>696</v>
      </c>
      <c r="AF298" s="40" t="s">
        <v>2131</v>
      </c>
      <c r="AG298" s="40" t="s">
        <v>393</v>
      </c>
      <c r="AH298" s="40" t="s">
        <v>3085</v>
      </c>
      <c r="AI298" s="40" t="s">
        <v>305</v>
      </c>
      <c r="AJ298" s="40" t="s">
        <v>2734</v>
      </c>
      <c r="AK298" s="40" t="s">
        <v>2927</v>
      </c>
      <c r="AL298" s="40" t="s">
        <v>3341</v>
      </c>
      <c r="AM298" s="40" t="s">
        <v>393</v>
      </c>
      <c r="AN298" s="40" t="s">
        <v>393</v>
      </c>
      <c r="AO298" s="36" t="s">
        <v>393</v>
      </c>
    </row>
    <row r="299" spans="1:41">
      <c r="A299" s="40" t="s">
        <v>2677</v>
      </c>
      <c r="B299" s="40" t="s">
        <v>3433</v>
      </c>
      <c r="C299" s="40" t="s">
        <v>623</v>
      </c>
      <c r="D299" s="40" t="s">
        <v>4126</v>
      </c>
      <c r="E299" s="40" t="s">
        <v>1850</v>
      </c>
      <c r="F299" s="40" t="s">
        <v>3349</v>
      </c>
      <c r="G299" s="40" t="s">
        <v>393</v>
      </c>
      <c r="H299" s="40" t="s">
        <v>4147</v>
      </c>
      <c r="I299" s="40" t="s">
        <v>4148</v>
      </c>
      <c r="J299" s="40" t="s">
        <v>318</v>
      </c>
      <c r="K299" s="40" t="s">
        <v>318</v>
      </c>
      <c r="L299" s="40" t="s">
        <v>879</v>
      </c>
      <c r="M299" s="40" t="s">
        <v>393</v>
      </c>
      <c r="N299" s="40" t="s">
        <v>3681</v>
      </c>
      <c r="O299" s="40" t="s">
        <v>4129</v>
      </c>
      <c r="P299" s="40" t="s">
        <v>2685</v>
      </c>
      <c r="Q299" s="40" t="s">
        <v>2686</v>
      </c>
      <c r="R299" s="40" t="s">
        <v>2131</v>
      </c>
      <c r="S299" s="40" t="s">
        <v>4022</v>
      </c>
      <c r="T299" s="40" t="s">
        <v>393</v>
      </c>
      <c r="U299" s="40" t="s">
        <v>4146</v>
      </c>
      <c r="V299" s="40" t="s">
        <v>393</v>
      </c>
      <c r="W299" s="40" t="s">
        <v>393</v>
      </c>
      <c r="X299" s="40" t="s">
        <v>393</v>
      </c>
      <c r="Y299" s="40" t="s">
        <v>3685</v>
      </c>
      <c r="Z299" s="40" t="s">
        <v>505</v>
      </c>
      <c r="AA299" s="40" t="s">
        <v>393</v>
      </c>
      <c r="AB299" s="40" t="s">
        <v>393</v>
      </c>
      <c r="AC299" s="40" t="s">
        <v>3685</v>
      </c>
      <c r="AD299" s="40" t="s">
        <v>490</v>
      </c>
      <c r="AE299" s="40" t="s">
        <v>696</v>
      </c>
      <c r="AF299" s="40" t="s">
        <v>2131</v>
      </c>
      <c r="AG299" s="40" t="s">
        <v>393</v>
      </c>
      <c r="AH299" s="40" t="s">
        <v>3085</v>
      </c>
      <c r="AI299" s="40" t="s">
        <v>305</v>
      </c>
      <c r="AJ299" s="40" t="s">
        <v>2734</v>
      </c>
      <c r="AK299" s="40" t="s">
        <v>2927</v>
      </c>
      <c r="AL299" s="40" t="s">
        <v>3341</v>
      </c>
      <c r="AM299" s="40" t="s">
        <v>393</v>
      </c>
      <c r="AN299" s="40" t="s">
        <v>393</v>
      </c>
      <c r="AO299" s="36" t="s">
        <v>393</v>
      </c>
    </row>
    <row r="300" spans="1:41">
      <c r="A300" s="40" t="s">
        <v>2677</v>
      </c>
      <c r="B300" s="40" t="s">
        <v>3433</v>
      </c>
      <c r="C300" s="40" t="s">
        <v>623</v>
      </c>
      <c r="D300" s="40" t="s">
        <v>4126</v>
      </c>
      <c r="E300" s="40" t="s">
        <v>1850</v>
      </c>
      <c r="F300" s="40" t="s">
        <v>2888</v>
      </c>
      <c r="G300" s="40" t="s">
        <v>393</v>
      </c>
      <c r="H300" s="40" t="s">
        <v>4149</v>
      </c>
      <c r="I300" s="40" t="s">
        <v>4150</v>
      </c>
      <c r="J300" s="40" t="s">
        <v>318</v>
      </c>
      <c r="K300" s="40" t="s">
        <v>318</v>
      </c>
      <c r="L300" s="40" t="s">
        <v>879</v>
      </c>
      <c r="M300" s="40" t="s">
        <v>393</v>
      </c>
      <c r="N300" s="40" t="s">
        <v>3681</v>
      </c>
      <c r="O300" s="40" t="s">
        <v>4129</v>
      </c>
      <c r="P300" s="40" t="s">
        <v>2685</v>
      </c>
      <c r="Q300" s="40" t="s">
        <v>2686</v>
      </c>
      <c r="R300" s="40" t="s">
        <v>4151</v>
      </c>
      <c r="S300" s="40" t="s">
        <v>4152</v>
      </c>
      <c r="T300" s="40" t="s">
        <v>393</v>
      </c>
      <c r="U300" s="40" t="s">
        <v>656</v>
      </c>
      <c r="V300" s="40" t="s">
        <v>393</v>
      </c>
      <c r="W300" s="40" t="s">
        <v>393</v>
      </c>
      <c r="X300" s="40" t="s">
        <v>393</v>
      </c>
      <c r="Y300" s="40" t="s">
        <v>3685</v>
      </c>
      <c r="Z300" s="40" t="s">
        <v>505</v>
      </c>
      <c r="AA300" s="40" t="s">
        <v>393</v>
      </c>
      <c r="AB300" s="40" t="s">
        <v>393</v>
      </c>
      <c r="AC300" s="40" t="s">
        <v>3685</v>
      </c>
      <c r="AD300" s="40" t="s">
        <v>490</v>
      </c>
      <c r="AE300" s="40" t="s">
        <v>562</v>
      </c>
      <c r="AF300" s="40" t="s">
        <v>598</v>
      </c>
      <c r="AG300" s="40" t="s">
        <v>393</v>
      </c>
      <c r="AH300" s="40" t="s">
        <v>2925</v>
      </c>
      <c r="AI300" s="40" t="s">
        <v>2813</v>
      </c>
      <c r="AJ300" s="40" t="s">
        <v>2842</v>
      </c>
      <c r="AK300" s="40" t="s">
        <v>412</v>
      </c>
      <c r="AL300" s="40" t="s">
        <v>2162</v>
      </c>
      <c r="AM300" s="40" t="s">
        <v>393</v>
      </c>
      <c r="AN300" s="40" t="s">
        <v>393</v>
      </c>
      <c r="AO300" s="36" t="s">
        <v>393</v>
      </c>
    </row>
    <row r="301" spans="1:41">
      <c r="A301" s="40" t="s">
        <v>2677</v>
      </c>
      <c r="B301" s="40" t="s">
        <v>3433</v>
      </c>
      <c r="C301" s="40" t="s">
        <v>623</v>
      </c>
      <c r="D301" s="40" t="s">
        <v>4126</v>
      </c>
      <c r="E301" s="40" t="s">
        <v>1850</v>
      </c>
      <c r="F301" s="40" t="s">
        <v>3623</v>
      </c>
      <c r="G301" s="40" t="s">
        <v>393</v>
      </c>
      <c r="H301" s="40" t="s">
        <v>4153</v>
      </c>
      <c r="I301" s="40" t="s">
        <v>4150</v>
      </c>
      <c r="J301" s="40" t="s">
        <v>318</v>
      </c>
      <c r="K301" s="40" t="s">
        <v>318</v>
      </c>
      <c r="L301" s="40" t="s">
        <v>879</v>
      </c>
      <c r="M301" s="40" t="s">
        <v>393</v>
      </c>
      <c r="N301" s="40" t="s">
        <v>3681</v>
      </c>
      <c r="O301" s="40" t="s">
        <v>4129</v>
      </c>
      <c r="P301" s="40" t="s">
        <v>2685</v>
      </c>
      <c r="Q301" s="40" t="s">
        <v>2686</v>
      </c>
      <c r="R301" s="40" t="s">
        <v>672</v>
      </c>
      <c r="S301" s="40" t="s">
        <v>4011</v>
      </c>
      <c r="T301" s="40" t="s">
        <v>393</v>
      </c>
      <c r="U301" s="40" t="s">
        <v>452</v>
      </c>
      <c r="V301" s="40" t="s">
        <v>393</v>
      </c>
      <c r="W301" s="40" t="s">
        <v>393</v>
      </c>
      <c r="X301" s="40" t="s">
        <v>393</v>
      </c>
      <c r="Y301" s="40" t="s">
        <v>3685</v>
      </c>
      <c r="Z301" s="40" t="s">
        <v>505</v>
      </c>
      <c r="AA301" s="40" t="s">
        <v>393</v>
      </c>
      <c r="AB301" s="40" t="s">
        <v>393</v>
      </c>
      <c r="AC301" s="40" t="s">
        <v>3685</v>
      </c>
      <c r="AD301" s="40" t="s">
        <v>490</v>
      </c>
      <c r="AE301" s="40" t="s">
        <v>380</v>
      </c>
      <c r="AF301" s="40" t="s">
        <v>435</v>
      </c>
      <c r="AG301" s="40" t="s">
        <v>393</v>
      </c>
      <c r="AH301" s="40" t="s">
        <v>1938</v>
      </c>
      <c r="AI301" s="40" t="s">
        <v>2925</v>
      </c>
      <c r="AJ301" s="40" t="s">
        <v>3301</v>
      </c>
      <c r="AK301" s="40" t="s">
        <v>527</v>
      </c>
      <c r="AL301" s="40" t="s">
        <v>562</v>
      </c>
      <c r="AM301" s="40" t="s">
        <v>393</v>
      </c>
      <c r="AN301" s="40" t="s">
        <v>393</v>
      </c>
      <c r="AO301" s="36" t="s">
        <v>393</v>
      </c>
    </row>
    <row r="302" spans="1:41">
      <c r="A302" s="40" t="s">
        <v>2677</v>
      </c>
      <c r="B302" s="40" t="s">
        <v>3433</v>
      </c>
      <c r="C302" s="40" t="s">
        <v>623</v>
      </c>
      <c r="D302" s="40" t="s">
        <v>4126</v>
      </c>
      <c r="E302" s="40" t="s">
        <v>1850</v>
      </c>
      <c r="F302" s="40" t="s">
        <v>3625</v>
      </c>
      <c r="G302" s="40" t="s">
        <v>393</v>
      </c>
      <c r="H302" s="40" t="s">
        <v>4154</v>
      </c>
      <c r="I302" s="40" t="s">
        <v>4155</v>
      </c>
      <c r="J302" s="40" t="s">
        <v>318</v>
      </c>
      <c r="K302" s="40" t="s">
        <v>318</v>
      </c>
      <c r="L302" s="40" t="s">
        <v>879</v>
      </c>
      <c r="M302" s="40" t="s">
        <v>393</v>
      </c>
      <c r="N302" s="40" t="s">
        <v>3681</v>
      </c>
      <c r="O302" s="40" t="s">
        <v>4129</v>
      </c>
      <c r="P302" s="40" t="s">
        <v>2685</v>
      </c>
      <c r="Q302" s="40" t="s">
        <v>2686</v>
      </c>
      <c r="R302" s="40" t="s">
        <v>536</v>
      </c>
      <c r="S302" s="40" t="s">
        <v>4016</v>
      </c>
      <c r="T302" s="40" t="s">
        <v>393</v>
      </c>
      <c r="U302" s="40" t="s">
        <v>330</v>
      </c>
      <c r="V302" s="40" t="s">
        <v>393</v>
      </c>
      <c r="W302" s="40" t="s">
        <v>393</v>
      </c>
      <c r="X302" s="40" t="s">
        <v>393</v>
      </c>
      <c r="Y302" s="40" t="s">
        <v>3685</v>
      </c>
      <c r="Z302" s="40" t="s">
        <v>505</v>
      </c>
      <c r="AA302" s="40" t="s">
        <v>393</v>
      </c>
      <c r="AB302" s="40" t="s">
        <v>393</v>
      </c>
      <c r="AC302" s="40" t="s">
        <v>3685</v>
      </c>
      <c r="AD302" s="40" t="s">
        <v>490</v>
      </c>
      <c r="AE302" s="40" t="s">
        <v>2831</v>
      </c>
      <c r="AF302" s="40" t="s">
        <v>327</v>
      </c>
      <c r="AG302" s="40" t="s">
        <v>393</v>
      </c>
      <c r="AH302" s="40" t="s">
        <v>354</v>
      </c>
      <c r="AI302" s="40" t="s">
        <v>1938</v>
      </c>
      <c r="AJ302" s="40" t="s">
        <v>2925</v>
      </c>
      <c r="AK302" s="40" t="s">
        <v>442</v>
      </c>
      <c r="AL302" s="40" t="s">
        <v>458</v>
      </c>
      <c r="AM302" s="40" t="s">
        <v>393</v>
      </c>
      <c r="AN302" s="40" t="s">
        <v>393</v>
      </c>
      <c r="AO302" s="36" t="s">
        <v>393</v>
      </c>
    </row>
    <row r="303" spans="1:41">
      <c r="A303" s="40" t="s">
        <v>2677</v>
      </c>
      <c r="B303" s="40" t="s">
        <v>3433</v>
      </c>
      <c r="C303" s="40" t="s">
        <v>623</v>
      </c>
      <c r="D303" s="40" t="s">
        <v>4126</v>
      </c>
      <c r="E303" s="40" t="s">
        <v>1850</v>
      </c>
      <c r="F303" s="40" t="s">
        <v>3715</v>
      </c>
      <c r="G303" s="40" t="s">
        <v>393</v>
      </c>
      <c r="H303" s="40" t="s">
        <v>4156</v>
      </c>
      <c r="I303" s="40" t="s">
        <v>4157</v>
      </c>
      <c r="J303" s="40" t="s">
        <v>318</v>
      </c>
      <c r="K303" s="40" t="s">
        <v>318</v>
      </c>
      <c r="L303" s="40" t="s">
        <v>879</v>
      </c>
      <c r="M303" s="40" t="s">
        <v>393</v>
      </c>
      <c r="N303" s="40" t="s">
        <v>3681</v>
      </c>
      <c r="O303" s="40" t="s">
        <v>4129</v>
      </c>
      <c r="P303" s="40" t="s">
        <v>2685</v>
      </c>
      <c r="Q303" s="40" t="s">
        <v>2686</v>
      </c>
      <c r="R303" s="40" t="s">
        <v>3994</v>
      </c>
      <c r="S303" s="40" t="s">
        <v>4158</v>
      </c>
      <c r="T303" s="40" t="s">
        <v>393</v>
      </c>
      <c r="U303" s="40" t="s">
        <v>468</v>
      </c>
      <c r="V303" s="40" t="s">
        <v>393</v>
      </c>
      <c r="W303" s="40" t="s">
        <v>393</v>
      </c>
      <c r="X303" s="40" t="s">
        <v>393</v>
      </c>
      <c r="Y303" s="40" t="s">
        <v>3685</v>
      </c>
      <c r="Z303" s="40" t="s">
        <v>505</v>
      </c>
      <c r="AA303" s="40" t="s">
        <v>393</v>
      </c>
      <c r="AB303" s="40" t="s">
        <v>393</v>
      </c>
      <c r="AC303" s="40" t="s">
        <v>3685</v>
      </c>
      <c r="AD303" s="40" t="s">
        <v>490</v>
      </c>
      <c r="AE303" s="40" t="s">
        <v>438</v>
      </c>
      <c r="AF303" s="40" t="s">
        <v>448</v>
      </c>
      <c r="AG303" s="40" t="s">
        <v>393</v>
      </c>
      <c r="AH303" s="40" t="s">
        <v>1938</v>
      </c>
      <c r="AI303" s="40" t="s">
        <v>2813</v>
      </c>
      <c r="AJ303" s="40" t="s">
        <v>305</v>
      </c>
      <c r="AK303" s="40" t="s">
        <v>580</v>
      </c>
      <c r="AL303" s="40" t="s">
        <v>412</v>
      </c>
      <c r="AM303" s="40" t="s">
        <v>393</v>
      </c>
      <c r="AN303" s="40" t="s">
        <v>393</v>
      </c>
      <c r="AO303" s="36" t="s">
        <v>393</v>
      </c>
    </row>
    <row r="304" spans="1:41">
      <c r="A304" s="40" t="s">
        <v>2677</v>
      </c>
      <c r="B304" s="40" t="s">
        <v>3433</v>
      </c>
      <c r="C304" s="40" t="s">
        <v>623</v>
      </c>
      <c r="D304" s="40" t="s">
        <v>4126</v>
      </c>
      <c r="E304" s="40" t="s">
        <v>1850</v>
      </c>
      <c r="F304" s="40" t="s">
        <v>3717</v>
      </c>
      <c r="G304" s="40" t="s">
        <v>393</v>
      </c>
      <c r="H304" s="40" t="s">
        <v>4159</v>
      </c>
      <c r="I304" s="40" t="s">
        <v>4160</v>
      </c>
      <c r="J304" s="40" t="s">
        <v>318</v>
      </c>
      <c r="K304" s="40" t="s">
        <v>318</v>
      </c>
      <c r="L304" s="40" t="s">
        <v>879</v>
      </c>
      <c r="M304" s="40" t="s">
        <v>393</v>
      </c>
      <c r="N304" s="40" t="s">
        <v>3681</v>
      </c>
      <c r="O304" s="40" t="s">
        <v>4129</v>
      </c>
      <c r="P304" s="40" t="s">
        <v>2685</v>
      </c>
      <c r="Q304" s="40" t="s">
        <v>2686</v>
      </c>
      <c r="R304" s="40" t="s">
        <v>3994</v>
      </c>
      <c r="S304" s="40" t="s">
        <v>4158</v>
      </c>
      <c r="T304" s="40" t="s">
        <v>393</v>
      </c>
      <c r="U304" s="40" t="s">
        <v>468</v>
      </c>
      <c r="V304" s="40" t="s">
        <v>393</v>
      </c>
      <c r="W304" s="40" t="s">
        <v>393</v>
      </c>
      <c r="X304" s="40" t="s">
        <v>393</v>
      </c>
      <c r="Y304" s="40" t="s">
        <v>3685</v>
      </c>
      <c r="Z304" s="40" t="s">
        <v>505</v>
      </c>
      <c r="AA304" s="40" t="s">
        <v>393</v>
      </c>
      <c r="AB304" s="40" t="s">
        <v>393</v>
      </c>
      <c r="AC304" s="40" t="s">
        <v>3685</v>
      </c>
      <c r="AD304" s="40" t="s">
        <v>490</v>
      </c>
      <c r="AE304" s="40" t="s">
        <v>438</v>
      </c>
      <c r="AF304" s="40" t="s">
        <v>448</v>
      </c>
      <c r="AG304" s="40" t="s">
        <v>393</v>
      </c>
      <c r="AH304" s="40" t="s">
        <v>1938</v>
      </c>
      <c r="AI304" s="40" t="s">
        <v>2813</v>
      </c>
      <c r="AJ304" s="40" t="s">
        <v>305</v>
      </c>
      <c r="AK304" s="40" t="s">
        <v>580</v>
      </c>
      <c r="AL304" s="40" t="s">
        <v>412</v>
      </c>
      <c r="AM304" s="40" t="s">
        <v>393</v>
      </c>
      <c r="AN304" s="40" t="s">
        <v>393</v>
      </c>
      <c r="AO304" s="36" t="s">
        <v>393</v>
      </c>
    </row>
    <row r="305" spans="1:41">
      <c r="A305" s="40" t="s">
        <v>2677</v>
      </c>
      <c r="B305" s="40" t="s">
        <v>3433</v>
      </c>
      <c r="C305" s="40" t="s">
        <v>623</v>
      </c>
      <c r="D305" s="40" t="s">
        <v>4126</v>
      </c>
      <c r="E305" s="40" t="s">
        <v>1850</v>
      </c>
      <c r="F305" s="40" t="s">
        <v>3720</v>
      </c>
      <c r="G305" s="40" t="s">
        <v>393</v>
      </c>
      <c r="H305" s="40" t="s">
        <v>4161</v>
      </c>
      <c r="I305" s="40" t="s">
        <v>4162</v>
      </c>
      <c r="J305" s="40" t="s">
        <v>318</v>
      </c>
      <c r="K305" s="40" t="s">
        <v>318</v>
      </c>
      <c r="L305" s="40" t="s">
        <v>879</v>
      </c>
      <c r="M305" s="40" t="s">
        <v>393</v>
      </c>
      <c r="N305" s="40" t="s">
        <v>3681</v>
      </c>
      <c r="O305" s="40" t="s">
        <v>4129</v>
      </c>
      <c r="P305" s="40" t="s">
        <v>2685</v>
      </c>
      <c r="Q305" s="40" t="s">
        <v>2686</v>
      </c>
      <c r="R305" s="40" t="s">
        <v>4028</v>
      </c>
      <c r="S305" s="40" t="s">
        <v>4029</v>
      </c>
      <c r="T305" s="40" t="s">
        <v>393</v>
      </c>
      <c r="U305" s="40" t="s">
        <v>4163</v>
      </c>
      <c r="V305" s="40" t="s">
        <v>393</v>
      </c>
      <c r="W305" s="40" t="s">
        <v>393</v>
      </c>
      <c r="X305" s="40" t="s">
        <v>393</v>
      </c>
      <c r="Y305" s="40" t="s">
        <v>3685</v>
      </c>
      <c r="Z305" s="40" t="s">
        <v>505</v>
      </c>
      <c r="AA305" s="40" t="s">
        <v>393</v>
      </c>
      <c r="AB305" s="40" t="s">
        <v>393</v>
      </c>
      <c r="AC305" s="40" t="s">
        <v>3685</v>
      </c>
      <c r="AD305" s="40" t="s">
        <v>490</v>
      </c>
      <c r="AE305" s="40" t="s">
        <v>349</v>
      </c>
      <c r="AF305" s="40" t="s">
        <v>365</v>
      </c>
      <c r="AG305" s="40" t="s">
        <v>393</v>
      </c>
      <c r="AH305" s="40" t="s">
        <v>2925</v>
      </c>
      <c r="AI305" s="40" t="s">
        <v>1938</v>
      </c>
      <c r="AJ305" s="40" t="s">
        <v>3085</v>
      </c>
      <c r="AK305" s="40" t="s">
        <v>532</v>
      </c>
      <c r="AL305" s="40" t="s">
        <v>580</v>
      </c>
      <c r="AM305" s="40" t="s">
        <v>393</v>
      </c>
      <c r="AN305" s="40" t="s">
        <v>393</v>
      </c>
      <c r="AO305" s="36" t="s">
        <v>393</v>
      </c>
    </row>
    <row r="306" spans="1:41" hidden="1">
      <c r="A306" s="40" t="s">
        <v>2677</v>
      </c>
      <c r="B306" s="40" t="s">
        <v>393</v>
      </c>
      <c r="C306" s="40" t="s">
        <v>623</v>
      </c>
      <c r="D306" s="40" t="s">
        <v>4164</v>
      </c>
      <c r="E306" s="40" t="s">
        <v>656</v>
      </c>
      <c r="F306" s="40" t="s">
        <v>2680</v>
      </c>
      <c r="G306" s="40" t="s">
        <v>393</v>
      </c>
      <c r="H306" s="40" t="s">
        <v>4165</v>
      </c>
      <c r="I306" s="40" t="s">
        <v>4166</v>
      </c>
      <c r="J306" s="40" t="s">
        <v>305</v>
      </c>
      <c r="K306" s="40" t="s">
        <v>305</v>
      </c>
      <c r="L306" s="40" t="s">
        <v>393</v>
      </c>
      <c r="M306" s="40" t="s">
        <v>393</v>
      </c>
      <c r="N306" s="40" t="s">
        <v>2683</v>
      </c>
      <c r="O306" s="40" t="s">
        <v>4167</v>
      </c>
      <c r="P306" s="40" t="s">
        <v>393</v>
      </c>
      <c r="Q306" s="40" t="s">
        <v>393</v>
      </c>
      <c r="R306" s="40" t="s">
        <v>471</v>
      </c>
      <c r="S306" s="40" t="s">
        <v>4034</v>
      </c>
      <c r="T306" s="40" t="s">
        <v>393</v>
      </c>
      <c r="U306" s="40" t="s">
        <v>305</v>
      </c>
      <c r="V306" s="40" t="s">
        <v>393</v>
      </c>
      <c r="W306" s="40" t="s">
        <v>393</v>
      </c>
      <c r="X306" s="40" t="s">
        <v>393</v>
      </c>
      <c r="Y306" s="40" t="s">
        <v>3685</v>
      </c>
      <c r="Z306" s="40" t="s">
        <v>505</v>
      </c>
      <c r="AA306" s="40" t="s">
        <v>393</v>
      </c>
      <c r="AB306" s="40" t="s">
        <v>393</v>
      </c>
      <c r="AC306" s="40" t="s">
        <v>3685</v>
      </c>
      <c r="AD306" s="40" t="s">
        <v>490</v>
      </c>
      <c r="AE306" s="40" t="s">
        <v>305</v>
      </c>
      <c r="AF306" s="40" t="s">
        <v>3983</v>
      </c>
      <c r="AG306" s="40" t="s">
        <v>393</v>
      </c>
      <c r="AH306" s="40" t="s">
        <v>354</v>
      </c>
      <c r="AI306" s="40" t="s">
        <v>354</v>
      </c>
      <c r="AJ306" s="40" t="s">
        <v>2925</v>
      </c>
      <c r="AK306" s="40" t="s">
        <v>359</v>
      </c>
      <c r="AL306" s="40" t="s">
        <v>490</v>
      </c>
      <c r="AM306" s="40" t="s">
        <v>393</v>
      </c>
      <c r="AN306" s="40" t="s">
        <v>393</v>
      </c>
      <c r="AO306" s="36" t="s">
        <v>4168</v>
      </c>
    </row>
    <row r="307" spans="1:41" ht="27.6" hidden="1">
      <c r="A307" s="40" t="s">
        <v>2677</v>
      </c>
      <c r="B307" s="40" t="s">
        <v>393</v>
      </c>
      <c r="C307" s="40" t="s">
        <v>623</v>
      </c>
      <c r="D307" s="40" t="s">
        <v>4164</v>
      </c>
      <c r="E307" s="40" t="s">
        <v>656</v>
      </c>
      <c r="F307" s="40" t="s">
        <v>2782</v>
      </c>
      <c r="G307" s="40" t="s">
        <v>393</v>
      </c>
      <c r="H307" s="40" t="s">
        <v>4169</v>
      </c>
      <c r="I307" s="40" t="s">
        <v>4170</v>
      </c>
      <c r="J307" s="40" t="s">
        <v>305</v>
      </c>
      <c r="K307" s="40" t="s">
        <v>305</v>
      </c>
      <c r="L307" s="40" t="s">
        <v>393</v>
      </c>
      <c r="M307" s="40" t="s">
        <v>393</v>
      </c>
      <c r="N307" s="40" t="s">
        <v>2683</v>
      </c>
      <c r="O307" s="40" t="s">
        <v>4167</v>
      </c>
      <c r="P307" s="40" t="s">
        <v>393</v>
      </c>
      <c r="Q307" s="40" t="s">
        <v>393</v>
      </c>
      <c r="R307" s="40" t="s">
        <v>393</v>
      </c>
      <c r="S307" s="40" t="s">
        <v>393</v>
      </c>
      <c r="T307" s="40" t="s">
        <v>393</v>
      </c>
      <c r="U307" s="40" t="s">
        <v>393</v>
      </c>
      <c r="V307" s="40" t="s">
        <v>393</v>
      </c>
      <c r="W307" s="40" t="s">
        <v>393</v>
      </c>
      <c r="X307" s="40" t="s">
        <v>393</v>
      </c>
      <c r="Y307" s="40" t="s">
        <v>393</v>
      </c>
      <c r="Z307" s="40" t="s">
        <v>393</v>
      </c>
      <c r="AA307" s="40" t="s">
        <v>393</v>
      </c>
      <c r="AB307" s="40" t="s">
        <v>393</v>
      </c>
      <c r="AC307" s="40" t="s">
        <v>393</v>
      </c>
      <c r="AD307" s="40" t="s">
        <v>393</v>
      </c>
      <c r="AE307" s="40" t="s">
        <v>393</v>
      </c>
      <c r="AF307" s="40" t="s">
        <v>393</v>
      </c>
      <c r="AG307" s="40" t="s">
        <v>393</v>
      </c>
      <c r="AH307" s="40" t="s">
        <v>393</v>
      </c>
      <c r="AI307" s="40" t="s">
        <v>393</v>
      </c>
      <c r="AJ307" s="40" t="s">
        <v>393</v>
      </c>
      <c r="AK307" s="40" t="s">
        <v>393</v>
      </c>
      <c r="AL307" s="40" t="s">
        <v>393</v>
      </c>
      <c r="AM307" s="40" t="s">
        <v>393</v>
      </c>
      <c r="AN307" s="40" t="s">
        <v>393</v>
      </c>
      <c r="AO307" s="36" t="s">
        <v>4171</v>
      </c>
    </row>
    <row r="308" spans="1:41" hidden="1">
      <c r="A308" s="40" t="s">
        <v>2677</v>
      </c>
      <c r="B308" s="40" t="s">
        <v>393</v>
      </c>
      <c r="C308" s="40" t="s">
        <v>623</v>
      </c>
      <c r="D308" s="40" t="s">
        <v>4164</v>
      </c>
      <c r="E308" s="40" t="s">
        <v>656</v>
      </c>
      <c r="F308" s="40" t="s">
        <v>2740</v>
      </c>
      <c r="G308" s="40" t="s">
        <v>393</v>
      </c>
      <c r="H308" s="40" t="s">
        <v>4172</v>
      </c>
      <c r="I308" s="40" t="s">
        <v>4173</v>
      </c>
      <c r="J308" s="40" t="s">
        <v>305</v>
      </c>
      <c r="K308" s="40" t="s">
        <v>305</v>
      </c>
      <c r="L308" s="40" t="s">
        <v>393</v>
      </c>
      <c r="M308" s="40" t="s">
        <v>393</v>
      </c>
      <c r="N308" s="40" t="s">
        <v>2683</v>
      </c>
      <c r="O308" s="40" t="s">
        <v>4167</v>
      </c>
      <c r="P308" s="40" t="s">
        <v>393</v>
      </c>
      <c r="Q308" s="40" t="s">
        <v>393</v>
      </c>
      <c r="R308" s="40" t="s">
        <v>393</v>
      </c>
      <c r="S308" s="40" t="s">
        <v>393</v>
      </c>
      <c r="T308" s="40" t="s">
        <v>393</v>
      </c>
      <c r="U308" s="40" t="s">
        <v>393</v>
      </c>
      <c r="V308" s="40" t="s">
        <v>393</v>
      </c>
      <c r="W308" s="40" t="s">
        <v>393</v>
      </c>
      <c r="X308" s="40" t="s">
        <v>393</v>
      </c>
      <c r="Y308" s="40" t="s">
        <v>393</v>
      </c>
      <c r="Z308" s="40" t="s">
        <v>393</v>
      </c>
      <c r="AA308" s="40" t="s">
        <v>393</v>
      </c>
      <c r="AB308" s="40" t="s">
        <v>393</v>
      </c>
      <c r="AC308" s="40" t="s">
        <v>393</v>
      </c>
      <c r="AD308" s="40" t="s">
        <v>393</v>
      </c>
      <c r="AE308" s="40" t="s">
        <v>393</v>
      </c>
      <c r="AF308" s="40" t="s">
        <v>393</v>
      </c>
      <c r="AG308" s="40" t="s">
        <v>393</v>
      </c>
      <c r="AH308" s="40" t="s">
        <v>393</v>
      </c>
      <c r="AI308" s="40" t="s">
        <v>393</v>
      </c>
      <c r="AJ308" s="40" t="s">
        <v>393</v>
      </c>
      <c r="AK308" s="40" t="s">
        <v>393</v>
      </c>
      <c r="AL308" s="40" t="s">
        <v>393</v>
      </c>
      <c r="AM308" s="40" t="s">
        <v>393</v>
      </c>
      <c r="AN308" s="40" t="s">
        <v>393</v>
      </c>
      <c r="AO308" s="36" t="s">
        <v>4168</v>
      </c>
    </row>
    <row r="309" spans="1:41" hidden="1">
      <c r="A309" s="40" t="s">
        <v>2677</v>
      </c>
      <c r="B309" s="40" t="s">
        <v>393</v>
      </c>
      <c r="C309" s="40" t="s">
        <v>623</v>
      </c>
      <c r="D309" s="40" t="s">
        <v>4174</v>
      </c>
      <c r="E309" s="40" t="s">
        <v>656</v>
      </c>
      <c r="F309" s="40" t="s">
        <v>2680</v>
      </c>
      <c r="G309" s="40" t="s">
        <v>393</v>
      </c>
      <c r="H309" s="40" t="s">
        <v>2547</v>
      </c>
      <c r="I309" s="55" t="s">
        <v>4175</v>
      </c>
      <c r="J309" s="40" t="s">
        <v>305</v>
      </c>
      <c r="K309" s="40" t="s">
        <v>305</v>
      </c>
      <c r="L309" s="40" t="s">
        <v>393</v>
      </c>
      <c r="M309" s="40" t="s">
        <v>393</v>
      </c>
      <c r="N309" s="40" t="s">
        <v>2683</v>
      </c>
      <c r="O309" s="40" t="s">
        <v>4167</v>
      </c>
      <c r="P309" s="40" t="s">
        <v>393</v>
      </c>
      <c r="Q309" s="40" t="s">
        <v>393</v>
      </c>
      <c r="R309" s="120" t="s">
        <v>4176</v>
      </c>
      <c r="S309" s="40" t="s">
        <v>393</v>
      </c>
      <c r="T309" s="40" t="s">
        <v>393</v>
      </c>
      <c r="U309" s="40" t="s">
        <v>393</v>
      </c>
      <c r="V309" s="40" t="s">
        <v>393</v>
      </c>
      <c r="W309" s="40" t="s">
        <v>393</v>
      </c>
      <c r="X309" s="40" t="s">
        <v>393</v>
      </c>
      <c r="Y309" s="40" t="s">
        <v>393</v>
      </c>
      <c r="Z309" s="40" t="s">
        <v>393</v>
      </c>
      <c r="AA309" s="40" t="s">
        <v>393</v>
      </c>
      <c r="AB309" s="40" t="s">
        <v>393</v>
      </c>
      <c r="AC309" s="40" t="s">
        <v>393</v>
      </c>
      <c r="AD309" s="40" t="s">
        <v>393</v>
      </c>
      <c r="AE309" s="40" t="s">
        <v>393</v>
      </c>
      <c r="AF309" s="40" t="s">
        <v>393</v>
      </c>
      <c r="AG309" s="40" t="s">
        <v>393</v>
      </c>
      <c r="AH309" s="40" t="s">
        <v>393</v>
      </c>
      <c r="AI309" s="40" t="s">
        <v>393</v>
      </c>
      <c r="AJ309" s="40" t="s">
        <v>393</v>
      </c>
      <c r="AK309" s="40" t="s">
        <v>393</v>
      </c>
      <c r="AL309" s="40" t="s">
        <v>393</v>
      </c>
      <c r="AM309" s="40" t="s">
        <v>393</v>
      </c>
      <c r="AN309" s="40" t="s">
        <v>393</v>
      </c>
      <c r="AO309" s="36" t="s">
        <v>4168</v>
      </c>
    </row>
    <row r="310" spans="1:41" hidden="1">
      <c r="A310" s="40" t="s">
        <v>2677</v>
      </c>
      <c r="B310" s="40" t="s">
        <v>393</v>
      </c>
      <c r="C310" s="40" t="s">
        <v>623</v>
      </c>
      <c r="D310" s="40" t="s">
        <v>4174</v>
      </c>
      <c r="E310" s="40" t="s">
        <v>656</v>
      </c>
      <c r="F310" s="40" t="s">
        <v>2782</v>
      </c>
      <c r="G310" s="40" t="s">
        <v>393</v>
      </c>
      <c r="H310" s="40" t="s">
        <v>1339</v>
      </c>
      <c r="I310" s="55" t="s">
        <v>4177</v>
      </c>
      <c r="J310" s="40" t="s">
        <v>305</v>
      </c>
      <c r="K310" s="40" t="s">
        <v>305</v>
      </c>
      <c r="L310" s="40" t="s">
        <v>393</v>
      </c>
      <c r="M310" s="40" t="s">
        <v>393</v>
      </c>
      <c r="N310" s="40" t="s">
        <v>2683</v>
      </c>
      <c r="O310" s="40" t="s">
        <v>4167</v>
      </c>
      <c r="P310" s="40" t="s">
        <v>393</v>
      </c>
      <c r="Q310" s="40" t="s">
        <v>393</v>
      </c>
      <c r="R310" s="120" t="s">
        <v>4176</v>
      </c>
      <c r="S310" s="40" t="s">
        <v>393</v>
      </c>
      <c r="T310" s="40" t="s">
        <v>393</v>
      </c>
      <c r="U310" s="40" t="s">
        <v>393</v>
      </c>
      <c r="V310" s="40" t="s">
        <v>393</v>
      </c>
      <c r="W310" s="40" t="s">
        <v>393</v>
      </c>
      <c r="X310" s="40" t="s">
        <v>393</v>
      </c>
      <c r="Y310" s="40" t="s">
        <v>393</v>
      </c>
      <c r="Z310" s="40" t="s">
        <v>393</v>
      </c>
      <c r="AA310" s="40" t="s">
        <v>393</v>
      </c>
      <c r="AB310" s="40" t="s">
        <v>393</v>
      </c>
      <c r="AC310" s="40" t="s">
        <v>393</v>
      </c>
      <c r="AD310" s="40" t="s">
        <v>393</v>
      </c>
      <c r="AE310" s="40" t="s">
        <v>393</v>
      </c>
      <c r="AF310" s="40" t="s">
        <v>393</v>
      </c>
      <c r="AG310" s="40" t="s">
        <v>393</v>
      </c>
      <c r="AH310" s="40" t="s">
        <v>393</v>
      </c>
      <c r="AI310" s="40" t="s">
        <v>393</v>
      </c>
      <c r="AJ310" s="40" t="s">
        <v>393</v>
      </c>
      <c r="AK310" s="40" t="s">
        <v>393</v>
      </c>
      <c r="AL310" s="40" t="s">
        <v>393</v>
      </c>
      <c r="AM310" s="40" t="s">
        <v>393</v>
      </c>
      <c r="AN310" s="40" t="s">
        <v>393</v>
      </c>
      <c r="AO310" s="36" t="s">
        <v>4168</v>
      </c>
    </row>
    <row r="311" spans="1:41" hidden="1">
      <c r="A311" s="40" t="s">
        <v>2677</v>
      </c>
      <c r="B311" s="40" t="s">
        <v>393</v>
      </c>
      <c r="C311" s="40" t="s">
        <v>623</v>
      </c>
      <c r="D311" s="40" t="s">
        <v>4174</v>
      </c>
      <c r="E311" s="40" t="s">
        <v>656</v>
      </c>
      <c r="F311" s="40" t="s">
        <v>2740</v>
      </c>
      <c r="G311" s="40" t="s">
        <v>393</v>
      </c>
      <c r="H311" s="40" t="s">
        <v>1341</v>
      </c>
      <c r="I311" s="55" t="s">
        <v>4178</v>
      </c>
      <c r="J311" s="40" t="s">
        <v>305</v>
      </c>
      <c r="K311" s="40" t="s">
        <v>305</v>
      </c>
      <c r="L311" s="40" t="s">
        <v>393</v>
      </c>
      <c r="M311" s="40" t="s">
        <v>393</v>
      </c>
      <c r="N311" s="40" t="s">
        <v>2683</v>
      </c>
      <c r="O311" s="40" t="s">
        <v>4167</v>
      </c>
      <c r="P311" s="40" t="s">
        <v>393</v>
      </c>
      <c r="Q311" s="40" t="s">
        <v>393</v>
      </c>
      <c r="R311" s="120" t="s">
        <v>4176</v>
      </c>
      <c r="S311" s="40" t="s">
        <v>393</v>
      </c>
      <c r="T311" s="40" t="s">
        <v>393</v>
      </c>
      <c r="U311" s="40" t="s">
        <v>393</v>
      </c>
      <c r="V311" s="40" t="s">
        <v>393</v>
      </c>
      <c r="W311" s="40" t="s">
        <v>393</v>
      </c>
      <c r="X311" s="40" t="s">
        <v>393</v>
      </c>
      <c r="Y311" s="40" t="s">
        <v>393</v>
      </c>
      <c r="Z311" s="40" t="s">
        <v>393</v>
      </c>
      <c r="AA311" s="40" t="s">
        <v>393</v>
      </c>
      <c r="AB311" s="40" t="s">
        <v>393</v>
      </c>
      <c r="AC311" s="40" t="s">
        <v>393</v>
      </c>
      <c r="AD311" s="40" t="s">
        <v>393</v>
      </c>
      <c r="AE311" s="40" t="s">
        <v>393</v>
      </c>
      <c r="AF311" s="40" t="s">
        <v>393</v>
      </c>
      <c r="AG311" s="40" t="s">
        <v>393</v>
      </c>
      <c r="AH311" s="40" t="s">
        <v>393</v>
      </c>
      <c r="AI311" s="40" t="s">
        <v>393</v>
      </c>
      <c r="AJ311" s="40" t="s">
        <v>393</v>
      </c>
      <c r="AK311" s="40" t="s">
        <v>393</v>
      </c>
      <c r="AL311" s="40" t="s">
        <v>393</v>
      </c>
      <c r="AM311" s="40" t="s">
        <v>393</v>
      </c>
      <c r="AN311" s="40" t="s">
        <v>393</v>
      </c>
      <c r="AO311" s="36" t="s">
        <v>4168</v>
      </c>
    </row>
    <row r="312" spans="1:41" ht="27.6" hidden="1">
      <c r="A312" s="40" t="s">
        <v>2677</v>
      </c>
      <c r="B312" s="40" t="s">
        <v>393</v>
      </c>
      <c r="C312" s="40" t="s">
        <v>623</v>
      </c>
      <c r="D312" s="40" t="s">
        <v>4179</v>
      </c>
      <c r="E312" s="40" t="s">
        <v>656</v>
      </c>
      <c r="F312" s="40" t="s">
        <v>2680</v>
      </c>
      <c r="G312" s="40" t="s">
        <v>393</v>
      </c>
      <c r="H312" s="40" t="s">
        <v>4180</v>
      </c>
      <c r="I312" s="40" t="s">
        <v>4181</v>
      </c>
      <c r="J312" s="40" t="s">
        <v>305</v>
      </c>
      <c r="K312" s="40" t="s">
        <v>305</v>
      </c>
      <c r="L312" s="40" t="s">
        <v>393</v>
      </c>
      <c r="M312" s="40" t="s">
        <v>393</v>
      </c>
      <c r="N312" s="40" t="s">
        <v>2683</v>
      </c>
      <c r="O312" s="40" t="s">
        <v>4167</v>
      </c>
      <c r="P312" s="40" t="s">
        <v>393</v>
      </c>
      <c r="Q312" s="40" t="s">
        <v>393</v>
      </c>
      <c r="R312" s="40" t="s">
        <v>393</v>
      </c>
      <c r="S312" s="40" t="s">
        <v>393</v>
      </c>
      <c r="T312" s="40" t="s">
        <v>393</v>
      </c>
      <c r="U312" s="40" t="s">
        <v>393</v>
      </c>
      <c r="V312" s="40" t="s">
        <v>393</v>
      </c>
      <c r="W312" s="40" t="s">
        <v>393</v>
      </c>
      <c r="X312" s="40" t="s">
        <v>393</v>
      </c>
      <c r="Y312" s="40" t="s">
        <v>393</v>
      </c>
      <c r="Z312" s="40" t="s">
        <v>393</v>
      </c>
      <c r="AA312" s="40" t="s">
        <v>393</v>
      </c>
      <c r="AB312" s="40" t="s">
        <v>393</v>
      </c>
      <c r="AC312" s="40" t="s">
        <v>393</v>
      </c>
      <c r="AD312" s="40" t="s">
        <v>393</v>
      </c>
      <c r="AE312" s="40" t="s">
        <v>393</v>
      </c>
      <c r="AF312" s="40" t="s">
        <v>393</v>
      </c>
      <c r="AG312" s="40" t="s">
        <v>393</v>
      </c>
      <c r="AH312" s="40" t="s">
        <v>393</v>
      </c>
      <c r="AI312" s="40" t="s">
        <v>393</v>
      </c>
      <c r="AJ312" s="40" t="s">
        <v>393</v>
      </c>
      <c r="AK312" s="40" t="s">
        <v>393</v>
      </c>
      <c r="AL312" s="40" t="s">
        <v>393</v>
      </c>
      <c r="AM312" s="40" t="s">
        <v>393</v>
      </c>
      <c r="AN312" s="40" t="s">
        <v>393</v>
      </c>
      <c r="AO312" s="36" t="s">
        <v>4182</v>
      </c>
    </row>
    <row r="313" spans="1:41" ht="27.6" hidden="1">
      <c r="A313" s="40" t="s">
        <v>2677</v>
      </c>
      <c r="B313" s="40" t="s">
        <v>393</v>
      </c>
      <c r="C313" s="40" t="s">
        <v>623</v>
      </c>
      <c r="D313" s="40" t="s">
        <v>4179</v>
      </c>
      <c r="E313" s="40" t="s">
        <v>656</v>
      </c>
      <c r="F313" s="40" t="s">
        <v>2782</v>
      </c>
      <c r="G313" s="40" t="s">
        <v>393</v>
      </c>
      <c r="H313" s="40" t="s">
        <v>4183</v>
      </c>
      <c r="I313" s="40" t="s">
        <v>4184</v>
      </c>
      <c r="J313" s="40" t="s">
        <v>305</v>
      </c>
      <c r="K313" s="40" t="s">
        <v>305</v>
      </c>
      <c r="L313" s="40" t="s">
        <v>393</v>
      </c>
      <c r="M313" s="40" t="s">
        <v>393</v>
      </c>
      <c r="N313" s="40" t="s">
        <v>2683</v>
      </c>
      <c r="O313" s="40" t="s">
        <v>4167</v>
      </c>
      <c r="P313" s="40" t="s">
        <v>393</v>
      </c>
      <c r="Q313" s="40" t="s">
        <v>393</v>
      </c>
      <c r="R313" s="40" t="s">
        <v>393</v>
      </c>
      <c r="S313" s="40" t="s">
        <v>393</v>
      </c>
      <c r="T313" s="40" t="s">
        <v>393</v>
      </c>
      <c r="U313" s="40" t="s">
        <v>393</v>
      </c>
      <c r="V313" s="40" t="s">
        <v>393</v>
      </c>
      <c r="W313" s="40" t="s">
        <v>393</v>
      </c>
      <c r="X313" s="40" t="s">
        <v>393</v>
      </c>
      <c r="Y313" s="40" t="s">
        <v>393</v>
      </c>
      <c r="Z313" s="40" t="s">
        <v>393</v>
      </c>
      <c r="AA313" s="40" t="s">
        <v>393</v>
      </c>
      <c r="AB313" s="40" t="s">
        <v>393</v>
      </c>
      <c r="AC313" s="40" t="s">
        <v>393</v>
      </c>
      <c r="AD313" s="40" t="s">
        <v>393</v>
      </c>
      <c r="AE313" s="40" t="s">
        <v>393</v>
      </c>
      <c r="AF313" s="40" t="s">
        <v>393</v>
      </c>
      <c r="AG313" s="40" t="s">
        <v>393</v>
      </c>
      <c r="AH313" s="40" t="s">
        <v>393</v>
      </c>
      <c r="AI313" s="40" t="s">
        <v>393</v>
      </c>
      <c r="AJ313" s="40" t="s">
        <v>393</v>
      </c>
      <c r="AK313" s="40" t="s">
        <v>393</v>
      </c>
      <c r="AL313" s="40" t="s">
        <v>393</v>
      </c>
      <c r="AM313" s="40" t="s">
        <v>393</v>
      </c>
      <c r="AN313" s="40" t="s">
        <v>393</v>
      </c>
      <c r="AO313" s="36" t="s">
        <v>4182</v>
      </c>
    </row>
    <row r="314" spans="1:41" ht="27.6" hidden="1">
      <c r="A314" s="40" t="s">
        <v>2677</v>
      </c>
      <c r="B314" s="40" t="s">
        <v>393</v>
      </c>
      <c r="C314" s="40" t="s">
        <v>623</v>
      </c>
      <c r="D314" s="40" t="s">
        <v>4179</v>
      </c>
      <c r="E314" s="40" t="s">
        <v>656</v>
      </c>
      <c r="F314" s="40" t="s">
        <v>2740</v>
      </c>
      <c r="G314" s="40" t="s">
        <v>393</v>
      </c>
      <c r="H314" s="40" t="s">
        <v>4185</v>
      </c>
      <c r="I314" s="40" t="s">
        <v>4186</v>
      </c>
      <c r="J314" s="40" t="s">
        <v>305</v>
      </c>
      <c r="K314" s="40" t="s">
        <v>305</v>
      </c>
      <c r="L314" s="40" t="s">
        <v>393</v>
      </c>
      <c r="M314" s="40" t="s">
        <v>393</v>
      </c>
      <c r="N314" s="40" t="s">
        <v>2683</v>
      </c>
      <c r="O314" s="40" t="s">
        <v>4167</v>
      </c>
      <c r="P314" s="40" t="s">
        <v>393</v>
      </c>
      <c r="Q314" s="40" t="s">
        <v>393</v>
      </c>
      <c r="R314" s="40" t="s">
        <v>393</v>
      </c>
      <c r="S314" s="40" t="s">
        <v>393</v>
      </c>
      <c r="T314" s="40" t="s">
        <v>393</v>
      </c>
      <c r="U314" s="40" t="s">
        <v>393</v>
      </c>
      <c r="V314" s="40" t="s">
        <v>393</v>
      </c>
      <c r="W314" s="40" t="s">
        <v>393</v>
      </c>
      <c r="X314" s="40" t="s">
        <v>393</v>
      </c>
      <c r="Y314" s="40" t="s">
        <v>393</v>
      </c>
      <c r="Z314" s="40" t="s">
        <v>393</v>
      </c>
      <c r="AA314" s="40" t="s">
        <v>393</v>
      </c>
      <c r="AB314" s="40" t="s">
        <v>393</v>
      </c>
      <c r="AC314" s="40" t="s">
        <v>393</v>
      </c>
      <c r="AD314" s="40" t="s">
        <v>393</v>
      </c>
      <c r="AE314" s="40" t="s">
        <v>393</v>
      </c>
      <c r="AF314" s="40" t="s">
        <v>393</v>
      </c>
      <c r="AG314" s="40" t="s">
        <v>393</v>
      </c>
      <c r="AH314" s="40" t="s">
        <v>393</v>
      </c>
      <c r="AI314" s="40" t="s">
        <v>393</v>
      </c>
      <c r="AJ314" s="40" t="s">
        <v>393</v>
      </c>
      <c r="AK314" s="40" t="s">
        <v>393</v>
      </c>
      <c r="AL314" s="40" t="s">
        <v>393</v>
      </c>
      <c r="AM314" s="40" t="s">
        <v>393</v>
      </c>
      <c r="AN314" s="40" t="s">
        <v>393</v>
      </c>
      <c r="AO314" s="36" t="s">
        <v>4182</v>
      </c>
    </row>
    <row r="315" spans="1:41" ht="27.6" hidden="1">
      <c r="A315" s="40" t="s">
        <v>2677</v>
      </c>
      <c r="B315" s="40" t="s">
        <v>393</v>
      </c>
      <c r="C315" s="40" t="s">
        <v>623</v>
      </c>
      <c r="D315" s="40" t="s">
        <v>4179</v>
      </c>
      <c r="E315" s="40" t="s">
        <v>656</v>
      </c>
      <c r="F315" s="40" t="s">
        <v>2920</v>
      </c>
      <c r="G315" s="40" t="s">
        <v>393</v>
      </c>
      <c r="H315" s="40" t="s">
        <v>4187</v>
      </c>
      <c r="I315" s="40" t="s">
        <v>4188</v>
      </c>
      <c r="J315" s="40" t="s">
        <v>305</v>
      </c>
      <c r="K315" s="40" t="s">
        <v>305</v>
      </c>
      <c r="L315" s="40" t="s">
        <v>393</v>
      </c>
      <c r="M315" s="40" t="s">
        <v>393</v>
      </c>
      <c r="N315" s="40" t="s">
        <v>2683</v>
      </c>
      <c r="O315" s="40" t="s">
        <v>4167</v>
      </c>
      <c r="P315" s="40" t="s">
        <v>393</v>
      </c>
      <c r="Q315" s="40" t="s">
        <v>393</v>
      </c>
      <c r="R315" s="40" t="s">
        <v>393</v>
      </c>
      <c r="S315" s="40" t="s">
        <v>393</v>
      </c>
      <c r="T315" s="40" t="s">
        <v>393</v>
      </c>
      <c r="U315" s="40" t="s">
        <v>393</v>
      </c>
      <c r="V315" s="40" t="s">
        <v>393</v>
      </c>
      <c r="W315" s="40" t="s">
        <v>393</v>
      </c>
      <c r="X315" s="40" t="s">
        <v>393</v>
      </c>
      <c r="Y315" s="40" t="s">
        <v>393</v>
      </c>
      <c r="Z315" s="40" t="s">
        <v>393</v>
      </c>
      <c r="AA315" s="40" t="s">
        <v>393</v>
      </c>
      <c r="AB315" s="40" t="s">
        <v>393</v>
      </c>
      <c r="AC315" s="40" t="s">
        <v>393</v>
      </c>
      <c r="AD315" s="40" t="s">
        <v>393</v>
      </c>
      <c r="AE315" s="40" t="s">
        <v>393</v>
      </c>
      <c r="AF315" s="40" t="s">
        <v>393</v>
      </c>
      <c r="AG315" s="40" t="s">
        <v>393</v>
      </c>
      <c r="AH315" s="40" t="s">
        <v>393</v>
      </c>
      <c r="AI315" s="40" t="s">
        <v>393</v>
      </c>
      <c r="AJ315" s="40" t="s">
        <v>393</v>
      </c>
      <c r="AK315" s="40" t="s">
        <v>393</v>
      </c>
      <c r="AL315" s="40" t="s">
        <v>393</v>
      </c>
      <c r="AM315" s="40" t="s">
        <v>393</v>
      </c>
      <c r="AN315" s="40" t="s">
        <v>393</v>
      </c>
      <c r="AO315" s="36" t="s">
        <v>4182</v>
      </c>
    </row>
    <row r="316" spans="1:41" hidden="1">
      <c r="A316" s="40" t="s">
        <v>2677</v>
      </c>
      <c r="B316" s="40" t="s">
        <v>393</v>
      </c>
      <c r="C316" s="40" t="s">
        <v>623</v>
      </c>
      <c r="D316" s="40" t="s">
        <v>4179</v>
      </c>
      <c r="E316" s="40" t="s">
        <v>656</v>
      </c>
      <c r="F316" s="40" t="s">
        <v>3293</v>
      </c>
      <c r="G316" s="40" t="s">
        <v>393</v>
      </c>
      <c r="H316" s="40" t="s">
        <v>4189</v>
      </c>
      <c r="I316" s="55" t="s">
        <v>4190</v>
      </c>
      <c r="J316" s="40" t="s">
        <v>305</v>
      </c>
      <c r="K316" s="40" t="s">
        <v>305</v>
      </c>
      <c r="L316" s="40" t="s">
        <v>393</v>
      </c>
      <c r="M316" s="40" t="s">
        <v>393</v>
      </c>
      <c r="N316" s="40" t="s">
        <v>2683</v>
      </c>
      <c r="O316" s="40" t="s">
        <v>4167</v>
      </c>
      <c r="P316" s="40" t="s">
        <v>393</v>
      </c>
      <c r="Q316" s="40" t="s">
        <v>393</v>
      </c>
      <c r="R316" s="120" t="s">
        <v>4176</v>
      </c>
      <c r="S316" s="40" t="s">
        <v>393</v>
      </c>
      <c r="T316" s="40" t="s">
        <v>393</v>
      </c>
      <c r="U316" s="40" t="s">
        <v>393</v>
      </c>
      <c r="V316" s="40" t="s">
        <v>393</v>
      </c>
      <c r="W316" s="40" t="s">
        <v>393</v>
      </c>
      <c r="X316" s="40" t="s">
        <v>393</v>
      </c>
      <c r="Y316" s="40" t="s">
        <v>393</v>
      </c>
      <c r="Z316" s="40" t="s">
        <v>393</v>
      </c>
      <c r="AA316" s="40" t="s">
        <v>393</v>
      </c>
      <c r="AB316" s="40" t="s">
        <v>393</v>
      </c>
      <c r="AC316" s="40" t="s">
        <v>393</v>
      </c>
      <c r="AD316" s="40" t="s">
        <v>393</v>
      </c>
      <c r="AE316" s="40" t="s">
        <v>393</v>
      </c>
      <c r="AF316" s="40" t="s">
        <v>393</v>
      </c>
      <c r="AG316" s="40" t="s">
        <v>393</v>
      </c>
      <c r="AH316" s="40" t="s">
        <v>393</v>
      </c>
      <c r="AI316" s="40" t="s">
        <v>393</v>
      </c>
      <c r="AJ316" s="40" t="s">
        <v>393</v>
      </c>
      <c r="AK316" s="40" t="s">
        <v>393</v>
      </c>
      <c r="AL316" s="40" t="s">
        <v>393</v>
      </c>
      <c r="AM316" s="40" t="s">
        <v>393</v>
      </c>
      <c r="AN316" s="40" t="s">
        <v>393</v>
      </c>
      <c r="AO316" s="36" t="s">
        <v>4191</v>
      </c>
    </row>
    <row r="317" spans="1:41" hidden="1">
      <c r="A317" s="40" t="s">
        <v>2677</v>
      </c>
      <c r="B317" s="40" t="s">
        <v>393</v>
      </c>
      <c r="C317" s="40" t="s">
        <v>623</v>
      </c>
      <c r="D317" s="40" t="s">
        <v>4179</v>
      </c>
      <c r="E317" s="40" t="s">
        <v>656</v>
      </c>
      <c r="F317" s="40" t="s">
        <v>3349</v>
      </c>
      <c r="G317" s="40" t="s">
        <v>393</v>
      </c>
      <c r="H317" s="40" t="s">
        <v>4192</v>
      </c>
      <c r="I317" s="55" t="s">
        <v>4193</v>
      </c>
      <c r="J317" s="40" t="s">
        <v>305</v>
      </c>
      <c r="K317" s="40" t="s">
        <v>305</v>
      </c>
      <c r="L317" s="40" t="s">
        <v>393</v>
      </c>
      <c r="M317" s="40" t="s">
        <v>393</v>
      </c>
      <c r="N317" s="40" t="s">
        <v>2683</v>
      </c>
      <c r="O317" s="40" t="s">
        <v>4167</v>
      </c>
      <c r="P317" s="40" t="s">
        <v>393</v>
      </c>
      <c r="Q317" s="40" t="s">
        <v>393</v>
      </c>
      <c r="R317" s="120" t="s">
        <v>4176</v>
      </c>
      <c r="S317" s="40" t="s">
        <v>393</v>
      </c>
      <c r="T317" s="40" t="s">
        <v>393</v>
      </c>
      <c r="U317" s="40" t="s">
        <v>393</v>
      </c>
      <c r="V317" s="40" t="s">
        <v>393</v>
      </c>
      <c r="W317" s="40" t="s">
        <v>393</v>
      </c>
      <c r="X317" s="40" t="s">
        <v>393</v>
      </c>
      <c r="Y317" s="40" t="s">
        <v>393</v>
      </c>
      <c r="Z317" s="40" t="s">
        <v>393</v>
      </c>
      <c r="AA317" s="40" t="s">
        <v>393</v>
      </c>
      <c r="AB317" s="40" t="s">
        <v>393</v>
      </c>
      <c r="AC317" s="40" t="s">
        <v>393</v>
      </c>
      <c r="AD317" s="40" t="s">
        <v>393</v>
      </c>
      <c r="AE317" s="40" t="s">
        <v>393</v>
      </c>
      <c r="AF317" s="40" t="s">
        <v>393</v>
      </c>
      <c r="AG317" s="40" t="s">
        <v>393</v>
      </c>
      <c r="AH317" s="40" t="s">
        <v>393</v>
      </c>
      <c r="AI317" s="40" t="s">
        <v>393</v>
      </c>
      <c r="AJ317" s="40" t="s">
        <v>393</v>
      </c>
      <c r="AK317" s="40" t="s">
        <v>393</v>
      </c>
      <c r="AL317" s="40" t="s">
        <v>393</v>
      </c>
      <c r="AM317" s="40" t="s">
        <v>393</v>
      </c>
      <c r="AN317" s="40" t="s">
        <v>393</v>
      </c>
      <c r="AO317" s="36" t="s">
        <v>4191</v>
      </c>
    </row>
    <row r="318" spans="1:41" hidden="1">
      <c r="A318" s="40" t="s">
        <v>2677</v>
      </c>
      <c r="B318" s="40" t="s">
        <v>393</v>
      </c>
      <c r="C318" s="40" t="s">
        <v>623</v>
      </c>
      <c r="D318" s="40" t="s">
        <v>4179</v>
      </c>
      <c r="E318" s="40" t="s">
        <v>656</v>
      </c>
      <c r="F318" s="40" t="s">
        <v>2888</v>
      </c>
      <c r="G318" s="40" t="s">
        <v>393</v>
      </c>
      <c r="H318" s="40" t="s">
        <v>4194</v>
      </c>
      <c r="I318" s="55" t="s">
        <v>4195</v>
      </c>
      <c r="J318" s="40" t="s">
        <v>305</v>
      </c>
      <c r="K318" s="40" t="s">
        <v>305</v>
      </c>
      <c r="L318" s="40" t="s">
        <v>393</v>
      </c>
      <c r="M318" s="40" t="s">
        <v>393</v>
      </c>
      <c r="N318" s="40" t="s">
        <v>2683</v>
      </c>
      <c r="O318" s="40" t="s">
        <v>4167</v>
      </c>
      <c r="P318" s="40" t="s">
        <v>393</v>
      </c>
      <c r="Q318" s="40" t="s">
        <v>393</v>
      </c>
      <c r="R318" s="120" t="s">
        <v>4176</v>
      </c>
      <c r="S318" s="40" t="s">
        <v>393</v>
      </c>
      <c r="T318" s="40" t="s">
        <v>393</v>
      </c>
      <c r="U318" s="40" t="s">
        <v>393</v>
      </c>
      <c r="V318" s="40" t="s">
        <v>393</v>
      </c>
      <c r="W318" s="40" t="s">
        <v>393</v>
      </c>
      <c r="X318" s="40" t="s">
        <v>393</v>
      </c>
      <c r="Y318" s="40" t="s">
        <v>393</v>
      </c>
      <c r="Z318" s="40" t="s">
        <v>393</v>
      </c>
      <c r="AA318" s="40" t="s">
        <v>393</v>
      </c>
      <c r="AB318" s="40" t="s">
        <v>393</v>
      </c>
      <c r="AC318" s="40" t="s">
        <v>393</v>
      </c>
      <c r="AD318" s="40" t="s">
        <v>393</v>
      </c>
      <c r="AE318" s="40" t="s">
        <v>393</v>
      </c>
      <c r="AF318" s="40" t="s">
        <v>393</v>
      </c>
      <c r="AG318" s="40" t="s">
        <v>393</v>
      </c>
      <c r="AH318" s="40" t="s">
        <v>393</v>
      </c>
      <c r="AI318" s="40" t="s">
        <v>393</v>
      </c>
      <c r="AJ318" s="40" t="s">
        <v>393</v>
      </c>
      <c r="AK318" s="40" t="s">
        <v>393</v>
      </c>
      <c r="AL318" s="40" t="s">
        <v>393</v>
      </c>
      <c r="AM318" s="40" t="s">
        <v>393</v>
      </c>
      <c r="AN318" s="40" t="s">
        <v>393</v>
      </c>
      <c r="AO318" s="36" t="s">
        <v>4191</v>
      </c>
    </row>
    <row r="319" spans="1:41" hidden="1">
      <c r="A319" s="40" t="s">
        <v>2677</v>
      </c>
      <c r="B319" s="40" t="s">
        <v>393</v>
      </c>
      <c r="C319" s="40" t="s">
        <v>623</v>
      </c>
      <c r="D319" s="40" t="s">
        <v>4179</v>
      </c>
      <c r="E319" s="40" t="s">
        <v>656</v>
      </c>
      <c r="F319" s="40" t="s">
        <v>3623</v>
      </c>
      <c r="G319" s="40" t="s">
        <v>393</v>
      </c>
      <c r="H319" s="40" t="s">
        <v>2548</v>
      </c>
      <c r="I319" s="40" t="s">
        <v>4196</v>
      </c>
      <c r="J319" s="40" t="s">
        <v>305</v>
      </c>
      <c r="K319" s="40" t="s">
        <v>305</v>
      </c>
      <c r="L319" s="40" t="s">
        <v>393</v>
      </c>
      <c r="M319" s="40" t="s">
        <v>393</v>
      </c>
      <c r="N319" s="40" t="s">
        <v>2683</v>
      </c>
      <c r="O319" s="40" t="s">
        <v>4167</v>
      </c>
      <c r="P319" s="40" t="s">
        <v>393</v>
      </c>
      <c r="Q319" s="40" t="s">
        <v>393</v>
      </c>
      <c r="R319" s="40" t="s">
        <v>393</v>
      </c>
      <c r="S319" s="40" t="s">
        <v>393</v>
      </c>
      <c r="T319" s="40" t="s">
        <v>393</v>
      </c>
      <c r="U319" s="40" t="s">
        <v>393</v>
      </c>
      <c r="V319" s="40" t="s">
        <v>393</v>
      </c>
      <c r="W319" s="40" t="s">
        <v>393</v>
      </c>
      <c r="X319" s="40" t="s">
        <v>393</v>
      </c>
      <c r="Y319" s="40" t="s">
        <v>393</v>
      </c>
      <c r="Z319" s="40" t="s">
        <v>393</v>
      </c>
      <c r="AA319" s="40" t="s">
        <v>393</v>
      </c>
      <c r="AB319" s="40" t="s">
        <v>393</v>
      </c>
      <c r="AC319" s="40" t="s">
        <v>393</v>
      </c>
      <c r="AD319" s="40" t="s">
        <v>393</v>
      </c>
      <c r="AE319" s="40" t="s">
        <v>393</v>
      </c>
      <c r="AF319" s="40" t="s">
        <v>393</v>
      </c>
      <c r="AG319" s="40" t="s">
        <v>393</v>
      </c>
      <c r="AH319" s="40" t="s">
        <v>393</v>
      </c>
      <c r="AI319" s="40" t="s">
        <v>393</v>
      </c>
      <c r="AJ319" s="40" t="s">
        <v>393</v>
      </c>
      <c r="AK319" s="40" t="s">
        <v>393</v>
      </c>
      <c r="AL319" s="40" t="s">
        <v>393</v>
      </c>
      <c r="AM319" s="40" t="s">
        <v>393</v>
      </c>
      <c r="AN319" s="40" t="s">
        <v>393</v>
      </c>
      <c r="AO319" s="36" t="s">
        <v>4168</v>
      </c>
    </row>
    <row r="320" spans="1:41" hidden="1">
      <c r="A320" s="40" t="s">
        <v>2677</v>
      </c>
      <c r="B320" s="40" t="s">
        <v>393</v>
      </c>
      <c r="C320" s="40" t="s">
        <v>623</v>
      </c>
      <c r="D320" s="40" t="s">
        <v>4197</v>
      </c>
      <c r="E320" s="40" t="s">
        <v>656</v>
      </c>
      <c r="F320" s="40" t="s">
        <v>2680</v>
      </c>
      <c r="G320" s="40" t="s">
        <v>393</v>
      </c>
      <c r="H320" s="40" t="s">
        <v>1343</v>
      </c>
      <c r="I320" s="40" t="s">
        <v>1344</v>
      </c>
      <c r="J320" s="40" t="s">
        <v>305</v>
      </c>
      <c r="K320" s="40" t="s">
        <v>305</v>
      </c>
      <c r="L320" s="40" t="s">
        <v>393</v>
      </c>
      <c r="M320" s="40" t="s">
        <v>393</v>
      </c>
      <c r="N320" s="40" t="s">
        <v>2683</v>
      </c>
      <c r="O320" s="40" t="s">
        <v>4198</v>
      </c>
      <c r="P320" s="40" t="s">
        <v>393</v>
      </c>
      <c r="Q320" s="40" t="s">
        <v>393</v>
      </c>
      <c r="R320" s="40" t="s">
        <v>393</v>
      </c>
      <c r="S320" s="40" t="s">
        <v>393</v>
      </c>
      <c r="T320" s="40" t="s">
        <v>393</v>
      </c>
      <c r="U320" s="40" t="s">
        <v>393</v>
      </c>
      <c r="V320" s="40" t="s">
        <v>393</v>
      </c>
      <c r="W320" s="40" t="s">
        <v>393</v>
      </c>
      <c r="X320" s="40" t="s">
        <v>393</v>
      </c>
      <c r="Y320" s="40" t="s">
        <v>393</v>
      </c>
      <c r="Z320" s="40" t="s">
        <v>393</v>
      </c>
      <c r="AA320" s="40" t="s">
        <v>393</v>
      </c>
      <c r="AB320" s="40" t="s">
        <v>393</v>
      </c>
      <c r="AC320" s="40" t="s">
        <v>393</v>
      </c>
      <c r="AD320" s="40" t="s">
        <v>393</v>
      </c>
      <c r="AE320" s="40" t="s">
        <v>393</v>
      </c>
      <c r="AF320" s="40" t="s">
        <v>393</v>
      </c>
      <c r="AG320" s="40" t="s">
        <v>393</v>
      </c>
      <c r="AH320" s="40" t="s">
        <v>393</v>
      </c>
      <c r="AI320" s="40" t="s">
        <v>393</v>
      </c>
      <c r="AJ320" s="40" t="s">
        <v>393</v>
      </c>
      <c r="AK320" s="40" t="s">
        <v>393</v>
      </c>
      <c r="AL320" s="40" t="s">
        <v>393</v>
      </c>
      <c r="AM320" s="40" t="s">
        <v>393</v>
      </c>
      <c r="AN320" s="40" t="s">
        <v>393</v>
      </c>
      <c r="AO320" s="36" t="s">
        <v>4168</v>
      </c>
    </row>
    <row r="321" spans="1:41" hidden="1">
      <c r="A321" s="40" t="s">
        <v>2677</v>
      </c>
      <c r="B321" s="40" t="s">
        <v>393</v>
      </c>
      <c r="C321" s="40" t="s">
        <v>623</v>
      </c>
      <c r="D321" s="40" t="s">
        <v>4197</v>
      </c>
      <c r="E321" s="40" t="s">
        <v>656</v>
      </c>
      <c r="F321" s="40" t="s">
        <v>2782</v>
      </c>
      <c r="G321" s="40" t="s">
        <v>393</v>
      </c>
      <c r="H321" s="40" t="s">
        <v>1345</v>
      </c>
      <c r="I321" s="55" t="s">
        <v>1344</v>
      </c>
      <c r="J321" s="40" t="s">
        <v>305</v>
      </c>
      <c r="K321" s="40" t="s">
        <v>305</v>
      </c>
      <c r="L321" s="40" t="s">
        <v>393</v>
      </c>
      <c r="M321" s="40" t="s">
        <v>393</v>
      </c>
      <c r="N321" s="40" t="s">
        <v>2683</v>
      </c>
      <c r="O321" s="40" t="s">
        <v>4198</v>
      </c>
      <c r="P321" s="40" t="s">
        <v>393</v>
      </c>
      <c r="Q321" s="40" t="s">
        <v>393</v>
      </c>
      <c r="R321" s="120" t="s">
        <v>4176</v>
      </c>
      <c r="S321" s="40" t="s">
        <v>393</v>
      </c>
      <c r="T321" s="40" t="s">
        <v>393</v>
      </c>
      <c r="U321" s="40" t="s">
        <v>393</v>
      </c>
      <c r="V321" s="40" t="s">
        <v>393</v>
      </c>
      <c r="W321" s="40" t="s">
        <v>393</v>
      </c>
      <c r="X321" s="40" t="s">
        <v>393</v>
      </c>
      <c r="Y321" s="40" t="s">
        <v>393</v>
      </c>
      <c r="Z321" s="40" t="s">
        <v>393</v>
      </c>
      <c r="AA321" s="40" t="s">
        <v>393</v>
      </c>
      <c r="AB321" s="40" t="s">
        <v>393</v>
      </c>
      <c r="AC321" s="40" t="s">
        <v>393</v>
      </c>
      <c r="AD321" s="40" t="s">
        <v>393</v>
      </c>
      <c r="AE321" s="40" t="s">
        <v>393</v>
      </c>
      <c r="AF321" s="40" t="s">
        <v>393</v>
      </c>
      <c r="AG321" s="40" t="s">
        <v>393</v>
      </c>
      <c r="AH321" s="40" t="s">
        <v>393</v>
      </c>
      <c r="AI321" s="40" t="s">
        <v>393</v>
      </c>
      <c r="AJ321" s="40" t="s">
        <v>393</v>
      </c>
      <c r="AK321" s="40" t="s">
        <v>393</v>
      </c>
      <c r="AL321" s="40" t="s">
        <v>393</v>
      </c>
      <c r="AM321" s="40" t="s">
        <v>393</v>
      </c>
      <c r="AN321" s="40" t="s">
        <v>393</v>
      </c>
      <c r="AO321" s="36" t="s">
        <v>4168</v>
      </c>
    </row>
    <row r="322" spans="1:41" hidden="1">
      <c r="A322" s="40" t="s">
        <v>2677</v>
      </c>
      <c r="B322" s="40" t="s">
        <v>393</v>
      </c>
      <c r="C322" s="40" t="s">
        <v>623</v>
      </c>
      <c r="D322" s="40" t="s">
        <v>4197</v>
      </c>
      <c r="E322" s="40" t="s">
        <v>656</v>
      </c>
      <c r="F322" s="40" t="s">
        <v>2740</v>
      </c>
      <c r="G322" s="40" t="s">
        <v>393</v>
      </c>
      <c r="H322" s="40" t="s">
        <v>1346</v>
      </c>
      <c r="I322" s="55" t="s">
        <v>1344</v>
      </c>
      <c r="J322" s="40" t="s">
        <v>305</v>
      </c>
      <c r="K322" s="40" t="s">
        <v>305</v>
      </c>
      <c r="L322" s="40" t="s">
        <v>393</v>
      </c>
      <c r="M322" s="40" t="s">
        <v>393</v>
      </c>
      <c r="N322" s="40" t="s">
        <v>2683</v>
      </c>
      <c r="O322" s="40" t="s">
        <v>4198</v>
      </c>
      <c r="P322" s="40" t="s">
        <v>393</v>
      </c>
      <c r="Q322" s="40" t="s">
        <v>393</v>
      </c>
      <c r="R322" s="120" t="s">
        <v>4176</v>
      </c>
      <c r="S322" s="40" t="s">
        <v>393</v>
      </c>
      <c r="T322" s="40" t="s">
        <v>393</v>
      </c>
      <c r="U322" s="40" t="s">
        <v>393</v>
      </c>
      <c r="V322" s="40" t="s">
        <v>393</v>
      </c>
      <c r="W322" s="40" t="s">
        <v>393</v>
      </c>
      <c r="X322" s="40" t="s">
        <v>393</v>
      </c>
      <c r="Y322" s="40" t="s">
        <v>393</v>
      </c>
      <c r="Z322" s="40" t="s">
        <v>393</v>
      </c>
      <c r="AA322" s="40" t="s">
        <v>393</v>
      </c>
      <c r="AB322" s="40" t="s">
        <v>393</v>
      </c>
      <c r="AC322" s="40" t="s">
        <v>393</v>
      </c>
      <c r="AD322" s="40" t="s">
        <v>393</v>
      </c>
      <c r="AE322" s="40" t="s">
        <v>393</v>
      </c>
      <c r="AF322" s="40" t="s">
        <v>393</v>
      </c>
      <c r="AG322" s="40" t="s">
        <v>393</v>
      </c>
      <c r="AH322" s="40" t="s">
        <v>393</v>
      </c>
      <c r="AI322" s="40" t="s">
        <v>393</v>
      </c>
      <c r="AJ322" s="40" t="s">
        <v>393</v>
      </c>
      <c r="AK322" s="40" t="s">
        <v>393</v>
      </c>
      <c r="AL322" s="40" t="s">
        <v>393</v>
      </c>
      <c r="AM322" s="40" t="s">
        <v>393</v>
      </c>
      <c r="AN322" s="40" t="s">
        <v>393</v>
      </c>
      <c r="AO322" s="36" t="s">
        <v>4168</v>
      </c>
    </row>
    <row r="323" spans="1:41" hidden="1">
      <c r="A323" s="40" t="s">
        <v>2677</v>
      </c>
      <c r="B323" s="40" t="s">
        <v>393</v>
      </c>
      <c r="C323" s="40" t="s">
        <v>623</v>
      </c>
      <c r="D323" s="40" t="s">
        <v>4197</v>
      </c>
      <c r="E323" s="40" t="s">
        <v>656</v>
      </c>
      <c r="F323" s="40" t="s">
        <v>2920</v>
      </c>
      <c r="G323" s="40" t="s">
        <v>393</v>
      </c>
      <c r="H323" s="40" t="s">
        <v>1347</v>
      </c>
      <c r="I323" s="55" t="s">
        <v>1344</v>
      </c>
      <c r="J323" s="40" t="s">
        <v>305</v>
      </c>
      <c r="K323" s="40" t="s">
        <v>305</v>
      </c>
      <c r="L323" s="40" t="s">
        <v>393</v>
      </c>
      <c r="M323" s="40" t="s">
        <v>393</v>
      </c>
      <c r="N323" s="40" t="s">
        <v>2683</v>
      </c>
      <c r="O323" s="40" t="s">
        <v>4198</v>
      </c>
      <c r="P323" s="40" t="s">
        <v>393</v>
      </c>
      <c r="Q323" s="40" t="s">
        <v>393</v>
      </c>
      <c r="R323" s="120" t="s">
        <v>4176</v>
      </c>
      <c r="S323" s="40" t="s">
        <v>393</v>
      </c>
      <c r="T323" s="40" t="s">
        <v>393</v>
      </c>
      <c r="U323" s="40" t="s">
        <v>393</v>
      </c>
      <c r="V323" s="40" t="s">
        <v>393</v>
      </c>
      <c r="W323" s="40" t="s">
        <v>393</v>
      </c>
      <c r="X323" s="40" t="s">
        <v>393</v>
      </c>
      <c r="Y323" s="40" t="s">
        <v>393</v>
      </c>
      <c r="Z323" s="40" t="s">
        <v>393</v>
      </c>
      <c r="AA323" s="40" t="s">
        <v>393</v>
      </c>
      <c r="AB323" s="40" t="s">
        <v>393</v>
      </c>
      <c r="AC323" s="40" t="s">
        <v>393</v>
      </c>
      <c r="AD323" s="40" t="s">
        <v>393</v>
      </c>
      <c r="AE323" s="40" t="s">
        <v>393</v>
      </c>
      <c r="AF323" s="40" t="s">
        <v>393</v>
      </c>
      <c r="AG323" s="40" t="s">
        <v>393</v>
      </c>
      <c r="AH323" s="40" t="s">
        <v>393</v>
      </c>
      <c r="AI323" s="40" t="s">
        <v>393</v>
      </c>
      <c r="AJ323" s="40" t="s">
        <v>393</v>
      </c>
      <c r="AK323" s="40" t="s">
        <v>393</v>
      </c>
      <c r="AL323" s="40" t="s">
        <v>393</v>
      </c>
      <c r="AM323" s="40" t="s">
        <v>393</v>
      </c>
      <c r="AN323" s="40" t="s">
        <v>393</v>
      </c>
      <c r="AO323" s="36" t="s">
        <v>4168</v>
      </c>
    </row>
    <row r="324" spans="1:41" hidden="1">
      <c r="A324" s="40" t="s">
        <v>2677</v>
      </c>
      <c r="B324" s="40" t="s">
        <v>393</v>
      </c>
      <c r="C324" s="40" t="s">
        <v>623</v>
      </c>
      <c r="D324" s="40" t="s">
        <v>4199</v>
      </c>
      <c r="E324" s="40" t="s">
        <v>656</v>
      </c>
      <c r="F324" s="40" t="s">
        <v>2680</v>
      </c>
      <c r="G324" s="40" t="s">
        <v>393</v>
      </c>
      <c r="H324" s="40" t="s">
        <v>4200</v>
      </c>
      <c r="I324" s="40" t="s">
        <v>4201</v>
      </c>
      <c r="J324" s="40" t="s">
        <v>305</v>
      </c>
      <c r="K324" s="40" t="s">
        <v>305</v>
      </c>
      <c r="L324" s="40" t="s">
        <v>393</v>
      </c>
      <c r="M324" s="40" t="s">
        <v>393</v>
      </c>
      <c r="N324" s="40" t="s">
        <v>2683</v>
      </c>
      <c r="O324" s="40" t="s">
        <v>4198</v>
      </c>
      <c r="P324" s="40" t="s">
        <v>393</v>
      </c>
      <c r="Q324" s="40" t="s">
        <v>393</v>
      </c>
      <c r="R324" s="40" t="s">
        <v>393</v>
      </c>
      <c r="S324" s="40" t="s">
        <v>393</v>
      </c>
      <c r="T324" s="40" t="s">
        <v>393</v>
      </c>
      <c r="U324" s="40" t="s">
        <v>393</v>
      </c>
      <c r="V324" s="40" t="s">
        <v>393</v>
      </c>
      <c r="W324" s="40" t="s">
        <v>393</v>
      </c>
      <c r="X324" s="40" t="s">
        <v>393</v>
      </c>
      <c r="Y324" s="40" t="s">
        <v>393</v>
      </c>
      <c r="Z324" s="40" t="s">
        <v>393</v>
      </c>
      <c r="AA324" s="40" t="s">
        <v>393</v>
      </c>
      <c r="AB324" s="40" t="s">
        <v>393</v>
      </c>
      <c r="AC324" s="40" t="s">
        <v>393</v>
      </c>
      <c r="AD324" s="40" t="s">
        <v>393</v>
      </c>
      <c r="AE324" s="40" t="s">
        <v>393</v>
      </c>
      <c r="AF324" s="40" t="s">
        <v>393</v>
      </c>
      <c r="AG324" s="40" t="s">
        <v>393</v>
      </c>
      <c r="AH324" s="40" t="s">
        <v>393</v>
      </c>
      <c r="AI324" s="40" t="s">
        <v>393</v>
      </c>
      <c r="AJ324" s="40" t="s">
        <v>393</v>
      </c>
      <c r="AK324" s="40" t="s">
        <v>393</v>
      </c>
      <c r="AL324" s="40" t="s">
        <v>393</v>
      </c>
      <c r="AM324" s="40" t="s">
        <v>393</v>
      </c>
      <c r="AN324" s="40" t="s">
        <v>393</v>
      </c>
      <c r="AO324" s="36" t="s">
        <v>4168</v>
      </c>
    </row>
    <row r="325" spans="1:41" hidden="1">
      <c r="A325" s="40" t="s">
        <v>2677</v>
      </c>
      <c r="B325" s="40" t="s">
        <v>393</v>
      </c>
      <c r="C325" s="40" t="s">
        <v>623</v>
      </c>
      <c r="D325" s="40" t="s">
        <v>4199</v>
      </c>
      <c r="E325" s="40" t="s">
        <v>656</v>
      </c>
      <c r="F325" s="40" t="s">
        <v>2782</v>
      </c>
      <c r="G325" s="40" t="s">
        <v>393</v>
      </c>
      <c r="H325" s="40" t="s">
        <v>4202</v>
      </c>
      <c r="I325" s="40" t="s">
        <v>4201</v>
      </c>
      <c r="J325" s="40" t="s">
        <v>305</v>
      </c>
      <c r="K325" s="40" t="s">
        <v>305</v>
      </c>
      <c r="L325" s="40" t="s">
        <v>393</v>
      </c>
      <c r="M325" s="40" t="s">
        <v>393</v>
      </c>
      <c r="N325" s="40" t="s">
        <v>2683</v>
      </c>
      <c r="O325" s="40" t="s">
        <v>4198</v>
      </c>
      <c r="P325" s="40" t="s">
        <v>393</v>
      </c>
      <c r="Q325" s="40" t="s">
        <v>393</v>
      </c>
      <c r="R325" s="40" t="s">
        <v>393</v>
      </c>
      <c r="S325" s="40" t="s">
        <v>393</v>
      </c>
      <c r="T325" s="40" t="s">
        <v>393</v>
      </c>
      <c r="U325" s="40" t="s">
        <v>393</v>
      </c>
      <c r="V325" s="40" t="s">
        <v>393</v>
      </c>
      <c r="W325" s="40" t="s">
        <v>393</v>
      </c>
      <c r="X325" s="40" t="s">
        <v>393</v>
      </c>
      <c r="Y325" s="40" t="s">
        <v>393</v>
      </c>
      <c r="Z325" s="40" t="s">
        <v>393</v>
      </c>
      <c r="AA325" s="40" t="s">
        <v>393</v>
      </c>
      <c r="AB325" s="40" t="s">
        <v>393</v>
      </c>
      <c r="AC325" s="40" t="s">
        <v>393</v>
      </c>
      <c r="AD325" s="40" t="s">
        <v>393</v>
      </c>
      <c r="AE325" s="40" t="s">
        <v>393</v>
      </c>
      <c r="AF325" s="40" t="s">
        <v>393</v>
      </c>
      <c r="AG325" s="40" t="s">
        <v>393</v>
      </c>
      <c r="AH325" s="40" t="s">
        <v>393</v>
      </c>
      <c r="AI325" s="40" t="s">
        <v>393</v>
      </c>
      <c r="AJ325" s="40" t="s">
        <v>393</v>
      </c>
      <c r="AK325" s="40" t="s">
        <v>393</v>
      </c>
      <c r="AL325" s="40" t="s">
        <v>393</v>
      </c>
      <c r="AM325" s="40" t="s">
        <v>393</v>
      </c>
      <c r="AN325" s="40" t="s">
        <v>393</v>
      </c>
      <c r="AO325" s="36" t="s">
        <v>4168</v>
      </c>
    </row>
    <row r="326" spans="1:41" hidden="1">
      <c r="A326" s="40" t="s">
        <v>2677</v>
      </c>
      <c r="B326" s="40" t="s">
        <v>393</v>
      </c>
      <c r="C326" s="40" t="s">
        <v>623</v>
      </c>
      <c r="D326" s="40" t="s">
        <v>4199</v>
      </c>
      <c r="E326" s="40" t="s">
        <v>656</v>
      </c>
      <c r="F326" s="40" t="s">
        <v>2740</v>
      </c>
      <c r="G326" s="40" t="s">
        <v>393</v>
      </c>
      <c r="H326" s="40" t="s">
        <v>4203</v>
      </c>
      <c r="I326" s="40" t="s">
        <v>4201</v>
      </c>
      <c r="J326" s="40" t="s">
        <v>305</v>
      </c>
      <c r="K326" s="40" t="s">
        <v>305</v>
      </c>
      <c r="L326" s="40" t="s">
        <v>393</v>
      </c>
      <c r="M326" s="40" t="s">
        <v>393</v>
      </c>
      <c r="N326" s="40" t="s">
        <v>2683</v>
      </c>
      <c r="O326" s="40" t="s">
        <v>4198</v>
      </c>
      <c r="P326" s="40" t="s">
        <v>393</v>
      </c>
      <c r="Q326" s="40" t="s">
        <v>393</v>
      </c>
      <c r="R326" s="40" t="s">
        <v>393</v>
      </c>
      <c r="S326" s="40" t="s">
        <v>393</v>
      </c>
      <c r="T326" s="40" t="s">
        <v>393</v>
      </c>
      <c r="U326" s="40" t="s">
        <v>393</v>
      </c>
      <c r="V326" s="40" t="s">
        <v>393</v>
      </c>
      <c r="W326" s="40" t="s">
        <v>393</v>
      </c>
      <c r="X326" s="40" t="s">
        <v>393</v>
      </c>
      <c r="Y326" s="40" t="s">
        <v>393</v>
      </c>
      <c r="Z326" s="40" t="s">
        <v>393</v>
      </c>
      <c r="AA326" s="40" t="s">
        <v>393</v>
      </c>
      <c r="AB326" s="40" t="s">
        <v>393</v>
      </c>
      <c r="AC326" s="40" t="s">
        <v>393</v>
      </c>
      <c r="AD326" s="40" t="s">
        <v>393</v>
      </c>
      <c r="AE326" s="40" t="s">
        <v>393</v>
      </c>
      <c r="AF326" s="40" t="s">
        <v>393</v>
      </c>
      <c r="AG326" s="40" t="s">
        <v>393</v>
      </c>
      <c r="AH326" s="40" t="s">
        <v>393</v>
      </c>
      <c r="AI326" s="40" t="s">
        <v>393</v>
      </c>
      <c r="AJ326" s="40" t="s">
        <v>393</v>
      </c>
      <c r="AK326" s="40" t="s">
        <v>393</v>
      </c>
      <c r="AL326" s="40" t="s">
        <v>393</v>
      </c>
      <c r="AM326" s="40" t="s">
        <v>393</v>
      </c>
      <c r="AN326" s="40" t="s">
        <v>393</v>
      </c>
      <c r="AO326" s="36" t="s">
        <v>4168</v>
      </c>
    </row>
    <row r="327" spans="1:41" hidden="1">
      <c r="A327" s="40" t="s">
        <v>2677</v>
      </c>
      <c r="B327" s="40" t="s">
        <v>393</v>
      </c>
      <c r="C327" s="40" t="s">
        <v>623</v>
      </c>
      <c r="D327" s="40" t="s">
        <v>4199</v>
      </c>
      <c r="E327" s="40" t="s">
        <v>656</v>
      </c>
      <c r="F327" s="40" t="s">
        <v>2920</v>
      </c>
      <c r="G327" s="40" t="s">
        <v>393</v>
      </c>
      <c r="H327" s="40" t="s">
        <v>4204</v>
      </c>
      <c r="I327" s="40" t="s">
        <v>4201</v>
      </c>
      <c r="J327" s="40" t="s">
        <v>305</v>
      </c>
      <c r="K327" s="40" t="s">
        <v>305</v>
      </c>
      <c r="L327" s="40" t="s">
        <v>393</v>
      </c>
      <c r="M327" s="40" t="s">
        <v>393</v>
      </c>
      <c r="N327" s="40" t="s">
        <v>2683</v>
      </c>
      <c r="O327" s="40" t="s">
        <v>4198</v>
      </c>
      <c r="P327" s="40" t="s">
        <v>393</v>
      </c>
      <c r="Q327" s="40" t="s">
        <v>393</v>
      </c>
      <c r="R327" s="40" t="s">
        <v>393</v>
      </c>
      <c r="S327" s="40" t="s">
        <v>393</v>
      </c>
      <c r="T327" s="40" t="s">
        <v>393</v>
      </c>
      <c r="U327" s="40" t="s">
        <v>393</v>
      </c>
      <c r="V327" s="40" t="s">
        <v>393</v>
      </c>
      <c r="W327" s="40" t="s">
        <v>393</v>
      </c>
      <c r="X327" s="40" t="s">
        <v>393</v>
      </c>
      <c r="Y327" s="40" t="s">
        <v>393</v>
      </c>
      <c r="Z327" s="40" t="s">
        <v>393</v>
      </c>
      <c r="AA327" s="40" t="s">
        <v>393</v>
      </c>
      <c r="AB327" s="40" t="s">
        <v>393</v>
      </c>
      <c r="AC327" s="40" t="s">
        <v>393</v>
      </c>
      <c r="AD327" s="40" t="s">
        <v>393</v>
      </c>
      <c r="AE327" s="40" t="s">
        <v>393</v>
      </c>
      <c r="AF327" s="40" t="s">
        <v>393</v>
      </c>
      <c r="AG327" s="40" t="s">
        <v>393</v>
      </c>
      <c r="AH327" s="40" t="s">
        <v>393</v>
      </c>
      <c r="AI327" s="40" t="s">
        <v>393</v>
      </c>
      <c r="AJ327" s="40" t="s">
        <v>393</v>
      </c>
      <c r="AK327" s="40" t="s">
        <v>393</v>
      </c>
      <c r="AL327" s="40" t="s">
        <v>393</v>
      </c>
      <c r="AM327" s="40" t="s">
        <v>393</v>
      </c>
      <c r="AN327" s="40" t="s">
        <v>393</v>
      </c>
      <c r="AO327" s="36" t="s">
        <v>4168</v>
      </c>
    </row>
    <row r="328" spans="1:41" hidden="1">
      <c r="A328" s="40" t="s">
        <v>2677</v>
      </c>
      <c r="B328" s="40" t="s">
        <v>393</v>
      </c>
      <c r="C328" s="40" t="s">
        <v>623</v>
      </c>
      <c r="D328" s="40" t="s">
        <v>4199</v>
      </c>
      <c r="E328" s="40" t="s">
        <v>656</v>
      </c>
      <c r="F328" s="40" t="s">
        <v>3293</v>
      </c>
      <c r="G328" s="40" t="s">
        <v>393</v>
      </c>
      <c r="H328" s="40" t="s">
        <v>4205</v>
      </c>
      <c r="I328" s="40" t="s">
        <v>4206</v>
      </c>
      <c r="J328" s="40" t="s">
        <v>305</v>
      </c>
      <c r="K328" s="40" t="s">
        <v>305</v>
      </c>
      <c r="L328" s="40" t="s">
        <v>393</v>
      </c>
      <c r="M328" s="40" t="s">
        <v>393</v>
      </c>
      <c r="N328" s="40" t="s">
        <v>2683</v>
      </c>
      <c r="O328" s="40" t="s">
        <v>4198</v>
      </c>
      <c r="P328" s="40" t="s">
        <v>393</v>
      </c>
      <c r="Q328" s="40" t="s">
        <v>393</v>
      </c>
      <c r="R328" s="40" t="s">
        <v>393</v>
      </c>
      <c r="S328" s="40" t="s">
        <v>393</v>
      </c>
      <c r="T328" s="40" t="s">
        <v>393</v>
      </c>
      <c r="U328" s="40" t="s">
        <v>393</v>
      </c>
      <c r="V328" s="40" t="s">
        <v>393</v>
      </c>
      <c r="W328" s="40" t="s">
        <v>393</v>
      </c>
      <c r="X328" s="40" t="s">
        <v>393</v>
      </c>
      <c r="Y328" s="40" t="s">
        <v>393</v>
      </c>
      <c r="Z328" s="40" t="s">
        <v>393</v>
      </c>
      <c r="AA328" s="40" t="s">
        <v>393</v>
      </c>
      <c r="AB328" s="40" t="s">
        <v>393</v>
      </c>
      <c r="AC328" s="40" t="s">
        <v>393</v>
      </c>
      <c r="AD328" s="40" t="s">
        <v>393</v>
      </c>
      <c r="AE328" s="40" t="s">
        <v>393</v>
      </c>
      <c r="AF328" s="40" t="s">
        <v>393</v>
      </c>
      <c r="AG328" s="40" t="s">
        <v>393</v>
      </c>
      <c r="AH328" s="40" t="s">
        <v>393</v>
      </c>
      <c r="AI328" s="40" t="s">
        <v>393</v>
      </c>
      <c r="AJ328" s="40" t="s">
        <v>393</v>
      </c>
      <c r="AK328" s="40" t="s">
        <v>393</v>
      </c>
      <c r="AL328" s="40" t="s">
        <v>393</v>
      </c>
      <c r="AM328" s="40" t="s">
        <v>393</v>
      </c>
      <c r="AN328" s="40" t="s">
        <v>393</v>
      </c>
      <c r="AO328" s="36" t="s">
        <v>4168</v>
      </c>
    </row>
    <row r="329" spans="1:41" hidden="1">
      <c r="A329" s="40" t="s">
        <v>2677</v>
      </c>
      <c r="B329" s="40" t="s">
        <v>393</v>
      </c>
      <c r="C329" s="40" t="s">
        <v>623</v>
      </c>
      <c r="D329" s="40" t="s">
        <v>4199</v>
      </c>
      <c r="E329" s="40" t="s">
        <v>656</v>
      </c>
      <c r="F329" s="40" t="s">
        <v>3349</v>
      </c>
      <c r="G329" s="40" t="s">
        <v>393</v>
      </c>
      <c r="H329" s="40" t="s">
        <v>4207</v>
      </c>
      <c r="I329" s="40" t="s">
        <v>4206</v>
      </c>
      <c r="J329" s="40" t="s">
        <v>305</v>
      </c>
      <c r="K329" s="40" t="s">
        <v>305</v>
      </c>
      <c r="L329" s="40" t="s">
        <v>393</v>
      </c>
      <c r="M329" s="40" t="s">
        <v>393</v>
      </c>
      <c r="N329" s="40" t="s">
        <v>2683</v>
      </c>
      <c r="O329" s="40" t="s">
        <v>4198</v>
      </c>
      <c r="P329" s="40" t="s">
        <v>393</v>
      </c>
      <c r="Q329" s="40" t="s">
        <v>393</v>
      </c>
      <c r="R329" s="40" t="s">
        <v>393</v>
      </c>
      <c r="S329" s="40" t="s">
        <v>393</v>
      </c>
      <c r="T329" s="40" t="s">
        <v>393</v>
      </c>
      <c r="U329" s="40" t="s">
        <v>393</v>
      </c>
      <c r="V329" s="40" t="s">
        <v>393</v>
      </c>
      <c r="W329" s="40" t="s">
        <v>393</v>
      </c>
      <c r="X329" s="40" t="s">
        <v>393</v>
      </c>
      <c r="Y329" s="40" t="s">
        <v>393</v>
      </c>
      <c r="Z329" s="40" t="s">
        <v>393</v>
      </c>
      <c r="AA329" s="40" t="s">
        <v>393</v>
      </c>
      <c r="AB329" s="40" t="s">
        <v>393</v>
      </c>
      <c r="AC329" s="40" t="s">
        <v>393</v>
      </c>
      <c r="AD329" s="40" t="s">
        <v>393</v>
      </c>
      <c r="AE329" s="40" t="s">
        <v>393</v>
      </c>
      <c r="AF329" s="40" t="s">
        <v>393</v>
      </c>
      <c r="AG329" s="40" t="s">
        <v>393</v>
      </c>
      <c r="AH329" s="40" t="s">
        <v>393</v>
      </c>
      <c r="AI329" s="40" t="s">
        <v>393</v>
      </c>
      <c r="AJ329" s="40" t="s">
        <v>393</v>
      </c>
      <c r="AK329" s="40" t="s">
        <v>393</v>
      </c>
      <c r="AL329" s="40" t="s">
        <v>393</v>
      </c>
      <c r="AM329" s="40" t="s">
        <v>393</v>
      </c>
      <c r="AN329" s="40" t="s">
        <v>393</v>
      </c>
      <c r="AO329" s="36" t="s">
        <v>4168</v>
      </c>
    </row>
    <row r="330" spans="1:41" hidden="1">
      <c r="A330" s="40" t="s">
        <v>2677</v>
      </c>
      <c r="B330" s="40" t="s">
        <v>393</v>
      </c>
      <c r="C330" s="40" t="s">
        <v>623</v>
      </c>
      <c r="D330" s="40" t="s">
        <v>4199</v>
      </c>
      <c r="E330" s="40" t="s">
        <v>656</v>
      </c>
      <c r="F330" s="40" t="s">
        <v>2888</v>
      </c>
      <c r="G330" s="40" t="s">
        <v>393</v>
      </c>
      <c r="H330" s="40" t="s">
        <v>4208</v>
      </c>
      <c r="I330" s="40" t="s">
        <v>4206</v>
      </c>
      <c r="J330" s="40" t="s">
        <v>305</v>
      </c>
      <c r="K330" s="40" t="s">
        <v>305</v>
      </c>
      <c r="L330" s="40" t="s">
        <v>393</v>
      </c>
      <c r="M330" s="40" t="s">
        <v>393</v>
      </c>
      <c r="N330" s="40" t="s">
        <v>2683</v>
      </c>
      <c r="O330" s="40" t="s">
        <v>4198</v>
      </c>
      <c r="P330" s="40" t="s">
        <v>393</v>
      </c>
      <c r="Q330" s="40" t="s">
        <v>393</v>
      </c>
      <c r="R330" s="40" t="s">
        <v>393</v>
      </c>
      <c r="S330" s="40" t="s">
        <v>393</v>
      </c>
      <c r="T330" s="40" t="s">
        <v>393</v>
      </c>
      <c r="U330" s="40" t="s">
        <v>393</v>
      </c>
      <c r="V330" s="40" t="s">
        <v>393</v>
      </c>
      <c r="W330" s="40" t="s">
        <v>393</v>
      </c>
      <c r="X330" s="40" t="s">
        <v>393</v>
      </c>
      <c r="Y330" s="40" t="s">
        <v>393</v>
      </c>
      <c r="Z330" s="40" t="s">
        <v>393</v>
      </c>
      <c r="AA330" s="40" t="s">
        <v>393</v>
      </c>
      <c r="AB330" s="40" t="s">
        <v>393</v>
      </c>
      <c r="AC330" s="40" t="s">
        <v>393</v>
      </c>
      <c r="AD330" s="40" t="s">
        <v>393</v>
      </c>
      <c r="AE330" s="40" t="s">
        <v>393</v>
      </c>
      <c r="AF330" s="40" t="s">
        <v>393</v>
      </c>
      <c r="AG330" s="40" t="s">
        <v>393</v>
      </c>
      <c r="AH330" s="40" t="s">
        <v>393</v>
      </c>
      <c r="AI330" s="40" t="s">
        <v>393</v>
      </c>
      <c r="AJ330" s="40" t="s">
        <v>393</v>
      </c>
      <c r="AK330" s="40" t="s">
        <v>393</v>
      </c>
      <c r="AL330" s="40" t="s">
        <v>393</v>
      </c>
      <c r="AM330" s="40" t="s">
        <v>393</v>
      </c>
      <c r="AN330" s="40" t="s">
        <v>393</v>
      </c>
      <c r="AO330" s="36" t="s">
        <v>4168</v>
      </c>
    </row>
    <row r="331" spans="1:41" hidden="1">
      <c r="A331" s="40" t="s">
        <v>2677</v>
      </c>
      <c r="B331" s="40" t="s">
        <v>393</v>
      </c>
      <c r="C331" s="40" t="s">
        <v>623</v>
      </c>
      <c r="D331" s="40" t="s">
        <v>4199</v>
      </c>
      <c r="E331" s="40" t="s">
        <v>656</v>
      </c>
      <c r="F331" s="40" t="s">
        <v>3623</v>
      </c>
      <c r="G331" s="40" t="s">
        <v>393</v>
      </c>
      <c r="H331" s="40" t="s">
        <v>4209</v>
      </c>
      <c r="I331" s="40" t="s">
        <v>4206</v>
      </c>
      <c r="J331" s="40" t="s">
        <v>305</v>
      </c>
      <c r="K331" s="40" t="s">
        <v>305</v>
      </c>
      <c r="L331" s="40" t="s">
        <v>393</v>
      </c>
      <c r="M331" s="40" t="s">
        <v>393</v>
      </c>
      <c r="N331" s="40" t="s">
        <v>2683</v>
      </c>
      <c r="O331" s="40" t="s">
        <v>4198</v>
      </c>
      <c r="P331" s="40" t="s">
        <v>393</v>
      </c>
      <c r="Q331" s="40" t="s">
        <v>393</v>
      </c>
      <c r="R331" s="40" t="s">
        <v>393</v>
      </c>
      <c r="S331" s="40" t="s">
        <v>393</v>
      </c>
      <c r="T331" s="40" t="s">
        <v>393</v>
      </c>
      <c r="U331" s="40" t="s">
        <v>393</v>
      </c>
      <c r="V331" s="40" t="s">
        <v>393</v>
      </c>
      <c r="W331" s="40" t="s">
        <v>393</v>
      </c>
      <c r="X331" s="40" t="s">
        <v>393</v>
      </c>
      <c r="Y331" s="40" t="s">
        <v>393</v>
      </c>
      <c r="Z331" s="40" t="s">
        <v>393</v>
      </c>
      <c r="AA331" s="40" t="s">
        <v>393</v>
      </c>
      <c r="AB331" s="40" t="s">
        <v>393</v>
      </c>
      <c r="AC331" s="40" t="s">
        <v>393</v>
      </c>
      <c r="AD331" s="40" t="s">
        <v>393</v>
      </c>
      <c r="AE331" s="40" t="s">
        <v>393</v>
      </c>
      <c r="AF331" s="40" t="s">
        <v>393</v>
      </c>
      <c r="AG331" s="40" t="s">
        <v>393</v>
      </c>
      <c r="AH331" s="40" t="s">
        <v>393</v>
      </c>
      <c r="AI331" s="40" t="s">
        <v>393</v>
      </c>
      <c r="AJ331" s="40" t="s">
        <v>393</v>
      </c>
      <c r="AK331" s="40" t="s">
        <v>393</v>
      </c>
      <c r="AL331" s="40" t="s">
        <v>393</v>
      </c>
      <c r="AM331" s="40" t="s">
        <v>393</v>
      </c>
      <c r="AN331" s="40" t="s">
        <v>393</v>
      </c>
      <c r="AO331" s="36" t="s">
        <v>4168</v>
      </c>
    </row>
    <row r="332" spans="1:41" hidden="1">
      <c r="A332" s="40" t="s">
        <v>2677</v>
      </c>
      <c r="B332" s="40" t="s">
        <v>393</v>
      </c>
      <c r="C332" s="40" t="s">
        <v>623</v>
      </c>
      <c r="D332" s="40" t="s">
        <v>4210</v>
      </c>
      <c r="E332" s="40" t="s">
        <v>656</v>
      </c>
      <c r="F332" s="40" t="s">
        <v>2680</v>
      </c>
      <c r="G332" s="40" t="s">
        <v>393</v>
      </c>
      <c r="H332" s="40" t="s">
        <v>4211</v>
      </c>
      <c r="I332" s="40" t="s">
        <v>4212</v>
      </c>
      <c r="J332" s="40" t="s">
        <v>305</v>
      </c>
      <c r="K332" s="40" t="s">
        <v>305</v>
      </c>
      <c r="L332" s="40" t="s">
        <v>393</v>
      </c>
      <c r="M332" s="40" t="s">
        <v>393</v>
      </c>
      <c r="N332" s="40" t="s">
        <v>2683</v>
      </c>
      <c r="O332" s="40" t="s">
        <v>4213</v>
      </c>
      <c r="P332" s="40" t="s">
        <v>393</v>
      </c>
      <c r="Q332" s="40" t="s">
        <v>393</v>
      </c>
      <c r="R332" s="40" t="s">
        <v>393</v>
      </c>
      <c r="S332" s="40" t="s">
        <v>393</v>
      </c>
      <c r="T332" s="40" t="s">
        <v>393</v>
      </c>
      <c r="U332" s="40" t="s">
        <v>393</v>
      </c>
      <c r="V332" s="40" t="s">
        <v>393</v>
      </c>
      <c r="W332" s="40" t="s">
        <v>393</v>
      </c>
      <c r="X332" s="40" t="s">
        <v>393</v>
      </c>
      <c r="Y332" s="40" t="s">
        <v>393</v>
      </c>
      <c r="Z332" s="40" t="s">
        <v>393</v>
      </c>
      <c r="AA332" s="40" t="s">
        <v>393</v>
      </c>
      <c r="AB332" s="40" t="s">
        <v>393</v>
      </c>
      <c r="AC332" s="40" t="s">
        <v>393</v>
      </c>
      <c r="AD332" s="40" t="s">
        <v>393</v>
      </c>
      <c r="AE332" s="40" t="s">
        <v>393</v>
      </c>
      <c r="AF332" s="40" t="s">
        <v>393</v>
      </c>
      <c r="AG332" s="40" t="s">
        <v>393</v>
      </c>
      <c r="AH332" s="40" t="s">
        <v>393</v>
      </c>
      <c r="AI332" s="40" t="s">
        <v>393</v>
      </c>
      <c r="AJ332" s="40" t="s">
        <v>393</v>
      </c>
      <c r="AK332" s="40" t="s">
        <v>393</v>
      </c>
      <c r="AL332" s="40" t="s">
        <v>393</v>
      </c>
      <c r="AM332" s="40" t="s">
        <v>393</v>
      </c>
      <c r="AN332" s="40" t="s">
        <v>393</v>
      </c>
      <c r="AO332" s="36" t="s">
        <v>4168</v>
      </c>
    </row>
    <row r="333" spans="1:41" hidden="1">
      <c r="A333" s="40" t="s">
        <v>2677</v>
      </c>
      <c r="B333" s="40" t="s">
        <v>393</v>
      </c>
      <c r="C333" s="40" t="s">
        <v>623</v>
      </c>
      <c r="D333" s="40" t="s">
        <v>4210</v>
      </c>
      <c r="E333" s="40" t="s">
        <v>656</v>
      </c>
      <c r="F333" s="40" t="s">
        <v>2782</v>
      </c>
      <c r="G333" s="40" t="s">
        <v>393</v>
      </c>
      <c r="H333" s="40" t="s">
        <v>4214</v>
      </c>
      <c r="I333" s="40" t="s">
        <v>4215</v>
      </c>
      <c r="J333" s="40" t="s">
        <v>305</v>
      </c>
      <c r="K333" s="40" t="s">
        <v>305</v>
      </c>
      <c r="L333" s="40" t="s">
        <v>393</v>
      </c>
      <c r="M333" s="40" t="s">
        <v>393</v>
      </c>
      <c r="N333" s="40" t="s">
        <v>2683</v>
      </c>
      <c r="O333" s="40" t="s">
        <v>4213</v>
      </c>
      <c r="P333" s="40" t="s">
        <v>393</v>
      </c>
      <c r="Q333" s="40" t="s">
        <v>393</v>
      </c>
      <c r="R333" s="40" t="s">
        <v>393</v>
      </c>
      <c r="S333" s="40" t="s">
        <v>393</v>
      </c>
      <c r="T333" s="40" t="s">
        <v>393</v>
      </c>
      <c r="U333" s="40" t="s">
        <v>393</v>
      </c>
      <c r="V333" s="40" t="s">
        <v>393</v>
      </c>
      <c r="W333" s="40" t="s">
        <v>393</v>
      </c>
      <c r="X333" s="40" t="s">
        <v>393</v>
      </c>
      <c r="Y333" s="40" t="s">
        <v>393</v>
      </c>
      <c r="Z333" s="40" t="s">
        <v>393</v>
      </c>
      <c r="AA333" s="40" t="s">
        <v>393</v>
      </c>
      <c r="AB333" s="40" t="s">
        <v>393</v>
      </c>
      <c r="AC333" s="40" t="s">
        <v>393</v>
      </c>
      <c r="AD333" s="40" t="s">
        <v>393</v>
      </c>
      <c r="AE333" s="40" t="s">
        <v>393</v>
      </c>
      <c r="AF333" s="40" t="s">
        <v>393</v>
      </c>
      <c r="AG333" s="40" t="s">
        <v>393</v>
      </c>
      <c r="AH333" s="40" t="s">
        <v>393</v>
      </c>
      <c r="AI333" s="40" t="s">
        <v>393</v>
      </c>
      <c r="AJ333" s="40" t="s">
        <v>393</v>
      </c>
      <c r="AK333" s="40" t="s">
        <v>393</v>
      </c>
      <c r="AL333" s="40" t="s">
        <v>393</v>
      </c>
      <c r="AM333" s="40" t="s">
        <v>393</v>
      </c>
      <c r="AN333" s="40" t="s">
        <v>393</v>
      </c>
      <c r="AO333" s="36" t="s">
        <v>4168</v>
      </c>
    </row>
    <row r="334" spans="1:41" ht="27.6" hidden="1">
      <c r="A334" s="40" t="s">
        <v>2677</v>
      </c>
      <c r="B334" s="40" t="s">
        <v>393</v>
      </c>
      <c r="C334" s="40" t="s">
        <v>623</v>
      </c>
      <c r="D334" s="40" t="s">
        <v>4210</v>
      </c>
      <c r="E334" s="40" t="s">
        <v>656</v>
      </c>
      <c r="F334" s="40" t="s">
        <v>2740</v>
      </c>
      <c r="G334" s="40" t="s">
        <v>393</v>
      </c>
      <c r="H334" s="40" t="s">
        <v>4216</v>
      </c>
      <c r="I334" s="40" t="s">
        <v>4217</v>
      </c>
      <c r="J334" s="40" t="s">
        <v>305</v>
      </c>
      <c r="K334" s="40" t="s">
        <v>305</v>
      </c>
      <c r="L334" s="40" t="s">
        <v>393</v>
      </c>
      <c r="M334" s="40" t="s">
        <v>393</v>
      </c>
      <c r="N334" s="40" t="s">
        <v>2683</v>
      </c>
      <c r="O334" s="40" t="s">
        <v>4213</v>
      </c>
      <c r="P334" s="40" t="s">
        <v>393</v>
      </c>
      <c r="Q334" s="40" t="s">
        <v>393</v>
      </c>
      <c r="R334" s="40" t="s">
        <v>393</v>
      </c>
      <c r="S334" s="40" t="s">
        <v>393</v>
      </c>
      <c r="T334" s="40" t="s">
        <v>393</v>
      </c>
      <c r="U334" s="40" t="s">
        <v>393</v>
      </c>
      <c r="V334" s="40" t="s">
        <v>393</v>
      </c>
      <c r="W334" s="40" t="s">
        <v>393</v>
      </c>
      <c r="X334" s="40" t="s">
        <v>393</v>
      </c>
      <c r="Y334" s="40" t="s">
        <v>393</v>
      </c>
      <c r="Z334" s="40" t="s">
        <v>393</v>
      </c>
      <c r="AA334" s="40" t="s">
        <v>393</v>
      </c>
      <c r="AB334" s="40" t="s">
        <v>393</v>
      </c>
      <c r="AC334" s="40" t="s">
        <v>393</v>
      </c>
      <c r="AD334" s="40" t="s">
        <v>393</v>
      </c>
      <c r="AE334" s="40" t="s">
        <v>393</v>
      </c>
      <c r="AF334" s="40" t="s">
        <v>393</v>
      </c>
      <c r="AG334" s="40" t="s">
        <v>393</v>
      </c>
      <c r="AH334" s="40" t="s">
        <v>393</v>
      </c>
      <c r="AI334" s="40" t="s">
        <v>393</v>
      </c>
      <c r="AJ334" s="40" t="s">
        <v>393</v>
      </c>
      <c r="AK334" s="40" t="s">
        <v>393</v>
      </c>
      <c r="AL334" s="40" t="s">
        <v>393</v>
      </c>
      <c r="AM334" s="40" t="s">
        <v>393</v>
      </c>
      <c r="AN334" s="40" t="s">
        <v>393</v>
      </c>
      <c r="AO334" s="36" t="s">
        <v>4218</v>
      </c>
    </row>
    <row r="335" spans="1:41" hidden="1">
      <c r="A335" s="40" t="s">
        <v>2677</v>
      </c>
      <c r="B335" s="40" t="s">
        <v>393</v>
      </c>
      <c r="C335" s="40" t="s">
        <v>623</v>
      </c>
      <c r="D335" s="40" t="s">
        <v>4210</v>
      </c>
      <c r="E335" s="40" t="s">
        <v>656</v>
      </c>
      <c r="F335" s="40" t="s">
        <v>2920</v>
      </c>
      <c r="G335" s="40" t="s">
        <v>393</v>
      </c>
      <c r="H335" s="40" t="s">
        <v>4219</v>
      </c>
      <c r="I335" s="40" t="s">
        <v>4220</v>
      </c>
      <c r="J335" s="40" t="s">
        <v>305</v>
      </c>
      <c r="K335" s="40" t="s">
        <v>305</v>
      </c>
      <c r="L335" s="40" t="s">
        <v>393</v>
      </c>
      <c r="M335" s="40" t="s">
        <v>393</v>
      </c>
      <c r="N335" s="40" t="s">
        <v>2683</v>
      </c>
      <c r="O335" s="40" t="s">
        <v>4213</v>
      </c>
      <c r="P335" s="40" t="s">
        <v>393</v>
      </c>
      <c r="Q335" s="40" t="s">
        <v>393</v>
      </c>
      <c r="R335" s="40" t="s">
        <v>393</v>
      </c>
      <c r="S335" s="40" t="s">
        <v>393</v>
      </c>
      <c r="T335" s="40" t="s">
        <v>393</v>
      </c>
      <c r="U335" s="40" t="s">
        <v>393</v>
      </c>
      <c r="V335" s="40" t="s">
        <v>393</v>
      </c>
      <c r="W335" s="40" t="s">
        <v>393</v>
      </c>
      <c r="X335" s="40" t="s">
        <v>393</v>
      </c>
      <c r="Y335" s="40" t="s">
        <v>393</v>
      </c>
      <c r="Z335" s="40" t="s">
        <v>393</v>
      </c>
      <c r="AA335" s="40" t="s">
        <v>393</v>
      </c>
      <c r="AB335" s="40" t="s">
        <v>393</v>
      </c>
      <c r="AC335" s="40" t="s">
        <v>393</v>
      </c>
      <c r="AD335" s="40" t="s">
        <v>393</v>
      </c>
      <c r="AE335" s="40" t="s">
        <v>393</v>
      </c>
      <c r="AF335" s="40" t="s">
        <v>393</v>
      </c>
      <c r="AG335" s="40" t="s">
        <v>393</v>
      </c>
      <c r="AH335" s="40" t="s">
        <v>393</v>
      </c>
      <c r="AI335" s="40" t="s">
        <v>393</v>
      </c>
      <c r="AJ335" s="40" t="s">
        <v>393</v>
      </c>
      <c r="AK335" s="40" t="s">
        <v>393</v>
      </c>
      <c r="AL335" s="40" t="s">
        <v>393</v>
      </c>
      <c r="AM335" s="40" t="s">
        <v>393</v>
      </c>
      <c r="AN335" s="40" t="s">
        <v>393</v>
      </c>
      <c r="AO335" s="36" t="s">
        <v>4168</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F90C7-062A-4CEC-B59C-97557A432B9A}">
  <sheetPr filterMode="1"/>
  <dimension ref="A1:M21"/>
  <sheetViews>
    <sheetView workbookViewId="0">
      <selection activeCell="J13" sqref="J13"/>
    </sheetView>
  </sheetViews>
  <sheetFormatPr defaultRowHeight="13.2"/>
  <cols>
    <col min="1" max="1" width="15.6640625" bestFit="1" customWidth="1"/>
    <col min="2" max="2" width="9.44140625" customWidth="1"/>
    <col min="3" max="3" width="17.33203125" bestFit="1" customWidth="1"/>
    <col min="4" max="4" width="27.109375" customWidth="1"/>
    <col min="5" max="5" width="79.88671875" bestFit="1" customWidth="1"/>
    <col min="7" max="7" width="9.44140625" bestFit="1" customWidth="1"/>
    <col min="9" max="9" width="8.33203125" bestFit="1" customWidth="1"/>
    <col min="10" max="10" width="6.6640625" bestFit="1" customWidth="1"/>
    <col min="11" max="13" width="15" customWidth="1"/>
  </cols>
  <sheetData>
    <row r="1" spans="1:13">
      <c r="A1" s="123" t="s">
        <v>985</v>
      </c>
      <c r="B1" s="123" t="s">
        <v>986</v>
      </c>
      <c r="C1" s="123" t="s">
        <v>987</v>
      </c>
      <c r="D1" s="123" t="s">
        <v>988</v>
      </c>
      <c r="E1" s="124" t="s">
        <v>989</v>
      </c>
      <c r="F1" s="121" t="s">
        <v>990</v>
      </c>
      <c r="G1" s="121" t="s">
        <v>991</v>
      </c>
      <c r="H1" s="121" t="s">
        <v>992</v>
      </c>
      <c r="I1" s="121" t="s">
        <v>8</v>
      </c>
      <c r="J1" s="121" t="s">
        <v>1548</v>
      </c>
      <c r="K1" s="126" t="s">
        <v>1549</v>
      </c>
      <c r="L1" s="126" t="s">
        <v>4221</v>
      </c>
      <c r="M1" s="121" t="s">
        <v>1551</v>
      </c>
    </row>
    <row r="2" spans="1:13">
      <c r="A2" s="123"/>
      <c r="B2" s="123"/>
      <c r="C2" s="123"/>
      <c r="D2" s="123"/>
      <c r="E2" s="125"/>
      <c r="F2" s="122"/>
      <c r="G2" s="122"/>
      <c r="H2" s="122"/>
      <c r="I2" s="122"/>
      <c r="J2" s="122"/>
      <c r="K2" s="127"/>
      <c r="L2" s="128"/>
      <c r="M2" s="122"/>
    </row>
    <row r="3" spans="1:13">
      <c r="A3" s="123"/>
      <c r="B3" s="123"/>
      <c r="C3" s="123"/>
      <c r="D3" s="123"/>
      <c r="E3" s="125"/>
      <c r="F3" s="122"/>
      <c r="G3" s="122"/>
      <c r="H3" s="122"/>
      <c r="I3" s="122"/>
      <c r="J3" s="122"/>
      <c r="K3" s="127"/>
      <c r="L3" s="128"/>
      <c r="M3" s="122"/>
    </row>
    <row r="4" spans="1:13">
      <c r="A4" s="123"/>
      <c r="B4" s="123"/>
      <c r="C4" s="123"/>
      <c r="D4" s="123"/>
      <c r="E4" s="125"/>
      <c r="F4" s="122"/>
      <c r="G4" s="122"/>
      <c r="H4" s="122"/>
      <c r="I4" s="122"/>
      <c r="J4" s="122"/>
      <c r="K4" s="127"/>
      <c r="L4" s="128"/>
      <c r="M4" s="122"/>
    </row>
    <row r="5" spans="1:13">
      <c r="A5" s="123"/>
      <c r="B5" s="123"/>
      <c r="C5" s="123"/>
      <c r="D5" s="123"/>
      <c r="E5" s="125"/>
      <c r="F5" s="122"/>
      <c r="G5" s="122"/>
      <c r="H5" s="122"/>
      <c r="I5" s="122"/>
      <c r="J5" s="122"/>
      <c r="K5" s="127"/>
      <c r="L5" s="128"/>
      <c r="M5" s="122"/>
    </row>
    <row r="6" spans="1:13" ht="30">
      <c r="A6" s="62"/>
      <c r="B6" s="62"/>
      <c r="C6" s="62"/>
      <c r="D6" s="63"/>
      <c r="E6" s="62"/>
      <c r="F6" s="64"/>
      <c r="G6" s="65"/>
      <c r="H6" s="64"/>
      <c r="I6" s="64"/>
      <c r="J6" s="62"/>
      <c r="K6" s="66"/>
      <c r="L6" s="67"/>
      <c r="M6" s="68"/>
    </row>
    <row r="7" spans="1:13" ht="38.4" hidden="1">
      <c r="A7" s="69" t="s">
        <v>306</v>
      </c>
      <c r="B7" s="69" t="s">
        <v>15</v>
      </c>
      <c r="C7" s="69" t="s">
        <v>993</v>
      </c>
      <c r="D7" s="70" t="s">
        <v>994</v>
      </c>
      <c r="E7" s="71" t="s">
        <v>995</v>
      </c>
      <c r="F7" s="70" t="s">
        <v>310</v>
      </c>
      <c r="G7" s="72" t="s">
        <v>309</v>
      </c>
      <c r="H7" s="73">
        <v>11</v>
      </c>
      <c r="I7" s="72"/>
      <c r="J7" s="72" t="s">
        <v>311</v>
      </c>
      <c r="K7" s="74">
        <v>7109</v>
      </c>
      <c r="L7" s="72">
        <v>8000</v>
      </c>
      <c r="M7" s="72">
        <v>384.66570418641521</v>
      </c>
    </row>
    <row r="8" spans="1:13" ht="38.4">
      <c r="A8" s="69" t="s">
        <v>306</v>
      </c>
      <c r="B8" s="69" t="s">
        <v>321</v>
      </c>
      <c r="C8" s="69" t="s">
        <v>996</v>
      </c>
      <c r="D8" s="70" t="s">
        <v>997</v>
      </c>
      <c r="E8" s="71" t="s">
        <v>995</v>
      </c>
      <c r="F8" s="70" t="s">
        <v>310</v>
      </c>
      <c r="G8" s="72" t="s">
        <v>309</v>
      </c>
      <c r="H8" s="73">
        <v>11</v>
      </c>
      <c r="I8" s="72"/>
      <c r="J8" s="72" t="s">
        <v>311</v>
      </c>
      <c r="K8" s="74">
        <v>7109</v>
      </c>
      <c r="L8" s="72">
        <v>8000</v>
      </c>
      <c r="M8" s="72">
        <v>384.66570418641521</v>
      </c>
    </row>
    <row r="9" spans="1:13" ht="19.2" hidden="1">
      <c r="A9" s="69" t="s">
        <v>306</v>
      </c>
      <c r="B9" s="69" t="s">
        <v>15</v>
      </c>
      <c r="C9" s="69" t="s">
        <v>993</v>
      </c>
      <c r="D9" s="70" t="s">
        <v>323</v>
      </c>
      <c r="E9" s="75" t="s">
        <v>324</v>
      </c>
      <c r="F9" s="70" t="s">
        <v>310</v>
      </c>
      <c r="G9" s="72" t="s">
        <v>20</v>
      </c>
      <c r="H9" s="73">
        <v>11</v>
      </c>
      <c r="I9" s="72"/>
      <c r="J9" s="72" t="s">
        <v>311</v>
      </c>
      <c r="K9" s="74"/>
      <c r="L9" s="72">
        <v>853.73736173953819</v>
      </c>
      <c r="M9" s="72"/>
    </row>
    <row r="10" spans="1:13" ht="19.2">
      <c r="A10" s="69" t="s">
        <v>306</v>
      </c>
      <c r="B10" s="69" t="s">
        <v>321</v>
      </c>
      <c r="C10" s="69" t="s">
        <v>996</v>
      </c>
      <c r="D10" s="70" t="s">
        <v>328</v>
      </c>
      <c r="E10" s="75" t="s">
        <v>329</v>
      </c>
      <c r="F10" s="70" t="s">
        <v>310</v>
      </c>
      <c r="G10" s="72" t="s">
        <v>20</v>
      </c>
      <c r="H10" s="73">
        <v>11</v>
      </c>
      <c r="I10" s="72"/>
      <c r="J10" s="72" t="s">
        <v>311</v>
      </c>
      <c r="K10" s="74"/>
      <c r="L10" s="72">
        <v>160.790260016519</v>
      </c>
      <c r="M10" s="72"/>
    </row>
    <row r="11" spans="1:13" ht="19.2" hidden="1">
      <c r="A11" s="77" t="s">
        <v>306</v>
      </c>
      <c r="B11" s="77"/>
      <c r="C11" s="77" t="s">
        <v>4222</v>
      </c>
      <c r="D11" s="78" t="s">
        <v>331</v>
      </c>
      <c r="E11" s="79" t="s">
        <v>332</v>
      </c>
      <c r="F11" s="78" t="s">
        <v>333</v>
      </c>
      <c r="G11" s="80" t="s">
        <v>20</v>
      </c>
      <c r="H11" s="81">
        <v>11</v>
      </c>
      <c r="I11" s="80"/>
      <c r="J11" s="80" t="s">
        <v>311</v>
      </c>
      <c r="K11" s="82"/>
      <c r="L11" s="80">
        <v>1473.6042320962667</v>
      </c>
      <c r="M11" s="80"/>
    </row>
    <row r="12" spans="1:13" ht="19.2" hidden="1">
      <c r="A12" s="69" t="s">
        <v>306</v>
      </c>
      <c r="B12" s="69" t="s">
        <v>15</v>
      </c>
      <c r="C12" s="69" t="s">
        <v>993</v>
      </c>
      <c r="D12" s="70" t="s">
        <v>335</v>
      </c>
      <c r="E12" s="75" t="s">
        <v>324</v>
      </c>
      <c r="F12" s="70" t="s">
        <v>310</v>
      </c>
      <c r="G12" s="72" t="s">
        <v>20</v>
      </c>
      <c r="H12" s="73">
        <v>11</v>
      </c>
      <c r="I12" s="72"/>
      <c r="J12" s="72" t="s">
        <v>311</v>
      </c>
      <c r="K12" s="74"/>
      <c r="L12" s="72">
        <v>1025.4942906147394</v>
      </c>
      <c r="M12" s="72"/>
    </row>
    <row r="13" spans="1:13" ht="19.2">
      <c r="A13" s="69" t="s">
        <v>306</v>
      </c>
      <c r="B13" s="69" t="s">
        <v>321</v>
      </c>
      <c r="C13" s="69" t="s">
        <v>996</v>
      </c>
      <c r="D13" s="70" t="s">
        <v>337</v>
      </c>
      <c r="E13" s="75" t="s">
        <v>338</v>
      </c>
      <c r="F13" s="70" t="s">
        <v>310</v>
      </c>
      <c r="G13" s="72" t="s">
        <v>20</v>
      </c>
      <c r="H13" s="73">
        <v>11</v>
      </c>
      <c r="I13" s="72"/>
      <c r="J13" s="72" t="s">
        <v>311</v>
      </c>
      <c r="K13" s="74"/>
      <c r="L13" s="72">
        <v>791.01119673965445</v>
      </c>
      <c r="M13" s="72"/>
    </row>
    <row r="14" spans="1:13" ht="19.2" hidden="1">
      <c r="A14" s="69" t="s">
        <v>306</v>
      </c>
      <c r="B14" s="69" t="s">
        <v>15</v>
      </c>
      <c r="C14" s="69" t="s">
        <v>993</v>
      </c>
      <c r="D14" s="70" t="s">
        <v>340</v>
      </c>
      <c r="E14" s="75" t="s">
        <v>341</v>
      </c>
      <c r="F14" s="70" t="s">
        <v>310</v>
      </c>
      <c r="G14" s="72" t="s">
        <v>20</v>
      </c>
      <c r="H14" s="73">
        <v>11</v>
      </c>
      <c r="I14" s="72"/>
      <c r="J14" s="72" t="s">
        <v>311</v>
      </c>
      <c r="K14" s="74"/>
      <c r="L14" s="72">
        <v>596.07058078654882</v>
      </c>
      <c r="M14" s="72"/>
    </row>
    <row r="15" spans="1:13" ht="19.2">
      <c r="A15" s="69" t="s">
        <v>306</v>
      </c>
      <c r="B15" s="69" t="s">
        <v>321</v>
      </c>
      <c r="C15" s="69" t="s">
        <v>996</v>
      </c>
      <c r="D15" s="70" t="s">
        <v>343</v>
      </c>
      <c r="E15" s="75" t="s">
        <v>344</v>
      </c>
      <c r="F15" s="70" t="s">
        <v>310</v>
      </c>
      <c r="G15" s="72" t="s">
        <v>20</v>
      </c>
      <c r="H15" s="73">
        <v>11</v>
      </c>
      <c r="I15" s="72"/>
      <c r="J15" s="72" t="s">
        <v>311</v>
      </c>
      <c r="K15" s="74"/>
      <c r="L15" s="72">
        <v>501.70787890517335</v>
      </c>
      <c r="M15" s="72"/>
    </row>
    <row r="16" spans="1:13" ht="19.2">
      <c r="A16" s="69" t="s">
        <v>306</v>
      </c>
      <c r="B16" s="69" t="s">
        <v>321</v>
      </c>
      <c r="C16" s="69" t="s">
        <v>4222</v>
      </c>
      <c r="D16" s="70" t="s">
        <v>346</v>
      </c>
      <c r="E16" s="75" t="s">
        <v>347</v>
      </c>
      <c r="F16" s="83" t="s">
        <v>310</v>
      </c>
      <c r="G16" s="72" t="s">
        <v>20</v>
      </c>
      <c r="H16" s="73">
        <v>11</v>
      </c>
      <c r="I16" s="72"/>
      <c r="J16" s="72" t="s">
        <v>311</v>
      </c>
      <c r="K16" s="74">
        <v>100</v>
      </c>
      <c r="L16" s="72">
        <v>100</v>
      </c>
      <c r="M16" s="72">
        <v>5.4109678462008048</v>
      </c>
    </row>
    <row r="17" spans="1:13" ht="38.4" hidden="1">
      <c r="A17" s="69" t="s">
        <v>306</v>
      </c>
      <c r="B17" s="69" t="s">
        <v>15</v>
      </c>
      <c r="C17" s="69" t="s">
        <v>993</v>
      </c>
      <c r="D17" s="70" t="s">
        <v>1000</v>
      </c>
      <c r="E17" s="71" t="s">
        <v>351</v>
      </c>
      <c r="F17" s="70" t="s">
        <v>310</v>
      </c>
      <c r="G17" s="72" t="s">
        <v>352</v>
      </c>
      <c r="H17" s="73">
        <v>11</v>
      </c>
      <c r="I17" s="72"/>
      <c r="J17" s="72" t="s">
        <v>353</v>
      </c>
      <c r="K17" s="74">
        <v>539</v>
      </c>
      <c r="L17" s="72">
        <v>600</v>
      </c>
      <c r="M17" s="72">
        <v>33.282544929754899</v>
      </c>
    </row>
    <row r="18" spans="1:13" ht="38.4">
      <c r="A18" s="69" t="s">
        <v>306</v>
      </c>
      <c r="B18" s="69" t="s">
        <v>321</v>
      </c>
      <c r="C18" s="69" t="s">
        <v>996</v>
      </c>
      <c r="D18" s="70" t="s">
        <v>1001</v>
      </c>
      <c r="E18" s="71" t="s">
        <v>362</v>
      </c>
      <c r="F18" s="70" t="s">
        <v>310</v>
      </c>
      <c r="G18" s="72" t="s">
        <v>352</v>
      </c>
      <c r="H18" s="73">
        <v>11</v>
      </c>
      <c r="I18" s="72"/>
      <c r="J18" s="72" t="s">
        <v>363</v>
      </c>
      <c r="K18" s="74">
        <v>539</v>
      </c>
      <c r="L18" s="72">
        <v>600</v>
      </c>
      <c r="M18" s="72">
        <v>33.282544929754899</v>
      </c>
    </row>
    <row r="19" spans="1:13" ht="38.4" hidden="1">
      <c r="A19" s="69" t="s">
        <v>306</v>
      </c>
      <c r="B19" s="69" t="s">
        <v>15</v>
      </c>
      <c r="C19" s="69" t="s">
        <v>993</v>
      </c>
      <c r="D19" s="70" t="s">
        <v>1002</v>
      </c>
      <c r="E19" s="71" t="s">
        <v>1003</v>
      </c>
      <c r="F19" s="70" t="s">
        <v>310</v>
      </c>
      <c r="G19" s="72" t="s">
        <v>352</v>
      </c>
      <c r="H19" s="73">
        <v>11</v>
      </c>
      <c r="I19" s="72"/>
      <c r="J19" s="72" t="s">
        <v>311</v>
      </c>
      <c r="K19" s="72">
        <v>1044</v>
      </c>
      <c r="L19" s="72">
        <v>1500</v>
      </c>
      <c r="M19" s="72">
        <v>64.465634335183879</v>
      </c>
    </row>
    <row r="20" spans="1:13" ht="57.6">
      <c r="A20" s="69" t="s">
        <v>306</v>
      </c>
      <c r="B20" s="69" t="s">
        <v>321</v>
      </c>
      <c r="C20" s="69" t="s">
        <v>4222</v>
      </c>
      <c r="D20" s="70" t="s">
        <v>1004</v>
      </c>
      <c r="E20" s="71" t="s">
        <v>1005</v>
      </c>
      <c r="F20" s="83" t="s">
        <v>310</v>
      </c>
      <c r="G20" s="72" t="s">
        <v>352</v>
      </c>
      <c r="H20" s="73">
        <v>11</v>
      </c>
      <c r="I20" s="72" t="s">
        <v>1640</v>
      </c>
      <c r="J20" s="72" t="s">
        <v>353</v>
      </c>
      <c r="K20" s="72">
        <v>375</v>
      </c>
      <c r="L20" s="72">
        <v>600</v>
      </c>
      <c r="M20" s="72">
        <v>23.155759459476968</v>
      </c>
    </row>
    <row r="21" spans="1:13" ht="38.4" hidden="1">
      <c r="A21" s="69" t="s">
        <v>306</v>
      </c>
      <c r="B21" s="69" t="s">
        <v>15</v>
      </c>
      <c r="C21" s="69" t="s">
        <v>993</v>
      </c>
      <c r="D21" s="70" t="s">
        <v>381</v>
      </c>
      <c r="E21" s="76" t="s">
        <v>4223</v>
      </c>
      <c r="F21" s="70" t="s">
        <v>310</v>
      </c>
      <c r="G21" s="72" t="s">
        <v>20</v>
      </c>
      <c r="H21" s="73">
        <v>11</v>
      </c>
      <c r="I21" s="72"/>
      <c r="J21" s="72" t="s">
        <v>311</v>
      </c>
      <c r="K21" s="72">
        <v>3000</v>
      </c>
      <c r="L21" s="72">
        <v>3000</v>
      </c>
      <c r="M21" s="72">
        <v>157.45916432444341</v>
      </c>
    </row>
  </sheetData>
  <autoFilter ref="A6:M21" xr:uid="{9DFF90C7-062A-4CEC-B59C-97557A432B9A}">
    <filterColumn colId="1">
      <filters>
        <filter val="B"/>
      </filters>
    </filterColumn>
  </autoFilter>
  <mergeCells count="13">
    <mergeCell ref="M1:M5"/>
    <mergeCell ref="G1:G5"/>
    <mergeCell ref="H1:H5"/>
    <mergeCell ref="I1:I5"/>
    <mergeCell ref="J1:J5"/>
    <mergeCell ref="K1:K5"/>
    <mergeCell ref="L1:L5"/>
    <mergeCell ref="F1:F5"/>
    <mergeCell ref="A1:A5"/>
    <mergeCell ref="B1:B5"/>
    <mergeCell ref="C1:C5"/>
    <mergeCell ref="D1:D5"/>
    <mergeCell ref="E1:E5"/>
  </mergeCells>
  <conditionalFormatting sqref="A1:A5">
    <cfRule type="duplicateValues" dxfId="3" priority="4"/>
  </conditionalFormatting>
  <conditionalFormatting sqref="B1:B5">
    <cfRule type="duplicateValues" dxfId="2" priority="3"/>
  </conditionalFormatting>
  <conditionalFormatting sqref="C1:C5">
    <cfRule type="duplicateValues" dxfId="1" priority="2"/>
  </conditionalFormatting>
  <conditionalFormatting sqref="D1:D21">
    <cfRule type="duplicateValues" dxfId="0" priority="1"/>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0BDB2-BE15-40F2-A7EC-687251509A72}">
  <dimension ref="A1"/>
  <sheetViews>
    <sheetView workbookViewId="0"/>
  </sheetViews>
  <sheetFormatPr defaultRowHeight="13.2"/>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A4BD8-D572-4E3A-AAA4-1857617D5CAF}">
  <dimension ref="A1:D23"/>
  <sheetViews>
    <sheetView workbookViewId="0">
      <selection activeCell="D4" sqref="D4:D18"/>
    </sheetView>
  </sheetViews>
  <sheetFormatPr defaultRowHeight="13.2"/>
  <cols>
    <col min="2" max="2" width="27.44140625" customWidth="1"/>
    <col min="3" max="3" width="27.88671875" customWidth="1"/>
  </cols>
  <sheetData>
    <row r="1" spans="1:4">
      <c r="A1" t="s">
        <v>4224</v>
      </c>
    </row>
    <row r="3" spans="1:4">
      <c r="A3" t="s">
        <v>4225</v>
      </c>
      <c r="B3" t="s">
        <v>988</v>
      </c>
      <c r="C3" t="s">
        <v>4226</v>
      </c>
      <c r="D3" t="s">
        <v>4227</v>
      </c>
    </row>
    <row r="4" spans="1:4">
      <c r="A4">
        <v>1</v>
      </c>
      <c r="B4" t="s">
        <v>2449</v>
      </c>
      <c r="C4" t="s">
        <v>4228</v>
      </c>
      <c r="D4" s="113">
        <v>1250</v>
      </c>
    </row>
    <row r="5" spans="1:4">
      <c r="A5">
        <v>2</v>
      </c>
      <c r="B5" t="s">
        <v>2455</v>
      </c>
      <c r="C5" t="s">
        <v>4228</v>
      </c>
      <c r="D5" s="113">
        <v>1250</v>
      </c>
    </row>
    <row r="6" spans="1:4">
      <c r="A6">
        <v>3</v>
      </c>
      <c r="B6" t="s">
        <v>4229</v>
      </c>
      <c r="C6" t="s">
        <v>4228</v>
      </c>
      <c r="D6" s="113">
        <v>630</v>
      </c>
    </row>
    <row r="7" spans="1:4">
      <c r="A7">
        <v>4</v>
      </c>
      <c r="B7" t="s">
        <v>4230</v>
      </c>
      <c r="C7" t="s">
        <v>4228</v>
      </c>
      <c r="D7" s="113">
        <v>630</v>
      </c>
    </row>
    <row r="8" spans="1:4">
      <c r="A8">
        <v>5</v>
      </c>
      <c r="B8" t="s">
        <v>2462</v>
      </c>
      <c r="C8" t="s">
        <v>4228</v>
      </c>
      <c r="D8" s="113">
        <v>630</v>
      </c>
    </row>
    <row r="9" spans="1:4">
      <c r="A9">
        <v>6</v>
      </c>
      <c r="B9" t="s">
        <v>4231</v>
      </c>
      <c r="C9" t="s">
        <v>4228</v>
      </c>
      <c r="D9" s="113">
        <v>630</v>
      </c>
    </row>
    <row r="10" spans="1:4">
      <c r="A10">
        <v>7</v>
      </c>
      <c r="B10" t="s">
        <v>2467</v>
      </c>
      <c r="C10" t="s">
        <v>4228</v>
      </c>
      <c r="D10" s="113">
        <v>630</v>
      </c>
    </row>
    <row r="11" spans="1:4">
      <c r="A11">
        <v>8</v>
      </c>
      <c r="B11" t="s">
        <v>2471</v>
      </c>
      <c r="C11" t="s">
        <v>4228</v>
      </c>
      <c r="D11" s="113">
        <v>630</v>
      </c>
    </row>
    <row r="12" spans="1:4">
      <c r="A12">
        <v>9</v>
      </c>
      <c r="B12" t="s">
        <v>2474</v>
      </c>
      <c r="C12" t="s">
        <v>4228</v>
      </c>
      <c r="D12" s="113">
        <v>630</v>
      </c>
    </row>
    <row r="13" spans="1:4">
      <c r="A13">
        <v>10</v>
      </c>
      <c r="B13" t="s">
        <v>2478</v>
      </c>
      <c r="C13" t="s">
        <v>4228</v>
      </c>
      <c r="D13" s="113">
        <v>630</v>
      </c>
    </row>
    <row r="14" spans="1:4">
      <c r="A14">
        <v>11</v>
      </c>
      <c r="B14" t="s">
        <v>2483</v>
      </c>
      <c r="C14" t="s">
        <v>4228</v>
      </c>
      <c r="D14" s="113">
        <v>630</v>
      </c>
    </row>
    <row r="15" spans="1:4">
      <c r="A15">
        <v>12</v>
      </c>
      <c r="B15" t="s">
        <v>2486</v>
      </c>
      <c r="C15" t="s">
        <v>4228</v>
      </c>
      <c r="D15" s="113">
        <v>630</v>
      </c>
    </row>
    <row r="16" spans="1:4">
      <c r="A16">
        <v>13</v>
      </c>
      <c r="B16" t="s">
        <v>2488</v>
      </c>
      <c r="C16" t="s">
        <v>4228</v>
      </c>
      <c r="D16" s="113">
        <v>630</v>
      </c>
    </row>
    <row r="17" spans="1:4">
      <c r="A17">
        <v>14</v>
      </c>
      <c r="B17" t="s">
        <v>2490</v>
      </c>
      <c r="C17" t="s">
        <v>4228</v>
      </c>
      <c r="D17" s="113">
        <v>630</v>
      </c>
    </row>
    <row r="18" spans="1:4">
      <c r="A18">
        <v>15</v>
      </c>
      <c r="B18" t="s">
        <v>2493</v>
      </c>
      <c r="C18" t="s">
        <v>4228</v>
      </c>
      <c r="D18" s="113">
        <v>630</v>
      </c>
    </row>
    <row r="20" spans="1:4" ht="15.6">
      <c r="A20" s="114" t="s">
        <v>4232</v>
      </c>
    </row>
    <row r="22" spans="1:4">
      <c r="A22" t="s">
        <v>4233</v>
      </c>
    </row>
    <row r="23" spans="1:4">
      <c r="A23" t="s">
        <v>4234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295F2A-EFF6-4CAD-AB8C-2CEC447FB827}">
  <ds:schemaRefs>
    <ds:schemaRef ds:uri="http://schemas.microsoft.com/DataMashup"/>
  </ds:schemaRefs>
</ds:datastoreItem>
</file>

<file path=docMetadata/LabelInfo.xml><?xml version="1.0" encoding="utf-8"?>
<clbl:labelList xmlns:clbl="http://schemas.microsoft.com/office/2020/mipLabelMetadata">
  <clbl:label id="{a11ee6e5-21a0-48c4-8af4-6cc1347f763e}" enabled="1" method="Privileged" siteId="{a27ddcc1-bea5-4183-aa29-fd96d7612a1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Sheet1</vt:lpstr>
      <vt:lpstr>HVAC_MCC</vt:lpstr>
      <vt:lpstr>LoadList</vt:lpstr>
      <vt:lpstr>BV Load List</vt:lpstr>
      <vt:lpstr>EEL</vt:lpstr>
      <vt:lpstr>Sheet2</vt:lpstr>
      <vt:lpstr>Sheet3</vt:lpstr>
      <vt:lpstr>NOTES</vt:lpstr>
      <vt:lpstr>ECS_IO_LIST</vt:lpstr>
      <vt:lpstr>70-IJ-61-0001</vt:lpstr>
      <vt:lpstr>70-IK-61-0001</vt:lpstr>
      <vt:lpstr>70-IK-61-0002</vt:lpstr>
      <vt:lpstr>70-IK-61-0003 </vt:lpstr>
      <vt:lpstr>81-1K-61-0001</vt:lpstr>
      <vt:lpstr>BOQ</vt:lpstr>
      <vt:lpstr>Insulation_Mat</vt:lpstr>
      <vt:lpstr>MEL</vt:lpstr>
      <vt:lpstr>Sheet4</vt:lpstr>
      <vt:lpstr>Sheet5</vt:lpstr>
      <vt:lpstr>Sheet6</vt:lpstr>
      <vt:lpstr>_70IJ610001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제제헬프랑카</dc:creator>
  <cp:keywords/>
  <dc:description/>
  <cp:lastModifiedBy>제제헬프랑카(JEZEHEL FRANCA) 책임매니저</cp:lastModifiedBy>
  <cp:revision/>
  <dcterms:created xsi:type="dcterms:W3CDTF">2025-09-22T08:58:16Z</dcterms:created>
  <dcterms:modified xsi:type="dcterms:W3CDTF">2026-03-19T08:54:48Z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dcaf456-5176-400c-b0e6-6301b2c47597_SiteId">
    <vt:lpwstr>a27ddcc1-bea5-4183-aa29-fd96d7612a1d</vt:lpwstr>
  </property>
  <property fmtid="{D5CDD505-2E9C-101B-9397-08002B2CF9AE}" pid="3" name="MSIP_Label_cdcaf456-5176-400c-b0e6-6301b2c47597_SetDate">
    <vt:lpwstr>2025-12-05T04:48:07Z</vt:lpwstr>
  </property>
  <property fmtid="{D5CDD505-2E9C-101B-9397-08002B2CF9AE}" pid="4" name="MSIP_Label_cdcaf456-5176-400c-b0e6-6301b2c47597_Name">
    <vt:lpwstr>대외비(Restricted)</vt:lpwstr>
  </property>
  <property fmtid="{D5CDD505-2E9C-101B-9397-08002B2CF9AE}" pid="5" name="MSIP_Label_cdcaf456-5176-400c-b0e6-6301b2c47597_Method">
    <vt:lpwstr>Privileged</vt:lpwstr>
  </property>
  <property fmtid="{D5CDD505-2E9C-101B-9397-08002B2CF9AE}" pid="6" name="MSIP_Label_cdcaf456-5176-400c-b0e6-6301b2c47597_Enabled">
    <vt:lpwstr>true</vt:lpwstr>
  </property>
  <property fmtid="{D5CDD505-2E9C-101B-9397-08002B2CF9AE}" pid="7" name="MSIP_Label_cdcaf456-5176-400c-b0e6-6301b2c47597_ContentBits">
    <vt:lpwstr>8</vt:lpwstr>
  </property>
</Properties>
</file>